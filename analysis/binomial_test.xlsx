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lka/Downloads/"/>
    </mc:Choice>
  </mc:AlternateContent>
  <xr:revisionPtr revIDLastSave="0" documentId="13_ncr:1_{69198A63-20C6-C542-86DD-19DAF085C04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inom_test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Z1N9OTNg8pm3dvOUP7A8STceSLr8MCqlxKlhnzyEX88="/>
    </ext>
  </extLst>
</workbook>
</file>

<file path=xl/calcChain.xml><?xml version="1.0" encoding="utf-8"?>
<calcChain xmlns="http://schemas.openxmlformats.org/spreadsheetml/2006/main">
  <c r="AP82" i="9" l="1"/>
  <c r="AD82" i="9"/>
  <c r="R82" i="9"/>
  <c r="AP81" i="9"/>
  <c r="AD81" i="9"/>
  <c r="R81" i="9"/>
  <c r="P81" i="9"/>
  <c r="AR77" i="9"/>
  <c r="AM77" i="9"/>
  <c r="AL77" i="9"/>
  <c r="AK77" i="9"/>
  <c r="AJ77" i="9"/>
  <c r="AI77" i="9"/>
  <c r="AF77" i="9"/>
  <c r="Z77" i="9"/>
  <c r="Y77" i="9"/>
  <c r="W77" i="9"/>
  <c r="AO77" i="9" s="1"/>
  <c r="AP77" i="9" s="1"/>
  <c r="U77" i="9"/>
  <c r="T77" i="9"/>
  <c r="O77" i="9"/>
  <c r="P77" i="9" s="1"/>
  <c r="M77" i="9"/>
  <c r="J77" i="9"/>
  <c r="AC77" i="9" s="1"/>
  <c r="AD77" i="9" s="1"/>
  <c r="H77" i="9"/>
  <c r="G77" i="9"/>
  <c r="F77" i="9"/>
  <c r="E77" i="9"/>
  <c r="D77" i="9"/>
  <c r="AR76" i="9"/>
  <c r="AM76" i="9"/>
  <c r="AL76" i="9"/>
  <c r="AK76" i="9"/>
  <c r="AJ76" i="9"/>
  <c r="AI76" i="9"/>
  <c r="AF76" i="9"/>
  <c r="AA76" i="9"/>
  <c r="Z76" i="9"/>
  <c r="Y76" i="9"/>
  <c r="X76" i="9"/>
  <c r="W76" i="9"/>
  <c r="U76" i="9"/>
  <c r="T76" i="9"/>
  <c r="P76" i="9"/>
  <c r="O76" i="9"/>
  <c r="N76" i="9"/>
  <c r="M76" i="9"/>
  <c r="L76" i="9"/>
  <c r="K76" i="9"/>
  <c r="J76" i="9"/>
  <c r="AC76" i="9" s="1"/>
  <c r="AD76" i="9" s="1"/>
  <c r="H76" i="9"/>
  <c r="G76" i="9"/>
  <c r="Q76" i="9" s="1"/>
  <c r="R76" i="9" s="1"/>
  <c r="F76" i="9"/>
  <c r="E76" i="9"/>
  <c r="D76" i="9"/>
  <c r="AR75" i="9"/>
  <c r="AM75" i="9"/>
  <c r="AL75" i="9"/>
  <c r="AK75" i="9"/>
  <c r="AJ75" i="9"/>
  <c r="AI75" i="9"/>
  <c r="AF75" i="9"/>
  <c r="AA75" i="9"/>
  <c r="Z75" i="9"/>
  <c r="Y75" i="9"/>
  <c r="X75" i="9"/>
  <c r="W75" i="9"/>
  <c r="U75" i="9"/>
  <c r="T75" i="9"/>
  <c r="M75" i="9"/>
  <c r="L75" i="9"/>
  <c r="K75" i="9"/>
  <c r="O75" i="9" s="1"/>
  <c r="P75" i="9" s="1"/>
  <c r="J75" i="9"/>
  <c r="H75" i="9"/>
  <c r="G75" i="9"/>
  <c r="F75" i="9"/>
  <c r="Q75" i="9" s="1"/>
  <c r="R75" i="9" s="1"/>
  <c r="E75" i="9"/>
  <c r="D75" i="9"/>
  <c r="AR74" i="9"/>
  <c r="AM74" i="9"/>
  <c r="AL74" i="9"/>
  <c r="AK74" i="9"/>
  <c r="AJ74" i="9"/>
  <c r="AI74" i="9"/>
  <c r="AF74" i="9"/>
  <c r="AA74" i="9"/>
  <c r="Z74" i="9"/>
  <c r="Y74" i="9"/>
  <c r="X74" i="9"/>
  <c r="W74" i="9"/>
  <c r="U74" i="9"/>
  <c r="T74" i="9"/>
  <c r="P74" i="9"/>
  <c r="O74" i="9"/>
  <c r="N74" i="9"/>
  <c r="M74" i="9"/>
  <c r="L74" i="9"/>
  <c r="K74" i="9"/>
  <c r="J74" i="9"/>
  <c r="H74" i="9"/>
  <c r="G74" i="9"/>
  <c r="F74" i="9"/>
  <c r="E74" i="9"/>
  <c r="D74" i="9"/>
  <c r="AR73" i="9"/>
  <c r="AM73" i="9"/>
  <c r="AL73" i="9"/>
  <c r="AK73" i="9"/>
  <c r="AJ73" i="9"/>
  <c r="AI73" i="9"/>
  <c r="AF73" i="9"/>
  <c r="AA73" i="9"/>
  <c r="Z73" i="9"/>
  <c r="Y73" i="9"/>
  <c r="X73" i="9"/>
  <c r="W73" i="9"/>
  <c r="U73" i="9"/>
  <c r="T73" i="9"/>
  <c r="O73" i="9"/>
  <c r="P73" i="9" s="1"/>
  <c r="M73" i="9"/>
  <c r="L73" i="9"/>
  <c r="K73" i="9"/>
  <c r="J73" i="9"/>
  <c r="AC73" i="9" s="1"/>
  <c r="AD73" i="9" s="1"/>
  <c r="H73" i="9"/>
  <c r="G73" i="9"/>
  <c r="F73" i="9"/>
  <c r="E73" i="9"/>
  <c r="D73" i="9"/>
  <c r="AR72" i="9"/>
  <c r="AM72" i="9"/>
  <c r="AL72" i="9"/>
  <c r="AK72" i="9"/>
  <c r="AJ72" i="9"/>
  <c r="AI72" i="9"/>
  <c r="AF72" i="9"/>
  <c r="AA72" i="9"/>
  <c r="Z72" i="9"/>
  <c r="Y72" i="9"/>
  <c r="X72" i="9"/>
  <c r="W72" i="9"/>
  <c r="U72" i="9"/>
  <c r="T72" i="9"/>
  <c r="N72" i="9"/>
  <c r="L72" i="9"/>
  <c r="K72" i="9"/>
  <c r="J72" i="9"/>
  <c r="H72" i="9"/>
  <c r="G72" i="9"/>
  <c r="F72" i="9"/>
  <c r="E72" i="9"/>
  <c r="D72" i="9"/>
  <c r="AR71" i="9"/>
  <c r="AM71" i="9"/>
  <c r="AL71" i="9"/>
  <c r="AK71" i="9"/>
  <c r="AJ71" i="9"/>
  <c r="AI71" i="9"/>
  <c r="AO71" i="9" s="1"/>
  <c r="AP71" i="9" s="1"/>
  <c r="AF71" i="9"/>
  <c r="Z71" i="9"/>
  <c r="Y71" i="9"/>
  <c r="X71" i="9"/>
  <c r="W71" i="9"/>
  <c r="U71" i="9"/>
  <c r="T71" i="9"/>
  <c r="N71" i="9"/>
  <c r="M71" i="9"/>
  <c r="L71" i="9"/>
  <c r="K71" i="9"/>
  <c r="J71" i="9"/>
  <c r="AC71" i="9" s="1"/>
  <c r="AD71" i="9" s="1"/>
  <c r="H71" i="9"/>
  <c r="G71" i="9"/>
  <c r="F71" i="9"/>
  <c r="E71" i="9"/>
  <c r="D71" i="9"/>
  <c r="Q71" i="9" s="1"/>
  <c r="R71" i="9" s="1"/>
  <c r="AR70" i="9"/>
  <c r="AM70" i="9"/>
  <c r="AL70" i="9"/>
  <c r="AK70" i="9"/>
  <c r="AJ70" i="9"/>
  <c r="AI70" i="9"/>
  <c r="AO70" i="9" s="1"/>
  <c r="AP70" i="9" s="1"/>
  <c r="AF70" i="9"/>
  <c r="Y70" i="9"/>
  <c r="X70" i="9"/>
  <c r="U70" i="9"/>
  <c r="T70" i="9"/>
  <c r="O70" i="9"/>
  <c r="P70" i="9" s="1"/>
  <c r="N70" i="9"/>
  <c r="M70" i="9"/>
  <c r="L70" i="9"/>
  <c r="K70" i="9"/>
  <c r="J70" i="9"/>
  <c r="AC70" i="9" s="1"/>
  <c r="AD70" i="9" s="1"/>
  <c r="H70" i="9"/>
  <c r="G70" i="9"/>
  <c r="F70" i="9"/>
  <c r="E70" i="9"/>
  <c r="D70" i="9"/>
  <c r="AR69" i="9"/>
  <c r="AM69" i="9"/>
  <c r="AL69" i="9"/>
  <c r="AK69" i="9"/>
  <c r="AJ69" i="9"/>
  <c r="AI69" i="9"/>
  <c r="AF69" i="9"/>
  <c r="Z69" i="9"/>
  <c r="Y69" i="9"/>
  <c r="X69" i="9"/>
  <c r="W69" i="9"/>
  <c r="U69" i="9"/>
  <c r="T69" i="9"/>
  <c r="N69" i="9"/>
  <c r="M69" i="9"/>
  <c r="L69" i="9"/>
  <c r="K69" i="9"/>
  <c r="J69" i="9"/>
  <c r="H69" i="9"/>
  <c r="G69" i="9"/>
  <c r="F69" i="9"/>
  <c r="E69" i="9"/>
  <c r="D69" i="9"/>
  <c r="Q69" i="9" s="1"/>
  <c r="R69" i="9" s="1"/>
  <c r="AR68" i="9"/>
  <c r="AM68" i="9"/>
  <c r="AL68" i="9"/>
  <c r="AK68" i="9"/>
  <c r="AJ68" i="9"/>
  <c r="AI68" i="9"/>
  <c r="AF68" i="9"/>
  <c r="AA68" i="9"/>
  <c r="Z68" i="9"/>
  <c r="Y68" i="9"/>
  <c r="W68" i="9"/>
  <c r="AO68" i="9" s="1"/>
  <c r="AP68" i="9" s="1"/>
  <c r="U68" i="9"/>
  <c r="T68" i="9"/>
  <c r="N68" i="9"/>
  <c r="L68" i="9"/>
  <c r="J68" i="9"/>
  <c r="AC68" i="9" s="1"/>
  <c r="AD68" i="9" s="1"/>
  <c r="H68" i="9"/>
  <c r="G68" i="9"/>
  <c r="F68" i="9"/>
  <c r="Q68" i="9" s="1"/>
  <c r="R68" i="9" s="1"/>
  <c r="E68" i="9"/>
  <c r="D68" i="9"/>
  <c r="AR67" i="9"/>
  <c r="AM67" i="9"/>
  <c r="AL67" i="9"/>
  <c r="AK67" i="9"/>
  <c r="AJ67" i="9"/>
  <c r="AI67" i="9"/>
  <c r="AF67" i="9"/>
  <c r="Z67" i="9"/>
  <c r="Y67" i="9"/>
  <c r="X67" i="9"/>
  <c r="AO67" i="9" s="1"/>
  <c r="AP67" i="9" s="1"/>
  <c r="W67" i="9"/>
  <c r="U67" i="9"/>
  <c r="T67" i="9"/>
  <c r="M67" i="9"/>
  <c r="L67" i="9"/>
  <c r="K67" i="9"/>
  <c r="J67" i="9"/>
  <c r="H67" i="9"/>
  <c r="G67" i="9"/>
  <c r="F67" i="9"/>
  <c r="E67" i="9"/>
  <c r="D67" i="9"/>
  <c r="AR66" i="9"/>
  <c r="AM66" i="9"/>
  <c r="AL66" i="9"/>
  <c r="AK66" i="9"/>
  <c r="AJ66" i="9"/>
  <c r="AI66" i="9"/>
  <c r="AF66" i="9"/>
  <c r="Z66" i="9"/>
  <c r="Y66" i="9"/>
  <c r="X66" i="9"/>
  <c r="W66" i="9"/>
  <c r="U66" i="9"/>
  <c r="T66" i="9"/>
  <c r="O66" i="9"/>
  <c r="P66" i="9" s="1"/>
  <c r="L66" i="9"/>
  <c r="K66" i="9"/>
  <c r="J66" i="9"/>
  <c r="H66" i="9"/>
  <c r="G66" i="9"/>
  <c r="F66" i="9"/>
  <c r="E66" i="9"/>
  <c r="D66" i="9"/>
  <c r="Q66" i="9" s="1"/>
  <c r="R66" i="9" s="1"/>
  <c r="AR65" i="9"/>
  <c r="AM65" i="9"/>
  <c r="AL65" i="9"/>
  <c r="AK65" i="9"/>
  <c r="AJ65" i="9"/>
  <c r="AI65" i="9"/>
  <c r="AF65" i="9"/>
  <c r="Z65" i="9"/>
  <c r="Y65" i="9"/>
  <c r="X65" i="9"/>
  <c r="W65" i="9"/>
  <c r="AC65" i="9" s="1"/>
  <c r="AD65" i="9" s="1"/>
  <c r="U65" i="9"/>
  <c r="T65" i="9"/>
  <c r="N65" i="9"/>
  <c r="M65" i="9"/>
  <c r="L65" i="9"/>
  <c r="O65" i="9" s="1"/>
  <c r="P65" i="9" s="1"/>
  <c r="K65" i="9"/>
  <c r="J65" i="9"/>
  <c r="H65" i="9"/>
  <c r="Q65" i="9" s="1"/>
  <c r="R65" i="9" s="1"/>
  <c r="G65" i="9"/>
  <c r="F65" i="9"/>
  <c r="E65" i="9"/>
  <c r="D65" i="9"/>
  <c r="AR64" i="9"/>
  <c r="AM64" i="9"/>
  <c r="AL64" i="9"/>
  <c r="AK64" i="9"/>
  <c r="AJ64" i="9"/>
  <c r="AI64" i="9"/>
  <c r="AF64" i="9"/>
  <c r="Z64" i="9"/>
  <c r="Y64" i="9"/>
  <c r="X64" i="9"/>
  <c r="W64" i="9"/>
  <c r="U64" i="9"/>
  <c r="T64" i="9"/>
  <c r="O64" i="9"/>
  <c r="P64" i="9" s="1"/>
  <c r="M64" i="9"/>
  <c r="L64" i="9"/>
  <c r="K64" i="9"/>
  <c r="J64" i="9"/>
  <c r="H64" i="9"/>
  <c r="G64" i="9"/>
  <c r="F64" i="9"/>
  <c r="E64" i="9"/>
  <c r="D64" i="9"/>
  <c r="AR63" i="9"/>
  <c r="AM63" i="9"/>
  <c r="AL63" i="9"/>
  <c r="AK63" i="9"/>
  <c r="AJ63" i="9"/>
  <c r="AI63" i="9"/>
  <c r="AF63" i="9"/>
  <c r="AA63" i="9"/>
  <c r="Z63" i="9"/>
  <c r="Y63" i="9"/>
  <c r="X63" i="9"/>
  <c r="W63" i="9"/>
  <c r="AO63" i="9" s="1"/>
  <c r="AP63" i="9" s="1"/>
  <c r="U63" i="9"/>
  <c r="T63" i="9"/>
  <c r="O63" i="9"/>
  <c r="P63" i="9" s="1"/>
  <c r="M63" i="9"/>
  <c r="L63" i="9"/>
  <c r="K63" i="9"/>
  <c r="J63" i="9"/>
  <c r="AC63" i="9" s="1"/>
  <c r="AD63" i="9" s="1"/>
  <c r="H63" i="9"/>
  <c r="G63" i="9"/>
  <c r="F63" i="9"/>
  <c r="E63" i="9"/>
  <c r="D63" i="9"/>
  <c r="AR62" i="9"/>
  <c r="AM62" i="9"/>
  <c r="AL62" i="9"/>
  <c r="AK62" i="9"/>
  <c r="AJ62" i="9"/>
  <c r="AI62" i="9"/>
  <c r="AO62" i="9" s="1"/>
  <c r="AP62" i="9" s="1"/>
  <c r="AF62" i="9"/>
  <c r="AA62" i="9"/>
  <c r="Z62" i="9"/>
  <c r="Y62" i="9"/>
  <c r="X62" i="9"/>
  <c r="W62" i="9"/>
  <c r="U62" i="9"/>
  <c r="T62" i="9"/>
  <c r="M62" i="9"/>
  <c r="K62" i="9"/>
  <c r="J62" i="9"/>
  <c r="H62" i="9"/>
  <c r="G62" i="9"/>
  <c r="Q62" i="9" s="1"/>
  <c r="R62" i="9" s="1"/>
  <c r="F62" i="9"/>
  <c r="E62" i="9"/>
  <c r="D62" i="9"/>
  <c r="AR61" i="9"/>
  <c r="AM61" i="9"/>
  <c r="AL61" i="9"/>
  <c r="AK61" i="9"/>
  <c r="AJ61" i="9"/>
  <c r="AI61" i="9"/>
  <c r="AF61" i="9"/>
  <c r="AA61" i="9"/>
  <c r="Z61" i="9"/>
  <c r="Y61" i="9"/>
  <c r="X61" i="9"/>
  <c r="W61" i="9"/>
  <c r="U61" i="9"/>
  <c r="T61" i="9"/>
  <c r="O61" i="9"/>
  <c r="P61" i="9" s="1"/>
  <c r="N61" i="9"/>
  <c r="M61" i="9"/>
  <c r="L61" i="9"/>
  <c r="K61" i="9"/>
  <c r="J61" i="9"/>
  <c r="AC61" i="9" s="1"/>
  <c r="AD61" i="9" s="1"/>
  <c r="H61" i="9"/>
  <c r="G61" i="9"/>
  <c r="F61" i="9"/>
  <c r="E61" i="9"/>
  <c r="D61" i="9"/>
  <c r="AR60" i="9"/>
  <c r="AM60" i="9"/>
  <c r="AL60" i="9"/>
  <c r="AK60" i="9"/>
  <c r="AJ60" i="9"/>
  <c r="AI60" i="9"/>
  <c r="AF60" i="9"/>
  <c r="AA60" i="9"/>
  <c r="Z60" i="9"/>
  <c r="Y60" i="9"/>
  <c r="X60" i="9"/>
  <c r="W60" i="9"/>
  <c r="U60" i="9"/>
  <c r="T60" i="9"/>
  <c r="M60" i="9"/>
  <c r="L60" i="9"/>
  <c r="K60" i="9"/>
  <c r="J60" i="9"/>
  <c r="AC60" i="9" s="1"/>
  <c r="AD60" i="9" s="1"/>
  <c r="H60" i="9"/>
  <c r="G60" i="9"/>
  <c r="F60" i="9"/>
  <c r="E60" i="9"/>
  <c r="D60" i="9"/>
  <c r="Q60" i="9" s="1"/>
  <c r="R60" i="9" s="1"/>
  <c r="AR59" i="9"/>
  <c r="AO59" i="9"/>
  <c r="AP59" i="9" s="1"/>
  <c r="AM59" i="9"/>
  <c r="AL59" i="9"/>
  <c r="AK59" i="9"/>
  <c r="AJ59" i="9"/>
  <c r="AI59" i="9"/>
  <c r="AF59" i="9"/>
  <c r="AC59" i="9"/>
  <c r="AD59" i="9" s="1"/>
  <c r="AA59" i="9"/>
  <c r="Z59" i="9"/>
  <c r="Y59" i="9"/>
  <c r="X59" i="9"/>
  <c r="W59" i="9"/>
  <c r="U59" i="9"/>
  <c r="T59" i="9"/>
  <c r="O59" i="9"/>
  <c r="P59" i="9" s="1"/>
  <c r="M59" i="9"/>
  <c r="K59" i="9"/>
  <c r="J59" i="9"/>
  <c r="H59" i="9"/>
  <c r="G59" i="9"/>
  <c r="F59" i="9"/>
  <c r="E59" i="9"/>
  <c r="D59" i="9"/>
  <c r="Q59" i="9" s="1"/>
  <c r="R59" i="9" s="1"/>
  <c r="AR58" i="9"/>
  <c r="AM58" i="9"/>
  <c r="AL58" i="9"/>
  <c r="AK58" i="9"/>
  <c r="AJ58" i="9"/>
  <c r="AI58" i="9"/>
  <c r="AF58" i="9"/>
  <c r="AA58" i="9"/>
  <c r="Z58" i="9"/>
  <c r="Y58" i="9"/>
  <c r="X58" i="9"/>
  <c r="W58" i="9"/>
  <c r="U58" i="9"/>
  <c r="T58" i="9"/>
  <c r="N58" i="9"/>
  <c r="M58" i="9"/>
  <c r="O58" i="9" s="1"/>
  <c r="P58" i="9" s="1"/>
  <c r="L58" i="9"/>
  <c r="K58" i="9"/>
  <c r="J58" i="9"/>
  <c r="H58" i="9"/>
  <c r="G58" i="9"/>
  <c r="F58" i="9"/>
  <c r="E58" i="9"/>
  <c r="D58" i="9"/>
  <c r="Q58" i="9" s="1"/>
  <c r="R58" i="9" s="1"/>
  <c r="AR57" i="9"/>
  <c r="AM57" i="9"/>
  <c r="AL57" i="9"/>
  <c r="AK57" i="9"/>
  <c r="AJ57" i="9"/>
  <c r="AI57" i="9"/>
  <c r="AF57" i="9"/>
  <c r="Z57" i="9"/>
  <c r="Y57" i="9"/>
  <c r="X57" i="9"/>
  <c r="W57" i="9"/>
  <c r="U57" i="9"/>
  <c r="T57" i="9"/>
  <c r="N57" i="9"/>
  <c r="M57" i="9"/>
  <c r="L57" i="9"/>
  <c r="K57" i="9"/>
  <c r="J57" i="9"/>
  <c r="H57" i="9"/>
  <c r="G57" i="9"/>
  <c r="F57" i="9"/>
  <c r="E57" i="9"/>
  <c r="D57" i="9"/>
  <c r="AR56" i="9"/>
  <c r="AM56" i="9"/>
  <c r="AL56" i="9"/>
  <c r="AK56" i="9"/>
  <c r="AJ56" i="9"/>
  <c r="AI56" i="9"/>
  <c r="AF56" i="9"/>
  <c r="AA56" i="9"/>
  <c r="Z56" i="9"/>
  <c r="Y56" i="9"/>
  <c r="X56" i="9"/>
  <c r="W56" i="9"/>
  <c r="U56" i="9"/>
  <c r="T56" i="9"/>
  <c r="O56" i="9"/>
  <c r="P56" i="9" s="1"/>
  <c r="M56" i="9"/>
  <c r="L56" i="9"/>
  <c r="K56" i="9"/>
  <c r="J56" i="9"/>
  <c r="H56" i="9"/>
  <c r="G56" i="9"/>
  <c r="F56" i="9"/>
  <c r="E56" i="9"/>
  <c r="D56" i="9"/>
  <c r="AR55" i="9"/>
  <c r="AM55" i="9"/>
  <c r="AL55" i="9"/>
  <c r="AK55" i="9"/>
  <c r="AJ55" i="9"/>
  <c r="AI55" i="9"/>
  <c r="AF55" i="9"/>
  <c r="AA55" i="9"/>
  <c r="Z55" i="9"/>
  <c r="Y55" i="9"/>
  <c r="X55" i="9"/>
  <c r="W55" i="9"/>
  <c r="AO55" i="9" s="1"/>
  <c r="AP55" i="9" s="1"/>
  <c r="U55" i="9"/>
  <c r="T55" i="9"/>
  <c r="O55" i="9"/>
  <c r="P55" i="9" s="1"/>
  <c r="N55" i="9"/>
  <c r="M55" i="9"/>
  <c r="L55" i="9"/>
  <c r="K55" i="9"/>
  <c r="J55" i="9"/>
  <c r="AC55" i="9" s="1"/>
  <c r="AD55" i="9" s="1"/>
  <c r="H55" i="9"/>
  <c r="G55" i="9"/>
  <c r="F55" i="9"/>
  <c r="E55" i="9"/>
  <c r="D55" i="9"/>
  <c r="AR54" i="9"/>
  <c r="AM54" i="9"/>
  <c r="AL54" i="9"/>
  <c r="AK54" i="9"/>
  <c r="AJ54" i="9"/>
  <c r="AI54" i="9"/>
  <c r="AF54" i="9"/>
  <c r="AA54" i="9"/>
  <c r="Z54" i="9"/>
  <c r="Y54" i="9"/>
  <c r="X54" i="9"/>
  <c r="W54" i="9"/>
  <c r="U54" i="9"/>
  <c r="T54" i="9"/>
  <c r="L54" i="9"/>
  <c r="K54" i="9"/>
  <c r="J54" i="9"/>
  <c r="H54" i="9"/>
  <c r="G54" i="9"/>
  <c r="F54" i="9"/>
  <c r="E54" i="9"/>
  <c r="D54" i="9"/>
  <c r="AR53" i="9"/>
  <c r="AM53" i="9"/>
  <c r="AL53" i="9"/>
  <c r="AK53" i="9"/>
  <c r="AJ53" i="9"/>
  <c r="AI53" i="9"/>
  <c r="AF53" i="9"/>
  <c r="AA53" i="9"/>
  <c r="Z53" i="9"/>
  <c r="Y53" i="9"/>
  <c r="X53" i="9"/>
  <c r="W53" i="9"/>
  <c r="U53" i="9"/>
  <c r="T53" i="9"/>
  <c r="K53" i="9"/>
  <c r="J53" i="9"/>
  <c r="H53" i="9"/>
  <c r="G53" i="9"/>
  <c r="F53" i="9"/>
  <c r="E53" i="9"/>
  <c r="D53" i="9"/>
  <c r="Q53" i="9" s="1"/>
  <c r="R53" i="9" s="1"/>
  <c r="AR52" i="9"/>
  <c r="AM52" i="9"/>
  <c r="AL52" i="9"/>
  <c r="AK52" i="9"/>
  <c r="AJ52" i="9"/>
  <c r="AI52" i="9"/>
  <c r="AF52" i="9"/>
  <c r="AC52" i="9"/>
  <c r="AD52" i="9" s="1"/>
  <c r="AA52" i="9"/>
  <c r="Z52" i="9"/>
  <c r="Y52" i="9"/>
  <c r="X52" i="9"/>
  <c r="W52" i="9"/>
  <c r="AO52" i="9" s="1"/>
  <c r="AP52" i="9" s="1"/>
  <c r="U52" i="9"/>
  <c r="T52" i="9"/>
  <c r="M52" i="9"/>
  <c r="L52" i="9"/>
  <c r="K52" i="9"/>
  <c r="J52" i="9"/>
  <c r="H52" i="9"/>
  <c r="G52" i="9"/>
  <c r="F52" i="9"/>
  <c r="E52" i="9"/>
  <c r="D52" i="9"/>
  <c r="Q52" i="9" s="1"/>
  <c r="R52" i="9" s="1"/>
  <c r="AR51" i="9"/>
  <c r="AM51" i="9"/>
  <c r="AL51" i="9"/>
  <c r="AK51" i="9"/>
  <c r="AJ51" i="9"/>
  <c r="AI51" i="9"/>
  <c r="AF51" i="9"/>
  <c r="Z51" i="9"/>
  <c r="Y51" i="9"/>
  <c r="X51" i="9"/>
  <c r="W51" i="9"/>
  <c r="U51" i="9"/>
  <c r="T51" i="9"/>
  <c r="N51" i="9"/>
  <c r="M51" i="9"/>
  <c r="L51" i="9"/>
  <c r="K51" i="9"/>
  <c r="O51" i="9" s="1"/>
  <c r="P51" i="9" s="1"/>
  <c r="J51" i="9"/>
  <c r="H51" i="9"/>
  <c r="G51" i="9"/>
  <c r="F51" i="9"/>
  <c r="E51" i="9"/>
  <c r="D51" i="9"/>
  <c r="AR50" i="9"/>
  <c r="AM50" i="9"/>
  <c r="AL50" i="9"/>
  <c r="AK50" i="9"/>
  <c r="AJ50" i="9"/>
  <c r="AI50" i="9"/>
  <c r="AF50" i="9"/>
  <c r="Z50" i="9"/>
  <c r="Y50" i="9"/>
  <c r="X50" i="9"/>
  <c r="W50" i="9"/>
  <c r="U50" i="9"/>
  <c r="T50" i="9"/>
  <c r="N50" i="9"/>
  <c r="O50" i="9" s="1"/>
  <c r="P50" i="9" s="1"/>
  <c r="M50" i="9"/>
  <c r="L50" i="9"/>
  <c r="K50" i="9"/>
  <c r="J50" i="9"/>
  <c r="H50" i="9"/>
  <c r="G50" i="9"/>
  <c r="F50" i="9"/>
  <c r="E50" i="9"/>
  <c r="D50" i="9"/>
  <c r="AR49" i="9"/>
  <c r="AM49" i="9"/>
  <c r="AL49" i="9"/>
  <c r="AK49" i="9"/>
  <c r="AJ49" i="9"/>
  <c r="AI49" i="9"/>
  <c r="AF49" i="9"/>
  <c r="AA49" i="9"/>
  <c r="Z49" i="9"/>
  <c r="Y49" i="9"/>
  <c r="X49" i="9"/>
  <c r="W49" i="9"/>
  <c r="AO49" i="9" s="1"/>
  <c r="AP49" i="9" s="1"/>
  <c r="U49" i="9"/>
  <c r="T49" i="9"/>
  <c r="N49" i="9"/>
  <c r="M49" i="9"/>
  <c r="L49" i="9"/>
  <c r="K49" i="9"/>
  <c r="J49" i="9"/>
  <c r="H49" i="9"/>
  <c r="G49" i="9"/>
  <c r="F49" i="9"/>
  <c r="E49" i="9"/>
  <c r="D49" i="9"/>
  <c r="AR48" i="9"/>
  <c r="AO48" i="9"/>
  <c r="AP48" i="9" s="1"/>
  <c r="AM48" i="9"/>
  <c r="AL48" i="9"/>
  <c r="AK48" i="9"/>
  <c r="AJ48" i="9"/>
  <c r="AI48" i="9"/>
  <c r="AF48" i="9"/>
  <c r="Z48" i="9"/>
  <c r="Y48" i="9"/>
  <c r="X48" i="9"/>
  <c r="W48" i="9"/>
  <c r="U48" i="9"/>
  <c r="T48" i="9"/>
  <c r="M48" i="9"/>
  <c r="L48" i="9"/>
  <c r="K48" i="9"/>
  <c r="Q48" i="9" s="1"/>
  <c r="R48" i="9" s="1"/>
  <c r="J48" i="9"/>
  <c r="H48" i="9"/>
  <c r="G48" i="9"/>
  <c r="F48" i="9"/>
  <c r="E48" i="9"/>
  <c r="D48" i="9"/>
  <c r="AR47" i="9"/>
  <c r="AM47" i="9"/>
  <c r="AL47" i="9"/>
  <c r="AK47" i="9"/>
  <c r="AJ47" i="9"/>
  <c r="AI47" i="9"/>
  <c r="AF47" i="9"/>
  <c r="AA47" i="9"/>
  <c r="Z47" i="9"/>
  <c r="Y47" i="9"/>
  <c r="X47" i="9"/>
  <c r="W47" i="9"/>
  <c r="U47" i="9"/>
  <c r="T47" i="9"/>
  <c r="M47" i="9"/>
  <c r="L47" i="9"/>
  <c r="K47" i="9"/>
  <c r="J47" i="9"/>
  <c r="H47" i="9"/>
  <c r="G47" i="9"/>
  <c r="F47" i="9"/>
  <c r="E47" i="9"/>
  <c r="D47" i="9"/>
  <c r="AR46" i="9"/>
  <c r="AP46" i="9"/>
  <c r="AO46" i="9"/>
  <c r="AM46" i="9"/>
  <c r="AL46" i="9"/>
  <c r="AK46" i="9"/>
  <c r="AJ46" i="9"/>
  <c r="AI46" i="9"/>
  <c r="AF46" i="9"/>
  <c r="AA46" i="9"/>
  <c r="Z46" i="9"/>
  <c r="Y46" i="9"/>
  <c r="X46" i="9"/>
  <c r="W46" i="9"/>
  <c r="U46" i="9"/>
  <c r="T46" i="9"/>
  <c r="M46" i="9"/>
  <c r="L46" i="9"/>
  <c r="K46" i="9"/>
  <c r="J46" i="9"/>
  <c r="H46" i="9"/>
  <c r="G46" i="9"/>
  <c r="F46" i="9"/>
  <c r="E46" i="9"/>
  <c r="D46" i="9"/>
  <c r="AR45" i="9"/>
  <c r="AM45" i="9"/>
  <c r="AL45" i="9"/>
  <c r="AK45" i="9"/>
  <c r="AO45" i="9" s="1"/>
  <c r="AP45" i="9" s="1"/>
  <c r="AJ45" i="9"/>
  <c r="AI45" i="9"/>
  <c r="AF45" i="9"/>
  <c r="AA45" i="9"/>
  <c r="Z45" i="9"/>
  <c r="Y45" i="9"/>
  <c r="X45" i="9"/>
  <c r="W45" i="9"/>
  <c r="U45" i="9"/>
  <c r="T45" i="9"/>
  <c r="N45" i="9"/>
  <c r="M45" i="9"/>
  <c r="L45" i="9"/>
  <c r="K45" i="9"/>
  <c r="AC45" i="9" s="1"/>
  <c r="AD45" i="9" s="1"/>
  <c r="J45" i="9"/>
  <c r="H45" i="9"/>
  <c r="G45" i="9"/>
  <c r="F45" i="9"/>
  <c r="E45" i="9"/>
  <c r="D45" i="9"/>
  <c r="AR44" i="9"/>
  <c r="AM44" i="9"/>
  <c r="AL44" i="9"/>
  <c r="AK44" i="9"/>
  <c r="AJ44" i="9"/>
  <c r="AI44" i="9"/>
  <c r="AF44" i="9"/>
  <c r="AA44" i="9"/>
  <c r="Z44" i="9"/>
  <c r="Y44" i="9"/>
  <c r="X44" i="9"/>
  <c r="W44" i="9"/>
  <c r="U44" i="9"/>
  <c r="T44" i="9"/>
  <c r="N44" i="9"/>
  <c r="L44" i="9"/>
  <c r="K44" i="9"/>
  <c r="J44" i="9"/>
  <c r="Q44" i="9" s="1"/>
  <c r="R44" i="9" s="1"/>
  <c r="H44" i="9"/>
  <c r="G44" i="9"/>
  <c r="F44" i="9"/>
  <c r="E44" i="9"/>
  <c r="D44" i="9"/>
  <c r="AR43" i="9"/>
  <c r="AM43" i="9"/>
  <c r="AL43" i="9"/>
  <c r="AK43" i="9"/>
  <c r="AJ43" i="9"/>
  <c r="AI43" i="9"/>
  <c r="AF43" i="9"/>
  <c r="AF78" i="9" s="1"/>
  <c r="AA43" i="9"/>
  <c r="Z43" i="9"/>
  <c r="Y43" i="9"/>
  <c r="X43" i="9"/>
  <c r="W43" i="9"/>
  <c r="U43" i="9"/>
  <c r="T43" i="9"/>
  <c r="N43" i="9"/>
  <c r="M43" i="9"/>
  <c r="L43" i="9"/>
  <c r="K43" i="9"/>
  <c r="J43" i="9"/>
  <c r="H43" i="9"/>
  <c r="G43" i="9"/>
  <c r="F43" i="9"/>
  <c r="E43" i="9"/>
  <c r="D43" i="9"/>
  <c r="AC49" i="9" l="1"/>
  <c r="AD49" i="9" s="1"/>
  <c r="O49" i="9"/>
  <c r="P49" i="9" s="1"/>
  <c r="T78" i="9"/>
  <c r="AC48" i="9"/>
  <c r="AD48" i="9" s="1"/>
  <c r="AC67" i="9"/>
  <c r="AD67" i="9" s="1"/>
  <c r="Q67" i="9"/>
  <c r="R67" i="9" s="1"/>
  <c r="AC43" i="9"/>
  <c r="AD43" i="9" s="1"/>
  <c r="AO43" i="9"/>
  <c r="AP43" i="9" s="1"/>
  <c r="Q46" i="9"/>
  <c r="R46" i="9" s="1"/>
  <c r="O46" i="9"/>
  <c r="P46" i="9" s="1"/>
  <c r="AC46" i="9"/>
  <c r="AD46" i="9" s="1"/>
  <c r="AC44" i="9"/>
  <c r="AD44" i="9" s="1"/>
  <c r="O44" i="9"/>
  <c r="P44" i="9" s="1"/>
  <c r="Q45" i="9"/>
  <c r="R45" i="9" s="1"/>
  <c r="AO44" i="9"/>
  <c r="AP44" i="9" s="1"/>
  <c r="AO54" i="9"/>
  <c r="AP54" i="9" s="1"/>
  <c r="AO60" i="9"/>
  <c r="AP60" i="9" s="1"/>
  <c r="AC69" i="9"/>
  <c r="AD69" i="9" s="1"/>
  <c r="AO69" i="9"/>
  <c r="AP69" i="9" s="1"/>
  <c r="Q43" i="9"/>
  <c r="R43" i="9" s="1"/>
  <c r="O43" i="9"/>
  <c r="O57" i="9"/>
  <c r="P57" i="9" s="1"/>
  <c r="O45" i="9"/>
  <c r="P45" i="9" s="1"/>
  <c r="AC54" i="9"/>
  <c r="AD54" i="9" s="1"/>
  <c r="O54" i="9"/>
  <c r="P54" i="9" s="1"/>
  <c r="AO61" i="9"/>
  <c r="AP61" i="9" s="1"/>
  <c r="U78" i="9"/>
  <c r="AC47" i="9"/>
  <c r="AD47" i="9" s="1"/>
  <c r="O47" i="9"/>
  <c r="P47" i="9" s="1"/>
  <c r="AO47" i="9"/>
  <c r="AP47" i="9" s="1"/>
  <c r="Q50" i="9"/>
  <c r="R50" i="9" s="1"/>
  <c r="AC51" i="9"/>
  <c r="AD51" i="9" s="1"/>
  <c r="AC56" i="9"/>
  <c r="AD56" i="9" s="1"/>
  <c r="AO56" i="9"/>
  <c r="AP56" i="9" s="1"/>
  <c r="O60" i="9"/>
  <c r="P60" i="9" s="1"/>
  <c r="AC64" i="9"/>
  <c r="AD64" i="9" s="1"/>
  <c r="AO64" i="9"/>
  <c r="AP64" i="9" s="1"/>
  <c r="Q70" i="9"/>
  <c r="R70" i="9" s="1"/>
  <c r="AO51" i="9"/>
  <c r="AP51" i="9" s="1"/>
  <c r="Q54" i="9"/>
  <c r="R54" i="9" s="1"/>
  <c r="O62" i="9"/>
  <c r="P62" i="9" s="1"/>
  <c r="AC72" i="9"/>
  <c r="AD72" i="9" s="1"/>
  <c r="AO72" i="9"/>
  <c r="AP72" i="9" s="1"/>
  <c r="AO76" i="9"/>
  <c r="AP76" i="9" s="1"/>
  <c r="Q49" i="9"/>
  <c r="R49" i="9" s="1"/>
  <c r="Q61" i="9"/>
  <c r="R61" i="9" s="1"/>
  <c r="AO66" i="9"/>
  <c r="AP66" i="9" s="1"/>
  <c r="O48" i="9"/>
  <c r="P48" i="9" s="1"/>
  <c r="Q51" i="9"/>
  <c r="R51" i="9" s="1"/>
  <c r="O52" i="9"/>
  <c r="P52" i="9" s="1"/>
  <c r="AO53" i="9"/>
  <c r="AP53" i="9" s="1"/>
  <c r="Q56" i="9"/>
  <c r="R56" i="9" s="1"/>
  <c r="AC57" i="9"/>
  <c r="AD57" i="9" s="1"/>
  <c r="Q64" i="9"/>
  <c r="R64" i="9" s="1"/>
  <c r="AO57" i="9"/>
  <c r="AP57" i="9" s="1"/>
  <c r="AC58" i="9"/>
  <c r="AD58" i="9" s="1"/>
  <c r="AC66" i="9"/>
  <c r="AD66" i="9" s="1"/>
  <c r="O69" i="9"/>
  <c r="P69" i="9" s="1"/>
  <c r="O71" i="9"/>
  <c r="P71" i="9" s="1"/>
  <c r="Q72" i="9"/>
  <c r="R72" i="9" s="1"/>
  <c r="AO73" i="9"/>
  <c r="AP73" i="9" s="1"/>
  <c r="AC74" i="9"/>
  <c r="AD74" i="9" s="1"/>
  <c r="Q47" i="9"/>
  <c r="R47" i="9" s="1"/>
  <c r="AC50" i="9"/>
  <c r="AD50" i="9" s="1"/>
  <c r="AC53" i="9"/>
  <c r="AD53" i="9" s="1"/>
  <c r="O53" i="9"/>
  <c r="P53" i="9" s="1"/>
  <c r="Q55" i="9"/>
  <c r="R55" i="9" s="1"/>
  <c r="AC62" i="9"/>
  <c r="AD62" i="9" s="1"/>
  <c r="AO65" i="9"/>
  <c r="AP65" i="9" s="1"/>
  <c r="O68" i="9"/>
  <c r="P68" i="9" s="1"/>
  <c r="O72" i="9"/>
  <c r="P72" i="9" s="1"/>
  <c r="Q77" i="9"/>
  <c r="R77" i="9" s="1"/>
  <c r="AR78" i="9"/>
  <c r="AO50" i="9"/>
  <c r="AP50" i="9" s="1"/>
  <c r="Q57" i="9"/>
  <c r="R57" i="9" s="1"/>
  <c r="AO58" i="9"/>
  <c r="AP58" i="9" s="1"/>
  <c r="Q63" i="9"/>
  <c r="R63" i="9" s="1"/>
  <c r="O67" i="9"/>
  <c r="P67" i="9" s="1"/>
  <c r="Q73" i="9"/>
  <c r="R73" i="9" s="1"/>
  <c r="AO74" i="9"/>
  <c r="AP74" i="9" s="1"/>
  <c r="AC75" i="9"/>
  <c r="AD75" i="9" s="1"/>
  <c r="AO75" i="9"/>
  <c r="AP75" i="9" s="1"/>
  <c r="Q74" i="9"/>
  <c r="R74" i="9" s="1"/>
  <c r="O78" i="9" l="1"/>
  <c r="P43" i="9"/>
  <c r="P78" i="9" s="1"/>
  <c r="AD80" i="9"/>
  <c r="AD83" i="9" s="1"/>
  <c r="R80" i="9"/>
  <c r="R83" i="9" s="1"/>
  <c r="AP80" i="9"/>
  <c r="AP83" i="9" s="1"/>
</calcChain>
</file>

<file path=xl/sharedStrings.xml><?xml version="1.0" encoding="utf-8"?>
<sst xmlns="http://schemas.openxmlformats.org/spreadsheetml/2006/main" count="151" uniqueCount="87">
  <si>
    <t>filename_full</t>
  </si>
  <si>
    <t>tragedy</t>
  </si>
  <si>
    <t>Copy of 000_the_old_man_and_the_sea.txt</t>
  </si>
  <si>
    <t>Copy of 001_animal-farm.txt</t>
  </si>
  <si>
    <t>Copy of 051_the_picture_of_dorian_gray.txt</t>
  </si>
  <si>
    <t>Copy of 028_Lord_of_the_flies.txt</t>
  </si>
  <si>
    <t>Copy of 093_to_kill_a_mocking_bird.txt</t>
  </si>
  <si>
    <t>satire</t>
  </si>
  <si>
    <t>Copy of 109_being_there.txt</t>
  </si>
  <si>
    <t>Copy of 156_the_13_clocks.txt</t>
  </si>
  <si>
    <t>Copy of 258_farmer_giles_of_ham.txt</t>
  </si>
  <si>
    <t>Copy of 317_the_wonderful_o.txt</t>
  </si>
  <si>
    <t>Copy of 407_the_restaurant_at_the_end.txt</t>
  </si>
  <si>
    <t>romance</t>
  </si>
  <si>
    <t>Copy of 270_the_governess_affair.txt</t>
  </si>
  <si>
    <t>Copy of 377_greater_than_rubies.txt</t>
  </si>
  <si>
    <t>Copy of 418_breathless.txt</t>
  </si>
  <si>
    <t>Copy of 489_skin_deep.txt</t>
  </si>
  <si>
    <t>Copy of 560_how_to_marry_a_werewolf.txt</t>
  </si>
  <si>
    <t>mystery</t>
  </si>
  <si>
    <t>Copy of 036_the_turn_of_the_screw.txt</t>
  </si>
  <si>
    <t>Copy of 191_every_heart_a_doorway.txt</t>
  </si>
  <si>
    <t>Copy of 337_the_library_window.txt</t>
  </si>
  <si>
    <t>Copy of 345_lyras_oxford.txt</t>
  </si>
  <si>
    <t>Copy of 495_hammers_on_bone.txt</t>
  </si>
  <si>
    <t>comedy</t>
  </si>
  <si>
    <t>Copy of 316_the_canterville_ghost.txt</t>
  </si>
  <si>
    <t>Copy of 046_cannery_row.txt</t>
  </si>
  <si>
    <t>Copy of 268_under_the_greenwood_tree.txt</t>
  </si>
  <si>
    <t>Copy of 452_the_perilous_life_of_jade.txt</t>
  </si>
  <si>
    <t>Copy of 201_the_tiny_wife.txt</t>
  </si>
  <si>
    <t>Comedy_Score_Human</t>
  </si>
  <si>
    <t>Mystery_Score_Human</t>
  </si>
  <si>
    <t>Romance_Score_Human</t>
  </si>
  <si>
    <t>Satire_Score_Human</t>
  </si>
  <si>
    <t>Tragedy_Score_Human</t>
  </si>
  <si>
    <t>Comedy_PatternTeller_claude</t>
  </si>
  <si>
    <t>Mystery_PatternTeller_claude</t>
  </si>
  <si>
    <t>Romance_PatternTeller_claude</t>
  </si>
  <si>
    <t>Satire_PatternTeller_claude</t>
  </si>
  <si>
    <t>Tragedy_PatternTeller_claude</t>
  </si>
  <si>
    <t>Satire Human (PatternTeller)</t>
  </si>
  <si>
    <t>Tragedy Human (PatternTeller)</t>
  </si>
  <si>
    <t>Mystery Human (PatternTeller)</t>
  </si>
  <si>
    <t>Copy of 002_mice-and-men.txt</t>
  </si>
  <si>
    <t>Copy of 302_the_great_gatsby.txt</t>
  </si>
  <si>
    <t>Copy of 067_the_catcher_in_the_rye.txt</t>
  </si>
  <si>
    <t>Copy of 102_Miss_Lonelyhearts.txt</t>
  </si>
  <si>
    <t>Copy of 055_giovannis_room.txt</t>
  </si>
  <si>
    <t>Copy of 151_on_chesil_beach.txt</t>
  </si>
  <si>
    <t>Copy of 054_doyle-hound-383.txt</t>
  </si>
  <si>
    <t>Copy of 135_the_maltese_falcon.txt</t>
  </si>
  <si>
    <t>Copy of 043_the_prime_of_miss_jean_brodie.txt</t>
  </si>
  <si>
    <t>Copy of 079_shopgirl.txt</t>
  </si>
  <si>
    <t xml:space="preserve">satire_gemini							</t>
  </si>
  <si>
    <t>romance_gemini</t>
  </si>
  <si>
    <t>comedy_gemini</t>
  </si>
  <si>
    <t xml:space="preserve">tragedy__gemini                                                </t>
  </si>
  <si>
    <t>mystery_gemini</t>
  </si>
  <si>
    <t>Average</t>
  </si>
  <si>
    <t>p-value</t>
  </si>
  <si>
    <t>Labels_TOP_2_Human</t>
  </si>
  <si>
    <t>Labels_TOP_2_Human_PatternTeller</t>
  </si>
  <si>
    <t xml:space="preserve">Comedy Human (PatternTeller)                                                                </t>
  </si>
  <si>
    <t xml:space="preserve">Romance Human (PatternTeller)									</t>
  </si>
  <si>
    <t>Overlap count</t>
  </si>
  <si>
    <t>Overlap_1</t>
  </si>
  <si>
    <t>Human_Top_2_count</t>
  </si>
  <si>
    <t>LLM_PatternTeller_Claude_Top_2_count</t>
  </si>
  <si>
    <t>Human_Patternteller_Top_2_count</t>
  </si>
  <si>
    <t>Observed_Overlaps</t>
  </si>
  <si>
    <t>P_random</t>
  </si>
  <si>
    <t>Expected_random</t>
  </si>
  <si>
    <t>Labels_TOP_2_Claude_Patternteller</t>
  </si>
  <si>
    <t>Labels_TOP_2_Gemini</t>
  </si>
  <si>
    <t>Comedy_Claude_PatternTeller</t>
  </si>
  <si>
    <t>Mystery_Claude_PatternTeller</t>
  </si>
  <si>
    <t>Romance_Claude_PatternTeller</t>
  </si>
  <si>
    <t>Satire_Claude_PatternTeller</t>
  </si>
  <si>
    <t>Tragedy_Claude_PatternTeller</t>
  </si>
  <si>
    <t xml:space="preserve">Comedy Gemini (PatternTeller)                                                                </t>
  </si>
  <si>
    <t>Mystery Gemini (PatternTeller)</t>
  </si>
  <si>
    <t xml:space="preserve">Romance Gemini (PatternTeller)                                                                        </t>
  </si>
  <si>
    <t>Satire Gemini (PatternTeller)</t>
  </si>
  <si>
    <t>Tragedy Gemini (PatternTeller)</t>
  </si>
  <si>
    <t>Gemini_Patternteller_Top_2_count</t>
  </si>
  <si>
    <t>Observed_Overlaps		33
P_random		0.7000
Expected_random		24.5
p-value		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</si>
</sst>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244061"/>
      <name val="Calibri"/>
      <family val="2"/>
    </font>
    <font>
      <b/>
      <sz val="11"/>
      <color rgb="FF0F243E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FFFF7F"/>
        <bgColor rgb="FFFFFF7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DE9D9"/>
        <bgColor rgb="FFFDE9D9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2" fillId="0" borderId="3" xfId="0" applyFont="1" applyBorder="1"/>
    <xf numFmtId="0" fontId="4" fillId="0" borderId="0" xfId="0" applyFont="1" applyAlignment="1">
      <alignment wrapText="1"/>
    </xf>
    <xf numFmtId="0" fontId="4" fillId="2" borderId="2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2" fillId="0" borderId="0" xfId="0" applyFont="1" applyAlignment="1">
      <alignment wrapText="1"/>
    </xf>
    <xf numFmtId="0" fontId="5" fillId="2" borderId="0" xfId="0" applyFont="1" applyFill="1"/>
    <xf numFmtId="1" fontId="6" fillId="7" borderId="0" xfId="0" applyNumberFormat="1" applyFont="1" applyFill="1"/>
    <xf numFmtId="0" fontId="5" fillId="3" borderId="0" xfId="0" applyFont="1" applyFill="1"/>
    <xf numFmtId="0" fontId="5" fillId="5" borderId="0" xfId="0" applyFont="1" applyFill="1"/>
    <xf numFmtId="0" fontId="5" fillId="6" borderId="0" xfId="0" applyFont="1" applyFill="1"/>
    <xf numFmtId="0" fontId="6" fillId="0" borderId="0" xfId="0" applyFont="1"/>
    <xf numFmtId="2" fontId="5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wrapText="1"/>
    </xf>
    <xf numFmtId="2" fontId="6" fillId="0" borderId="0" xfId="0" applyNumberFormat="1" applyFont="1"/>
    <xf numFmtId="1" fontId="6" fillId="0" borderId="0" xfId="0" applyNumberFormat="1" applyFont="1"/>
    <xf numFmtId="0" fontId="5" fillId="9" borderId="0" xfId="0" applyFont="1" applyFill="1"/>
    <xf numFmtId="0" fontId="6" fillId="8" borderId="0" xfId="0" applyFont="1" applyFill="1"/>
    <xf numFmtId="0" fontId="7" fillId="8" borderId="4" xfId="0" applyFont="1" applyFill="1" applyBorder="1"/>
    <xf numFmtId="0" fontId="7" fillId="8" borderId="0" xfId="0" applyFont="1" applyFill="1"/>
    <xf numFmtId="0" fontId="7" fillId="8" borderId="7" xfId="0" applyFont="1" applyFill="1" applyBorder="1"/>
    <xf numFmtId="0" fontId="5" fillId="0" borderId="0" xfId="0" applyFont="1" applyAlignment="1">
      <alignment horizontal="right"/>
    </xf>
    <xf numFmtId="0" fontId="4" fillId="0" borderId="0" xfId="0" applyFont="1"/>
    <xf numFmtId="0" fontId="4" fillId="2" borderId="0" xfId="0" applyFont="1" applyFill="1"/>
    <xf numFmtId="1" fontId="3" fillId="0" borderId="2" xfId="0" applyNumberFormat="1" applyFont="1" applyBorder="1"/>
    <xf numFmtId="0" fontId="3" fillId="0" borderId="2" xfId="0" applyFont="1" applyBorder="1"/>
    <xf numFmtId="1" fontId="3" fillId="0" borderId="8" xfId="0" applyNumberFormat="1" applyFont="1" applyBorder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64" fontId="5" fillId="0" borderId="0" xfId="0" applyNumberFormat="1" applyFont="1"/>
    <xf numFmtId="0" fontId="9" fillId="0" borderId="0" xfId="0" applyFont="1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top" wrapText="1"/>
    </xf>
    <xf numFmtId="1" fontId="4" fillId="0" borderId="0" xfId="0" applyNumberFormat="1" applyFont="1"/>
    <xf numFmtId="166" fontId="5" fillId="0" borderId="0" xfId="0" applyNumberFormat="1" applyFont="1"/>
    <xf numFmtId="0" fontId="6" fillId="8" borderId="5" xfId="0" applyFont="1" applyFill="1" applyBorder="1"/>
    <xf numFmtId="0" fontId="6" fillId="8" borderId="6" xfId="0" applyFont="1" applyFill="1" applyBorder="1"/>
    <xf numFmtId="0" fontId="6" fillId="8" borderId="7" xfId="0" applyFont="1" applyFill="1" applyBorder="1"/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" fillId="8" borderId="0" xfId="0" applyFont="1" applyFill="1"/>
    <xf numFmtId="166" fontId="6" fillId="8" borderId="0" xfId="0" applyNumberFormat="1" applyFont="1" applyFill="1"/>
    <xf numFmtId="2" fontId="6" fillId="8" borderId="0" xfId="0" applyNumberFormat="1" applyFont="1" applyFill="1"/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5" Type="http://schemas.openxmlformats.org/officeDocument/2006/relationships/calcChain" Target="calcChain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J848"/>
  <sheetViews>
    <sheetView tabSelected="1" topLeftCell="B1" workbookViewId="0"/>
  </sheetViews>
  <sheetFormatPr baseColWidth="10" defaultColWidth="14.5" defaultRowHeight="15" customHeight="1" x14ac:dyDescent="0.2"/>
  <cols>
    <col min="1" max="5" width="10.6640625" customWidth="1"/>
    <col min="6" max="6" width="10.5" customWidth="1"/>
    <col min="7" max="7" width="9.6640625" customWidth="1"/>
    <col min="8" max="8" width="13.5" customWidth="1"/>
    <col min="9" max="12" width="10.6640625" customWidth="1"/>
    <col min="13" max="13" width="11.83203125" customWidth="1"/>
    <col min="14" max="14" width="12.33203125" customWidth="1"/>
    <col min="15" max="15" width="9.1640625" customWidth="1"/>
    <col min="16" max="16" width="8.33203125" customWidth="1"/>
    <col min="17" max="18" width="10.6640625" customWidth="1"/>
    <col min="19" max="19" width="10.5" customWidth="1"/>
    <col min="20" max="20" width="15.1640625" customWidth="1"/>
    <col min="21" max="21" width="11.83203125" customWidth="1"/>
    <col min="22" max="22" width="14.5" customWidth="1"/>
    <col min="23" max="23" width="10.6640625" customWidth="1"/>
    <col min="24" max="24" width="12.1640625" customWidth="1"/>
    <col min="25" max="25" width="12" customWidth="1"/>
    <col min="26" max="26" width="10.6640625" customWidth="1"/>
    <col min="27" max="27" width="4.5" customWidth="1"/>
    <col min="28" max="28" width="12.1640625" customWidth="1"/>
    <col min="29" max="29" width="10.1640625" customWidth="1"/>
    <col min="30" max="30" width="10.6640625" customWidth="1"/>
    <col min="31" max="31" width="9.5" customWidth="1"/>
    <col min="32" max="32" width="11" customWidth="1"/>
    <col min="33" max="34" width="18" customWidth="1"/>
    <col min="35" max="43" width="10.6640625" customWidth="1"/>
    <col min="44" max="44" width="13.83203125" customWidth="1"/>
    <col min="45" max="50" width="10.6640625" customWidth="1"/>
    <col min="51" max="51" width="5" customWidth="1"/>
    <col min="52" max="52" width="6.5" customWidth="1"/>
    <col min="53" max="53" width="7.5" customWidth="1"/>
    <col min="54" max="54" width="5.33203125" customWidth="1"/>
    <col min="55" max="55" width="6.83203125" customWidth="1"/>
    <col min="56" max="62" width="10.6640625" customWidth="1"/>
  </cols>
  <sheetData>
    <row r="1" spans="1:62" x14ac:dyDescent="0.2">
      <c r="A1" s="34"/>
      <c r="B1" s="34"/>
      <c r="C1" s="34"/>
      <c r="D1" s="34"/>
      <c r="E1" s="34"/>
    </row>
    <row r="2" spans="1:62" ht="64" x14ac:dyDescent="0.2">
      <c r="A2" s="34"/>
      <c r="B2" s="10"/>
      <c r="C2" s="1" t="s">
        <v>0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Q2" s="26" t="s">
        <v>63</v>
      </c>
      <c r="R2" s="26" t="s">
        <v>43</v>
      </c>
      <c r="S2" s="26" t="s">
        <v>64</v>
      </c>
      <c r="T2" s="26" t="s">
        <v>41</v>
      </c>
      <c r="U2" s="26" t="s">
        <v>42</v>
      </c>
      <c r="W2" s="33" t="s">
        <v>56</v>
      </c>
      <c r="X2" s="30" t="s">
        <v>58</v>
      </c>
      <c r="Y2" s="32" t="s">
        <v>55</v>
      </c>
      <c r="Z2" s="31" t="s">
        <v>54</v>
      </c>
      <c r="AA2" s="32" t="s">
        <v>57</v>
      </c>
    </row>
    <row r="3" spans="1:62" x14ac:dyDescent="0.2">
      <c r="A3" s="34"/>
      <c r="B3" s="4"/>
      <c r="C3" s="17" t="s">
        <v>44</v>
      </c>
      <c r="D3" s="6">
        <v>2</v>
      </c>
      <c r="E3" s="6">
        <v>2</v>
      </c>
      <c r="F3" s="6">
        <v>2</v>
      </c>
      <c r="G3" s="6">
        <v>4</v>
      </c>
      <c r="H3" s="6">
        <v>4</v>
      </c>
      <c r="K3" s="7">
        <v>1</v>
      </c>
      <c r="L3" s="7">
        <v>0</v>
      </c>
      <c r="M3" s="8">
        <v>1</v>
      </c>
      <c r="N3" s="8">
        <v>2</v>
      </c>
      <c r="O3" s="8">
        <v>4</v>
      </c>
      <c r="P3" s="16"/>
      <c r="Q3" s="18">
        <v>2</v>
      </c>
      <c r="R3" s="18">
        <v>1</v>
      </c>
      <c r="S3" s="18">
        <v>1</v>
      </c>
      <c r="T3" s="18">
        <v>3</v>
      </c>
      <c r="U3" s="18">
        <v>4</v>
      </c>
      <c r="W3" s="48">
        <v>1</v>
      </c>
      <c r="X3" s="30">
        <v>1</v>
      </c>
      <c r="Y3" s="30">
        <v>2</v>
      </c>
      <c r="Z3" s="30">
        <v>4</v>
      </c>
      <c r="AA3" s="30">
        <v>4</v>
      </c>
      <c r="AH3" s="3"/>
      <c r="AI3" s="3"/>
      <c r="AJ3" s="3"/>
      <c r="AK3" s="3"/>
      <c r="AT3" s="52"/>
      <c r="AU3" s="1"/>
      <c r="AV3" s="51"/>
      <c r="AW3" s="53"/>
      <c r="AX3" s="51"/>
      <c r="BF3" s="5"/>
      <c r="BG3" s="5"/>
      <c r="BH3" s="5"/>
      <c r="BI3" s="5"/>
      <c r="BJ3" s="5"/>
    </row>
    <row r="4" spans="1:62" x14ac:dyDescent="0.2">
      <c r="A4" s="34"/>
      <c r="B4" s="4"/>
      <c r="C4" s="17" t="s">
        <v>45</v>
      </c>
      <c r="D4" s="6">
        <v>3</v>
      </c>
      <c r="E4" s="6">
        <v>2</v>
      </c>
      <c r="F4" s="6">
        <v>2</v>
      </c>
      <c r="G4" s="6">
        <v>3</v>
      </c>
      <c r="H4" s="6">
        <v>4</v>
      </c>
      <c r="K4" s="7">
        <v>0</v>
      </c>
      <c r="L4" s="7">
        <v>0</v>
      </c>
      <c r="M4" s="8">
        <v>3</v>
      </c>
      <c r="N4" s="8">
        <v>2</v>
      </c>
      <c r="O4" s="8">
        <v>3</v>
      </c>
      <c r="P4" s="24"/>
      <c r="Q4" s="18">
        <v>1</v>
      </c>
      <c r="R4" s="18">
        <v>1</v>
      </c>
      <c r="S4" s="18">
        <v>1</v>
      </c>
      <c r="T4" s="18">
        <v>2</v>
      </c>
      <c r="U4" s="18">
        <v>3</v>
      </c>
      <c r="W4" s="48">
        <v>2</v>
      </c>
      <c r="X4" s="30">
        <v>4</v>
      </c>
      <c r="Y4" s="30">
        <v>2</v>
      </c>
      <c r="Z4" s="30">
        <v>4</v>
      </c>
      <c r="AA4" s="30">
        <v>4</v>
      </c>
      <c r="AB4" s="22"/>
      <c r="AH4" s="7"/>
      <c r="AI4" s="7"/>
      <c r="AJ4" s="7"/>
      <c r="AK4" s="7"/>
      <c r="AQ4" s="23"/>
      <c r="AT4" s="40"/>
      <c r="AU4" s="40"/>
      <c r="AV4" s="40"/>
      <c r="AW4" s="40"/>
      <c r="AX4" s="40"/>
      <c r="BD4" s="23"/>
    </row>
    <row r="5" spans="1:62" x14ac:dyDescent="0.2">
      <c r="A5" s="34"/>
      <c r="B5" s="57" t="s">
        <v>1</v>
      </c>
      <c r="C5" s="11" t="s">
        <v>2</v>
      </c>
      <c r="D5" s="6">
        <v>3</v>
      </c>
      <c r="E5" s="6">
        <v>2</v>
      </c>
      <c r="F5" s="6">
        <v>4</v>
      </c>
      <c r="G5" s="6">
        <v>2</v>
      </c>
      <c r="H5" s="6">
        <v>4</v>
      </c>
      <c r="K5" s="37">
        <v>0</v>
      </c>
      <c r="L5" s="37">
        <v>0</v>
      </c>
      <c r="M5" s="37">
        <v>0</v>
      </c>
      <c r="N5" s="37">
        <v>0</v>
      </c>
      <c r="O5" s="37">
        <v>4</v>
      </c>
      <c r="P5" s="24"/>
      <c r="Q5" s="18">
        <v>1</v>
      </c>
      <c r="R5" s="18">
        <v>0</v>
      </c>
      <c r="S5" s="18">
        <v>1</v>
      </c>
      <c r="T5" s="18">
        <v>0</v>
      </c>
      <c r="U5" s="18">
        <v>2</v>
      </c>
      <c r="W5" s="48">
        <v>1</v>
      </c>
      <c r="X5" s="30">
        <v>0</v>
      </c>
      <c r="Y5" s="30">
        <v>4</v>
      </c>
      <c r="Z5" s="30">
        <v>0</v>
      </c>
      <c r="AA5" s="30">
        <v>4</v>
      </c>
      <c r="AB5" s="22"/>
      <c r="AH5" s="7"/>
      <c r="AI5" s="7"/>
      <c r="AJ5" s="7"/>
      <c r="AK5" s="7"/>
      <c r="AQ5" s="23"/>
      <c r="AT5" s="40"/>
      <c r="AU5" s="40"/>
      <c r="AV5" s="40"/>
      <c r="AW5" s="40"/>
      <c r="AX5" s="40"/>
      <c r="BD5" s="23"/>
    </row>
    <row r="6" spans="1:62" x14ac:dyDescent="0.2">
      <c r="A6" s="34"/>
      <c r="B6" s="58"/>
      <c r="C6" s="11" t="s">
        <v>3</v>
      </c>
      <c r="D6" s="6">
        <v>4</v>
      </c>
      <c r="E6" s="6">
        <v>3</v>
      </c>
      <c r="F6" s="6">
        <v>3</v>
      </c>
      <c r="G6" s="6">
        <v>4</v>
      </c>
      <c r="H6" s="6">
        <v>4</v>
      </c>
      <c r="K6" s="37">
        <v>0</v>
      </c>
      <c r="L6" s="37">
        <v>2</v>
      </c>
      <c r="M6" s="37">
        <v>0</v>
      </c>
      <c r="N6" s="37">
        <v>4</v>
      </c>
      <c r="O6" s="37">
        <v>3</v>
      </c>
      <c r="P6" s="24"/>
      <c r="Q6" s="18">
        <v>3</v>
      </c>
      <c r="R6" s="18">
        <v>0</v>
      </c>
      <c r="S6" s="18">
        <v>1</v>
      </c>
      <c r="T6" s="18">
        <v>4</v>
      </c>
      <c r="U6" s="18">
        <v>4</v>
      </c>
      <c r="W6" s="48">
        <v>2</v>
      </c>
      <c r="X6" s="30">
        <v>0</v>
      </c>
      <c r="Y6" s="30">
        <v>2</v>
      </c>
      <c r="Z6" s="30">
        <v>4</v>
      </c>
      <c r="AA6" s="30">
        <v>4</v>
      </c>
      <c r="AB6" s="22"/>
      <c r="AH6" s="38"/>
      <c r="AI6" s="38"/>
      <c r="AJ6" s="38"/>
      <c r="AK6" s="38"/>
      <c r="AQ6" s="23"/>
      <c r="AT6" s="40"/>
      <c r="AU6" s="40"/>
      <c r="AV6" s="40"/>
      <c r="AW6" s="40"/>
      <c r="AX6" s="40"/>
      <c r="BD6" s="23"/>
    </row>
    <row r="7" spans="1:62" x14ac:dyDescent="0.2">
      <c r="A7" s="34"/>
      <c r="B7" s="58"/>
      <c r="C7" s="11" t="s">
        <v>4</v>
      </c>
      <c r="D7" s="6">
        <v>3</v>
      </c>
      <c r="E7" s="6">
        <v>4</v>
      </c>
      <c r="F7" s="6">
        <v>2</v>
      </c>
      <c r="G7" s="6">
        <v>4</v>
      </c>
      <c r="H7" s="6">
        <v>4</v>
      </c>
      <c r="K7" s="37">
        <v>0</v>
      </c>
      <c r="L7" s="37">
        <v>3</v>
      </c>
      <c r="M7" s="37">
        <v>2</v>
      </c>
      <c r="N7" s="37">
        <v>2</v>
      </c>
      <c r="O7" s="37">
        <v>4</v>
      </c>
      <c r="P7" s="24"/>
      <c r="Q7" s="18">
        <v>3</v>
      </c>
      <c r="R7" s="18">
        <v>1</v>
      </c>
      <c r="S7" s="18">
        <v>1</v>
      </c>
      <c r="T7" s="18">
        <v>2</v>
      </c>
      <c r="U7" s="18">
        <v>4</v>
      </c>
      <c r="W7" s="48">
        <v>4</v>
      </c>
      <c r="X7" s="30">
        <v>1</v>
      </c>
      <c r="Y7" s="30">
        <v>3</v>
      </c>
      <c r="Z7" s="30">
        <v>0</v>
      </c>
      <c r="AA7" s="30">
        <v>4</v>
      </c>
      <c r="AB7" s="22"/>
      <c r="AH7" s="38"/>
      <c r="AI7" s="38"/>
      <c r="AJ7" s="38"/>
      <c r="AK7" s="38"/>
      <c r="AQ7" s="23"/>
      <c r="AT7" s="40"/>
      <c r="AU7" s="40"/>
      <c r="AV7" s="40"/>
      <c r="AW7" s="40"/>
      <c r="AX7" s="40"/>
      <c r="BD7" s="23"/>
    </row>
    <row r="8" spans="1:62" x14ac:dyDescent="0.2">
      <c r="A8" s="34"/>
      <c r="B8" s="58"/>
      <c r="C8" s="11" t="s">
        <v>5</v>
      </c>
      <c r="D8" s="6">
        <v>4</v>
      </c>
      <c r="E8" s="6">
        <v>3</v>
      </c>
      <c r="F8" s="6">
        <v>3</v>
      </c>
      <c r="G8" s="6">
        <v>4</v>
      </c>
      <c r="H8" s="6">
        <v>4</v>
      </c>
      <c r="K8" s="37">
        <v>1</v>
      </c>
      <c r="L8" s="37">
        <v>1</v>
      </c>
      <c r="M8" s="37">
        <v>0</v>
      </c>
      <c r="N8" s="37">
        <v>3</v>
      </c>
      <c r="O8" s="37">
        <v>4</v>
      </c>
      <c r="P8" s="24"/>
      <c r="Q8" s="18">
        <v>4</v>
      </c>
      <c r="R8" s="18">
        <v>2</v>
      </c>
      <c r="S8" s="18">
        <v>1</v>
      </c>
      <c r="T8" s="18">
        <v>4</v>
      </c>
      <c r="U8" s="18">
        <v>4</v>
      </c>
      <c r="W8" s="48">
        <v>4</v>
      </c>
      <c r="X8" s="30">
        <v>1</v>
      </c>
      <c r="Y8" s="30">
        <v>3</v>
      </c>
      <c r="Z8" s="30">
        <v>3</v>
      </c>
      <c r="AA8" s="30">
        <v>4</v>
      </c>
      <c r="AB8" s="22"/>
      <c r="AH8" s="38"/>
      <c r="AI8" s="38"/>
      <c r="AJ8" s="38"/>
      <c r="AK8" s="38"/>
      <c r="AQ8" s="23"/>
      <c r="AT8" s="40"/>
      <c r="AU8" s="40"/>
      <c r="AV8" s="40"/>
      <c r="AW8" s="40"/>
      <c r="AX8" s="40"/>
      <c r="BD8" s="23"/>
    </row>
    <row r="9" spans="1:62" x14ac:dyDescent="0.2">
      <c r="A9" s="34"/>
      <c r="B9" s="58"/>
      <c r="C9" s="11" t="s">
        <v>6</v>
      </c>
      <c r="D9" s="6">
        <v>3</v>
      </c>
      <c r="E9" s="6">
        <v>2</v>
      </c>
      <c r="F9" s="6">
        <v>2</v>
      </c>
      <c r="G9" s="6">
        <v>2</v>
      </c>
      <c r="H9" s="6">
        <v>3</v>
      </c>
      <c r="K9" s="37">
        <v>0</v>
      </c>
      <c r="L9" s="37">
        <v>1</v>
      </c>
      <c r="M9" s="37">
        <v>0</v>
      </c>
      <c r="N9" s="37">
        <v>3</v>
      </c>
      <c r="O9" s="37">
        <v>4</v>
      </c>
      <c r="P9" s="24"/>
      <c r="Q9" s="18">
        <v>4</v>
      </c>
      <c r="R9" s="18">
        <v>1</v>
      </c>
      <c r="S9" s="18">
        <v>1</v>
      </c>
      <c r="T9" s="18">
        <v>3</v>
      </c>
      <c r="U9" s="18">
        <v>4</v>
      </c>
      <c r="W9" s="48">
        <v>4</v>
      </c>
      <c r="X9" s="30">
        <v>1</v>
      </c>
      <c r="Y9" s="30">
        <v>4</v>
      </c>
      <c r="Z9" s="30">
        <v>3</v>
      </c>
      <c r="AA9" s="30">
        <v>4</v>
      </c>
      <c r="AB9" s="22"/>
      <c r="AH9" s="38"/>
      <c r="AI9" s="38"/>
      <c r="AJ9" s="38"/>
      <c r="AK9" s="38"/>
      <c r="AQ9" s="23"/>
      <c r="AT9" s="40"/>
      <c r="AU9" s="40"/>
      <c r="AV9" s="40"/>
      <c r="AW9" s="40"/>
      <c r="AX9" s="40"/>
      <c r="BD9" s="23"/>
    </row>
    <row r="10" spans="1:62" x14ac:dyDescent="0.2">
      <c r="A10" s="34"/>
      <c r="B10" s="4"/>
      <c r="C10" s="19" t="s">
        <v>46</v>
      </c>
      <c r="D10" s="6">
        <v>3</v>
      </c>
      <c r="E10" s="6">
        <v>2</v>
      </c>
      <c r="F10" s="6">
        <v>2</v>
      </c>
      <c r="G10" s="6">
        <v>4</v>
      </c>
      <c r="H10" s="6">
        <v>4</v>
      </c>
      <c r="K10" s="38">
        <v>0</v>
      </c>
      <c r="L10" s="38">
        <v>0</v>
      </c>
      <c r="M10" s="37">
        <v>1</v>
      </c>
      <c r="N10" s="37">
        <v>1</v>
      </c>
      <c r="O10" s="37">
        <v>2</v>
      </c>
      <c r="P10" s="24"/>
      <c r="Q10" s="18">
        <v>4</v>
      </c>
      <c r="R10" s="18">
        <v>1</v>
      </c>
      <c r="S10" s="18">
        <v>2</v>
      </c>
      <c r="T10" s="18">
        <v>4</v>
      </c>
      <c r="U10" s="18">
        <v>4</v>
      </c>
      <c r="W10" s="48">
        <v>1</v>
      </c>
      <c r="X10" s="30">
        <v>1</v>
      </c>
      <c r="Y10" s="30">
        <v>2</v>
      </c>
      <c r="Z10" s="30">
        <v>4</v>
      </c>
      <c r="AA10" s="30">
        <v>3</v>
      </c>
      <c r="AB10" s="22"/>
      <c r="AH10" s="38"/>
      <c r="AI10" s="38"/>
      <c r="AJ10" s="38"/>
      <c r="AK10" s="38"/>
      <c r="AQ10" s="23"/>
      <c r="AT10" s="40"/>
      <c r="AU10" s="40"/>
      <c r="AV10" s="40"/>
      <c r="AW10" s="40"/>
      <c r="AX10" s="40"/>
      <c r="BD10" s="23"/>
    </row>
    <row r="11" spans="1:62" x14ac:dyDescent="0.2">
      <c r="A11" s="34"/>
      <c r="B11" s="4"/>
      <c r="C11" s="19" t="s">
        <v>47</v>
      </c>
      <c r="D11" s="6">
        <v>2</v>
      </c>
      <c r="E11" s="6">
        <v>2</v>
      </c>
      <c r="F11" s="6">
        <v>2</v>
      </c>
      <c r="G11" s="6">
        <v>4</v>
      </c>
      <c r="H11" s="6">
        <v>4</v>
      </c>
      <c r="K11" s="38">
        <v>0</v>
      </c>
      <c r="L11" s="38">
        <v>0</v>
      </c>
      <c r="M11" s="37">
        <v>2</v>
      </c>
      <c r="N11" s="37">
        <v>2</v>
      </c>
      <c r="O11" s="37">
        <v>3</v>
      </c>
      <c r="P11" s="24"/>
      <c r="Q11" s="18">
        <v>4</v>
      </c>
      <c r="R11" s="18">
        <v>1</v>
      </c>
      <c r="S11" s="18">
        <v>1</v>
      </c>
      <c r="T11" s="18">
        <v>4</v>
      </c>
      <c r="U11" s="18">
        <v>4</v>
      </c>
      <c r="W11" s="48">
        <v>1</v>
      </c>
      <c r="X11" s="30">
        <v>3</v>
      </c>
      <c r="Y11" s="30">
        <v>2</v>
      </c>
      <c r="Z11" s="30">
        <v>4</v>
      </c>
      <c r="AA11" s="30">
        <v>4</v>
      </c>
      <c r="AB11" s="22"/>
      <c r="AH11" s="38"/>
      <c r="AI11" s="38"/>
      <c r="AJ11" s="38"/>
      <c r="AK11" s="38"/>
      <c r="AQ11" s="23"/>
      <c r="AT11" s="40"/>
      <c r="AU11" s="40"/>
      <c r="AV11" s="40"/>
      <c r="AW11" s="40"/>
      <c r="AX11" s="40"/>
      <c r="BD11" s="23"/>
    </row>
    <row r="12" spans="1:62" x14ac:dyDescent="0.2">
      <c r="A12" s="34"/>
      <c r="B12" s="57" t="s">
        <v>7</v>
      </c>
      <c r="C12" s="12" t="s">
        <v>8</v>
      </c>
      <c r="D12" s="6">
        <v>3</v>
      </c>
      <c r="E12" s="6">
        <v>1</v>
      </c>
      <c r="F12" s="6">
        <v>2</v>
      </c>
      <c r="G12" s="6">
        <v>3</v>
      </c>
      <c r="H12" s="6">
        <v>3</v>
      </c>
      <c r="K12" s="37">
        <v>2</v>
      </c>
      <c r="L12" s="37">
        <v>0</v>
      </c>
      <c r="M12" s="37">
        <v>1</v>
      </c>
      <c r="N12" s="37">
        <v>4</v>
      </c>
      <c r="O12" s="37">
        <v>0</v>
      </c>
      <c r="P12" s="24"/>
      <c r="Q12" s="18">
        <v>3</v>
      </c>
      <c r="R12" s="18">
        <v>0</v>
      </c>
      <c r="S12" s="18">
        <v>1</v>
      </c>
      <c r="T12" s="18">
        <v>2</v>
      </c>
      <c r="U12" s="18">
        <v>2</v>
      </c>
      <c r="W12" s="48">
        <v>4</v>
      </c>
      <c r="X12" s="30">
        <v>1</v>
      </c>
      <c r="Y12" s="30">
        <v>2</v>
      </c>
      <c r="Z12" s="30">
        <v>0</v>
      </c>
      <c r="AA12" s="30">
        <v>2</v>
      </c>
      <c r="AB12" s="22"/>
      <c r="AH12" s="38"/>
      <c r="AI12" s="38"/>
      <c r="AJ12" s="38"/>
      <c r="AK12" s="38"/>
      <c r="AQ12" s="23"/>
      <c r="AT12" s="40"/>
      <c r="AU12" s="40"/>
      <c r="AV12" s="40"/>
      <c r="AW12" s="40"/>
      <c r="AX12" s="40"/>
      <c r="BD12" s="23"/>
    </row>
    <row r="13" spans="1:62" x14ac:dyDescent="0.2">
      <c r="A13" s="34"/>
      <c r="B13" s="58"/>
      <c r="C13" s="12" t="s">
        <v>9</v>
      </c>
      <c r="D13" s="6">
        <v>4</v>
      </c>
      <c r="E13" s="6">
        <v>4</v>
      </c>
      <c r="F13" s="6">
        <v>4</v>
      </c>
      <c r="G13" s="6">
        <v>4</v>
      </c>
      <c r="H13" s="6">
        <v>4</v>
      </c>
      <c r="K13" s="37">
        <v>3</v>
      </c>
      <c r="L13" s="37">
        <v>3</v>
      </c>
      <c r="M13" s="37">
        <v>2</v>
      </c>
      <c r="N13" s="37">
        <v>1</v>
      </c>
      <c r="O13" s="37">
        <v>1</v>
      </c>
      <c r="P13" s="24"/>
      <c r="Q13" s="18">
        <v>2</v>
      </c>
      <c r="R13" s="18">
        <v>1</v>
      </c>
      <c r="S13" s="18">
        <v>1</v>
      </c>
      <c r="T13" s="18">
        <v>2</v>
      </c>
      <c r="U13" s="18">
        <v>2</v>
      </c>
      <c r="W13" s="48">
        <v>4</v>
      </c>
      <c r="X13" s="30">
        <v>1</v>
      </c>
      <c r="Y13" s="30">
        <v>4</v>
      </c>
      <c r="Z13" s="30">
        <v>1</v>
      </c>
      <c r="AA13" s="30">
        <v>1</v>
      </c>
      <c r="AB13" s="22"/>
      <c r="AH13" s="38"/>
      <c r="AI13" s="38"/>
      <c r="AJ13" s="38"/>
      <c r="AK13" s="38"/>
      <c r="AQ13" s="23"/>
      <c r="AT13" s="40"/>
      <c r="AU13" s="40"/>
      <c r="AV13" s="40"/>
      <c r="AW13" s="40"/>
      <c r="AX13" s="40"/>
      <c r="BD13" s="23"/>
    </row>
    <row r="14" spans="1:62" x14ac:dyDescent="0.2">
      <c r="A14" s="34"/>
      <c r="B14" s="58"/>
      <c r="C14" s="12" t="s">
        <v>10</v>
      </c>
      <c r="D14" s="6">
        <v>4</v>
      </c>
      <c r="E14" s="6">
        <v>3</v>
      </c>
      <c r="F14" s="6">
        <v>4</v>
      </c>
      <c r="G14" s="6">
        <v>4</v>
      </c>
      <c r="H14" s="6">
        <v>4</v>
      </c>
      <c r="K14" s="37">
        <v>2</v>
      </c>
      <c r="L14" s="37">
        <v>1</v>
      </c>
      <c r="M14" s="37">
        <v>0</v>
      </c>
      <c r="N14" s="37">
        <v>2</v>
      </c>
      <c r="O14" s="37">
        <v>0</v>
      </c>
      <c r="P14" s="24"/>
      <c r="Q14" s="18">
        <v>2</v>
      </c>
      <c r="R14" s="18">
        <v>1</v>
      </c>
      <c r="S14" s="18">
        <v>1</v>
      </c>
      <c r="T14" s="18">
        <v>1</v>
      </c>
      <c r="U14" s="18">
        <v>2</v>
      </c>
      <c r="W14" s="48">
        <v>4</v>
      </c>
      <c r="X14" s="30">
        <v>0</v>
      </c>
      <c r="Y14" s="30">
        <v>4</v>
      </c>
      <c r="Z14" s="30">
        <v>0</v>
      </c>
      <c r="AA14" s="30">
        <v>1</v>
      </c>
      <c r="AB14" s="22"/>
      <c r="AH14" s="38"/>
      <c r="AI14" s="38"/>
      <c r="AJ14" s="38"/>
      <c r="AK14" s="38"/>
      <c r="AQ14" s="23"/>
      <c r="AT14" s="40"/>
      <c r="AU14" s="40"/>
      <c r="AV14" s="40"/>
      <c r="AW14" s="40"/>
      <c r="AX14" s="40"/>
      <c r="BD14" s="23"/>
    </row>
    <row r="15" spans="1:62" x14ac:dyDescent="0.2">
      <c r="A15" s="34"/>
      <c r="B15" s="58"/>
      <c r="C15" s="12" t="s">
        <v>11</v>
      </c>
      <c r="D15" s="6">
        <v>4</v>
      </c>
      <c r="E15" s="6">
        <v>3</v>
      </c>
      <c r="F15" s="6">
        <v>3</v>
      </c>
      <c r="G15" s="6">
        <v>4</v>
      </c>
      <c r="H15" s="6">
        <v>3</v>
      </c>
      <c r="K15" s="39">
        <v>1</v>
      </c>
      <c r="L15" s="39">
        <v>0</v>
      </c>
      <c r="M15" s="39">
        <v>1</v>
      </c>
      <c r="N15" s="39">
        <v>3</v>
      </c>
      <c r="O15" s="39">
        <v>0</v>
      </c>
      <c r="P15" s="24"/>
      <c r="Q15" s="18">
        <v>3</v>
      </c>
      <c r="R15" s="18">
        <v>1</v>
      </c>
      <c r="S15" s="18">
        <v>1</v>
      </c>
      <c r="T15" s="18">
        <v>2</v>
      </c>
      <c r="U15" s="18">
        <v>2</v>
      </c>
      <c r="W15" s="48">
        <v>4</v>
      </c>
      <c r="X15" s="30">
        <v>1</v>
      </c>
      <c r="Y15" s="30">
        <v>4</v>
      </c>
      <c r="Z15" s="30">
        <v>3</v>
      </c>
      <c r="AA15" s="30">
        <v>1</v>
      </c>
      <c r="AB15" s="22"/>
      <c r="AH15" s="38"/>
      <c r="AI15" s="38"/>
      <c r="AJ15" s="38"/>
      <c r="AK15" s="38"/>
      <c r="AQ15" s="23"/>
      <c r="AT15" s="40"/>
      <c r="AU15" s="40"/>
      <c r="AV15" s="40"/>
      <c r="AW15" s="40"/>
      <c r="AX15" s="40"/>
      <c r="BD15" s="23"/>
    </row>
    <row r="16" spans="1:62" x14ac:dyDescent="0.2">
      <c r="A16" s="34"/>
      <c r="B16" s="58"/>
      <c r="C16" s="12" t="s">
        <v>12</v>
      </c>
      <c r="D16" s="6">
        <v>4</v>
      </c>
      <c r="E16" s="6">
        <v>3</v>
      </c>
      <c r="F16" s="6">
        <v>3</v>
      </c>
      <c r="G16" s="6">
        <v>4</v>
      </c>
      <c r="H16" s="6">
        <v>4</v>
      </c>
      <c r="K16" s="8">
        <v>1</v>
      </c>
      <c r="L16" s="8">
        <v>3</v>
      </c>
      <c r="M16" s="8">
        <v>0</v>
      </c>
      <c r="N16" s="8">
        <v>3</v>
      </c>
      <c r="O16" s="8">
        <v>1</v>
      </c>
      <c r="P16" s="24"/>
      <c r="Q16" s="18">
        <v>2</v>
      </c>
      <c r="R16" s="18">
        <v>0</v>
      </c>
      <c r="S16" s="18">
        <v>0</v>
      </c>
      <c r="T16" s="18">
        <v>2</v>
      </c>
      <c r="U16" s="18">
        <v>2</v>
      </c>
      <c r="W16" s="48">
        <v>4</v>
      </c>
      <c r="X16" s="30">
        <v>1</v>
      </c>
      <c r="Y16" s="30">
        <v>3</v>
      </c>
      <c r="Z16" s="30">
        <v>1</v>
      </c>
      <c r="AA16" s="30">
        <v>1</v>
      </c>
      <c r="AB16" s="22"/>
      <c r="AH16" s="38"/>
      <c r="AI16" s="38"/>
      <c r="AJ16" s="38"/>
      <c r="AK16" s="38"/>
      <c r="AQ16" s="23"/>
      <c r="AT16" s="40"/>
      <c r="AU16" s="40"/>
      <c r="AV16" s="40"/>
      <c r="AW16" s="40"/>
      <c r="AX16" s="40"/>
      <c r="BD16" s="23"/>
    </row>
    <row r="17" spans="1:56" x14ac:dyDescent="0.2">
      <c r="A17" s="34"/>
      <c r="B17" s="4"/>
      <c r="C17" s="29" t="s">
        <v>48</v>
      </c>
      <c r="D17" s="6">
        <v>3</v>
      </c>
      <c r="E17" s="6">
        <v>2</v>
      </c>
      <c r="F17" s="6">
        <v>2</v>
      </c>
      <c r="G17" s="6">
        <v>4</v>
      </c>
      <c r="H17" s="6">
        <v>4</v>
      </c>
      <c r="K17" s="40">
        <v>0</v>
      </c>
      <c r="L17" s="40">
        <v>0</v>
      </c>
      <c r="M17" s="40">
        <v>4</v>
      </c>
      <c r="N17" s="40">
        <v>1</v>
      </c>
      <c r="O17" s="41">
        <v>4</v>
      </c>
      <c r="P17" s="24"/>
      <c r="Q17" s="18">
        <v>4</v>
      </c>
      <c r="R17" s="18">
        <v>1</v>
      </c>
      <c r="S17" s="18">
        <v>1</v>
      </c>
      <c r="T17" s="18">
        <v>4</v>
      </c>
      <c r="U17" s="18">
        <v>4</v>
      </c>
      <c r="W17" s="48">
        <v>1</v>
      </c>
      <c r="X17" s="30">
        <v>4</v>
      </c>
      <c r="Y17" s="30">
        <v>2</v>
      </c>
      <c r="Z17" s="30">
        <v>4</v>
      </c>
      <c r="AA17" s="30">
        <v>4</v>
      </c>
      <c r="AB17" s="22"/>
      <c r="AH17" s="38"/>
      <c r="AI17" s="38"/>
      <c r="AJ17" s="38"/>
      <c r="AK17" s="38"/>
      <c r="AQ17" s="23"/>
      <c r="AT17" s="40"/>
      <c r="AU17" s="40"/>
      <c r="AV17" s="40"/>
      <c r="AW17" s="40"/>
      <c r="AX17" s="40"/>
      <c r="BD17" s="23"/>
    </row>
    <row r="18" spans="1:56" x14ac:dyDescent="0.2">
      <c r="A18" s="34"/>
      <c r="B18" s="4"/>
      <c r="C18" s="29" t="s">
        <v>49</v>
      </c>
      <c r="D18" s="6">
        <v>3</v>
      </c>
      <c r="E18" s="6">
        <v>2</v>
      </c>
      <c r="F18" s="6">
        <v>1</v>
      </c>
      <c r="G18" s="6">
        <v>4</v>
      </c>
      <c r="H18" s="6">
        <v>4</v>
      </c>
      <c r="K18" s="40">
        <v>0</v>
      </c>
      <c r="L18" s="40">
        <v>0</v>
      </c>
      <c r="M18" s="40">
        <v>4</v>
      </c>
      <c r="N18" s="40">
        <v>1</v>
      </c>
      <c r="O18" s="41">
        <v>3</v>
      </c>
      <c r="P18" s="24"/>
      <c r="Q18" s="18">
        <v>4</v>
      </c>
      <c r="R18" s="18">
        <v>1</v>
      </c>
      <c r="S18" s="18">
        <v>0</v>
      </c>
      <c r="T18" s="18">
        <v>2</v>
      </c>
      <c r="U18" s="18">
        <v>4</v>
      </c>
      <c r="W18" s="48">
        <v>1</v>
      </c>
      <c r="X18" s="30">
        <v>3</v>
      </c>
      <c r="Y18" s="30">
        <v>2</v>
      </c>
      <c r="Z18" s="30">
        <v>4</v>
      </c>
      <c r="AA18" s="30">
        <v>4</v>
      </c>
      <c r="AB18" s="22"/>
      <c r="AH18" s="38"/>
      <c r="AI18" s="38"/>
      <c r="AJ18" s="38"/>
      <c r="AK18" s="38"/>
      <c r="AQ18" s="23"/>
      <c r="AT18" s="40"/>
      <c r="AU18" s="40"/>
      <c r="AV18" s="40"/>
      <c r="AW18" s="40"/>
      <c r="AX18" s="40"/>
      <c r="BD18" s="23"/>
    </row>
    <row r="19" spans="1:56" x14ac:dyDescent="0.2">
      <c r="A19" s="34"/>
      <c r="B19" s="57" t="s">
        <v>13</v>
      </c>
      <c r="C19" s="13" t="s">
        <v>14</v>
      </c>
      <c r="D19" s="6">
        <v>4</v>
      </c>
      <c r="E19" s="6">
        <v>4</v>
      </c>
      <c r="F19" s="6">
        <v>4</v>
      </c>
      <c r="G19" s="6">
        <v>3</v>
      </c>
      <c r="H19" s="6">
        <v>4</v>
      </c>
      <c r="K19" s="8">
        <v>1</v>
      </c>
      <c r="L19" s="8">
        <v>0</v>
      </c>
      <c r="M19" s="8">
        <v>4</v>
      </c>
      <c r="N19" s="8">
        <v>3</v>
      </c>
      <c r="O19" s="8">
        <v>1</v>
      </c>
      <c r="P19" s="24"/>
      <c r="Q19" s="18">
        <v>3</v>
      </c>
      <c r="R19" s="18">
        <v>1</v>
      </c>
      <c r="S19" s="18">
        <v>1</v>
      </c>
      <c r="T19" s="18">
        <v>3</v>
      </c>
      <c r="U19" s="18">
        <v>2</v>
      </c>
      <c r="W19" s="48">
        <v>4</v>
      </c>
      <c r="X19" s="30">
        <v>2</v>
      </c>
      <c r="Y19" s="30">
        <v>3</v>
      </c>
      <c r="Z19" s="30">
        <v>0</v>
      </c>
      <c r="AA19" s="30">
        <v>1</v>
      </c>
      <c r="AB19" s="22"/>
      <c r="AH19" s="38"/>
      <c r="AI19" s="38"/>
      <c r="AJ19" s="38"/>
      <c r="AK19" s="38"/>
      <c r="AQ19" s="23"/>
      <c r="AT19" s="40"/>
      <c r="AU19" s="40"/>
      <c r="AV19" s="40"/>
      <c r="AW19" s="40"/>
      <c r="AX19" s="40"/>
      <c r="BD19" s="23"/>
    </row>
    <row r="20" spans="1:56" x14ac:dyDescent="0.2">
      <c r="A20" s="34"/>
      <c r="B20" s="58"/>
      <c r="C20" s="13" t="s">
        <v>15</v>
      </c>
      <c r="D20" s="6">
        <v>4</v>
      </c>
      <c r="E20" s="6">
        <v>4</v>
      </c>
      <c r="F20" s="6">
        <v>2</v>
      </c>
      <c r="G20" s="6">
        <v>2</v>
      </c>
      <c r="H20" s="6">
        <v>4</v>
      </c>
      <c r="K20" s="8">
        <v>0</v>
      </c>
      <c r="L20" s="8">
        <v>0</v>
      </c>
      <c r="M20" s="8">
        <v>3</v>
      </c>
      <c r="N20" s="8">
        <v>0</v>
      </c>
      <c r="O20" s="8">
        <v>2</v>
      </c>
      <c r="P20" s="24"/>
      <c r="Q20" s="18">
        <v>2</v>
      </c>
      <c r="R20" s="18">
        <v>0</v>
      </c>
      <c r="S20" s="18">
        <v>1</v>
      </c>
      <c r="T20" s="18">
        <v>1</v>
      </c>
      <c r="U20" s="18">
        <v>2</v>
      </c>
      <c r="W20" s="48">
        <v>4</v>
      </c>
      <c r="X20" s="30">
        <v>1</v>
      </c>
      <c r="Y20" s="30">
        <v>3</v>
      </c>
      <c r="Z20" s="30">
        <v>0</v>
      </c>
      <c r="AA20" s="30">
        <v>1</v>
      </c>
      <c r="AB20" s="22"/>
      <c r="AH20" s="38"/>
      <c r="AI20" s="38"/>
      <c r="AJ20" s="38"/>
      <c r="AK20" s="38"/>
      <c r="AQ20" s="23"/>
      <c r="AT20" s="40"/>
      <c r="AU20" s="40"/>
      <c r="AV20" s="40"/>
      <c r="AW20" s="40"/>
      <c r="AX20" s="40"/>
      <c r="BD20" s="23"/>
    </row>
    <row r="21" spans="1:56" x14ac:dyDescent="0.2">
      <c r="A21" s="34"/>
      <c r="B21" s="58"/>
      <c r="C21" s="13" t="s">
        <v>16</v>
      </c>
      <c r="D21" s="6">
        <v>3</v>
      </c>
      <c r="E21" s="6">
        <v>2</v>
      </c>
      <c r="F21" s="6">
        <v>4</v>
      </c>
      <c r="G21" s="6">
        <v>3</v>
      </c>
      <c r="H21" s="6">
        <v>4</v>
      </c>
      <c r="K21" s="8">
        <v>1</v>
      </c>
      <c r="L21" s="8">
        <v>3</v>
      </c>
      <c r="M21" s="8">
        <v>2</v>
      </c>
      <c r="N21" s="8">
        <v>1</v>
      </c>
      <c r="O21" s="8">
        <v>2</v>
      </c>
      <c r="P21" s="24"/>
      <c r="Q21" s="18">
        <v>2</v>
      </c>
      <c r="R21" s="18">
        <v>1</v>
      </c>
      <c r="S21" s="18">
        <v>1</v>
      </c>
      <c r="T21" s="18">
        <v>0</v>
      </c>
      <c r="U21" s="18">
        <v>2</v>
      </c>
      <c r="W21" s="48">
        <v>2</v>
      </c>
      <c r="X21" s="30">
        <v>1</v>
      </c>
      <c r="Y21" s="30">
        <v>3</v>
      </c>
      <c r="Z21" s="30">
        <v>0</v>
      </c>
      <c r="AA21" s="30">
        <v>2</v>
      </c>
      <c r="AB21" s="22"/>
      <c r="AH21" s="38"/>
      <c r="AI21" s="38"/>
      <c r="AJ21" s="38"/>
      <c r="AK21" s="38"/>
      <c r="AQ21" s="23"/>
      <c r="AT21" s="40"/>
      <c r="AU21" s="40"/>
      <c r="AV21" s="40"/>
      <c r="AW21" s="40"/>
      <c r="AX21" s="40"/>
      <c r="BD21" s="23"/>
    </row>
    <row r="22" spans="1:56" x14ac:dyDescent="0.2">
      <c r="A22" s="34"/>
      <c r="B22" s="58"/>
      <c r="C22" s="13" t="s">
        <v>17</v>
      </c>
      <c r="D22" s="6">
        <v>4</v>
      </c>
      <c r="E22" s="6">
        <v>4</v>
      </c>
      <c r="F22" s="6">
        <v>4</v>
      </c>
      <c r="G22" s="6">
        <v>3</v>
      </c>
      <c r="H22" s="6">
        <v>4</v>
      </c>
      <c r="K22" s="8">
        <v>1</v>
      </c>
      <c r="L22" s="8">
        <v>0</v>
      </c>
      <c r="M22" s="8">
        <v>3</v>
      </c>
      <c r="N22" s="8">
        <v>1</v>
      </c>
      <c r="O22" s="8">
        <v>1</v>
      </c>
      <c r="P22" s="24"/>
      <c r="Q22" s="18">
        <v>2</v>
      </c>
      <c r="R22" s="18">
        <v>0</v>
      </c>
      <c r="S22" s="18">
        <v>1</v>
      </c>
      <c r="T22" s="18">
        <v>1</v>
      </c>
      <c r="U22" s="18">
        <v>2</v>
      </c>
      <c r="W22" s="48">
        <v>4</v>
      </c>
      <c r="X22" s="30">
        <v>1</v>
      </c>
      <c r="Y22" s="30">
        <v>4</v>
      </c>
      <c r="Z22" s="30">
        <v>0</v>
      </c>
      <c r="AA22" s="30">
        <v>1</v>
      </c>
      <c r="AB22" s="22"/>
      <c r="AH22" s="38"/>
      <c r="AI22" s="38"/>
      <c r="AJ22" s="38"/>
      <c r="AK22" s="38"/>
      <c r="AQ22" s="23"/>
      <c r="AT22" s="40"/>
      <c r="AU22" s="40"/>
      <c r="AV22" s="40"/>
      <c r="AW22" s="40"/>
      <c r="AX22" s="40"/>
      <c r="BD22" s="23"/>
    </row>
    <row r="23" spans="1:56" x14ac:dyDescent="0.2">
      <c r="A23" s="34"/>
      <c r="B23" s="58"/>
      <c r="C23" s="13" t="s">
        <v>18</v>
      </c>
      <c r="D23" s="6">
        <v>4</v>
      </c>
      <c r="E23" s="6">
        <v>3</v>
      </c>
      <c r="F23" s="6">
        <v>3</v>
      </c>
      <c r="G23" s="6">
        <v>4</v>
      </c>
      <c r="H23" s="6">
        <v>4</v>
      </c>
      <c r="K23" s="8">
        <v>1</v>
      </c>
      <c r="L23" s="8">
        <v>2</v>
      </c>
      <c r="M23" s="8">
        <v>4</v>
      </c>
      <c r="N23" s="8">
        <v>1</v>
      </c>
      <c r="O23" s="8">
        <v>1</v>
      </c>
      <c r="P23" s="24"/>
      <c r="Q23" s="18">
        <v>2</v>
      </c>
      <c r="R23" s="18">
        <v>1</v>
      </c>
      <c r="S23" s="18">
        <v>1</v>
      </c>
      <c r="T23" s="18">
        <v>2</v>
      </c>
      <c r="U23" s="18">
        <v>2</v>
      </c>
      <c r="W23" s="48">
        <v>4</v>
      </c>
      <c r="X23" s="30">
        <v>1</v>
      </c>
      <c r="Y23" s="30">
        <v>3</v>
      </c>
      <c r="Z23" s="30">
        <v>1</v>
      </c>
      <c r="AA23" s="30">
        <v>1</v>
      </c>
      <c r="AB23" s="22"/>
      <c r="AH23" s="38"/>
      <c r="AI23" s="38"/>
      <c r="AJ23" s="38"/>
      <c r="AK23" s="38"/>
      <c r="AQ23" s="23"/>
      <c r="AT23" s="40"/>
      <c r="AU23" s="40"/>
      <c r="AV23" s="40"/>
      <c r="AW23" s="40"/>
      <c r="AX23" s="40"/>
      <c r="BD23" s="23"/>
    </row>
    <row r="24" spans="1:56" x14ac:dyDescent="0.2">
      <c r="A24" s="34"/>
      <c r="B24" s="4"/>
      <c r="C24" s="20" t="s">
        <v>50</v>
      </c>
      <c r="D24" s="6">
        <v>3</v>
      </c>
      <c r="E24" s="6">
        <v>4</v>
      </c>
      <c r="F24" s="6">
        <v>3</v>
      </c>
      <c r="G24" s="6">
        <v>4</v>
      </c>
      <c r="H24" s="6">
        <v>4</v>
      </c>
      <c r="K24" s="40">
        <v>1</v>
      </c>
      <c r="L24" s="40">
        <v>4</v>
      </c>
      <c r="M24" s="41">
        <v>1</v>
      </c>
      <c r="N24" s="41">
        <v>1</v>
      </c>
      <c r="O24" s="41">
        <v>1</v>
      </c>
      <c r="P24" s="24"/>
      <c r="Q24" s="18">
        <v>4</v>
      </c>
      <c r="R24" s="18">
        <v>4</v>
      </c>
      <c r="S24" s="18">
        <v>1</v>
      </c>
      <c r="T24" s="18">
        <v>2</v>
      </c>
      <c r="U24" s="18">
        <v>4</v>
      </c>
      <c r="W24" s="48">
        <v>1</v>
      </c>
      <c r="X24" s="30">
        <v>4</v>
      </c>
      <c r="Y24" s="30">
        <v>3</v>
      </c>
      <c r="Z24" s="30">
        <v>0</v>
      </c>
      <c r="AA24" s="30">
        <v>1</v>
      </c>
      <c r="AB24" s="22"/>
      <c r="AH24" s="38"/>
      <c r="AI24" s="38"/>
      <c r="AJ24" s="38"/>
      <c r="AK24" s="38"/>
      <c r="AQ24" s="23"/>
      <c r="AT24" s="40"/>
      <c r="AU24" s="40"/>
      <c r="AV24" s="40"/>
      <c r="AW24" s="40"/>
      <c r="AX24" s="40"/>
      <c r="BD24" s="23"/>
    </row>
    <row r="25" spans="1:56" x14ac:dyDescent="0.2">
      <c r="A25" s="34"/>
      <c r="B25" s="4"/>
      <c r="C25" s="20" t="s">
        <v>51</v>
      </c>
      <c r="D25" s="6">
        <v>3</v>
      </c>
      <c r="E25" s="6">
        <v>3</v>
      </c>
      <c r="F25" s="6">
        <v>2</v>
      </c>
      <c r="G25" s="6">
        <v>4</v>
      </c>
      <c r="H25" s="6">
        <v>4</v>
      </c>
      <c r="K25" s="40">
        <v>0</v>
      </c>
      <c r="L25" s="40">
        <v>4</v>
      </c>
      <c r="M25" s="41">
        <v>1</v>
      </c>
      <c r="N25" s="41">
        <v>0</v>
      </c>
      <c r="O25" s="41">
        <v>1</v>
      </c>
      <c r="P25" s="24"/>
      <c r="Q25" s="18">
        <v>4</v>
      </c>
      <c r="R25" s="18">
        <v>4</v>
      </c>
      <c r="S25" s="18">
        <v>1</v>
      </c>
      <c r="T25" s="18">
        <v>3</v>
      </c>
      <c r="U25" s="18">
        <v>4</v>
      </c>
      <c r="W25" s="48">
        <v>1</v>
      </c>
      <c r="X25" s="30">
        <v>4</v>
      </c>
      <c r="Y25" s="30">
        <v>3</v>
      </c>
      <c r="Z25" s="30">
        <v>4</v>
      </c>
      <c r="AA25" s="30">
        <v>2</v>
      </c>
      <c r="AB25" s="22"/>
      <c r="AH25" s="38"/>
      <c r="AI25" s="38"/>
      <c r="AJ25" s="38"/>
      <c r="AK25" s="38"/>
      <c r="AQ25" s="23"/>
      <c r="AT25" s="40"/>
      <c r="AU25" s="40"/>
      <c r="AV25" s="40"/>
      <c r="AW25" s="40"/>
      <c r="AX25" s="40"/>
      <c r="BD25" s="23"/>
    </row>
    <row r="26" spans="1:56" x14ac:dyDescent="0.2">
      <c r="A26" s="34"/>
      <c r="B26" s="57" t="s">
        <v>19</v>
      </c>
      <c r="C26" s="14" t="s">
        <v>20</v>
      </c>
      <c r="D26" s="6">
        <v>3</v>
      </c>
      <c r="E26" s="6">
        <v>3</v>
      </c>
      <c r="F26" s="6">
        <v>2</v>
      </c>
      <c r="G26" s="6">
        <v>3</v>
      </c>
      <c r="H26" s="6">
        <v>4</v>
      </c>
      <c r="K26" s="8">
        <v>0</v>
      </c>
      <c r="L26" s="8">
        <v>4</v>
      </c>
      <c r="M26" s="8">
        <v>0</v>
      </c>
      <c r="N26" s="8">
        <v>0</v>
      </c>
      <c r="O26" s="8">
        <v>4</v>
      </c>
      <c r="P26" s="24"/>
      <c r="Q26" s="18">
        <v>4</v>
      </c>
      <c r="R26" s="18">
        <v>4</v>
      </c>
      <c r="S26" s="18">
        <v>1</v>
      </c>
      <c r="T26" s="18">
        <v>3</v>
      </c>
      <c r="U26" s="18">
        <v>4</v>
      </c>
      <c r="W26" s="48">
        <v>3</v>
      </c>
      <c r="X26" s="30">
        <v>2</v>
      </c>
      <c r="Y26" s="30">
        <v>2</v>
      </c>
      <c r="Z26" s="30">
        <v>1</v>
      </c>
      <c r="AA26" s="30">
        <v>4</v>
      </c>
      <c r="AB26" s="22"/>
      <c r="AH26" s="38"/>
      <c r="AI26" s="38"/>
      <c r="AJ26" s="38"/>
      <c r="AK26" s="38"/>
      <c r="AQ26" s="23"/>
      <c r="AT26" s="40"/>
      <c r="AU26" s="40"/>
      <c r="AV26" s="40"/>
      <c r="AW26" s="40"/>
      <c r="AX26" s="40"/>
      <c r="BD26" s="23"/>
    </row>
    <row r="27" spans="1:56" x14ac:dyDescent="0.2">
      <c r="A27" s="34"/>
      <c r="B27" s="58"/>
      <c r="C27" s="14" t="s">
        <v>21</v>
      </c>
      <c r="D27" s="6">
        <v>3</v>
      </c>
      <c r="E27" s="6">
        <v>4</v>
      </c>
      <c r="F27" s="6">
        <v>4</v>
      </c>
      <c r="G27" s="6">
        <v>3</v>
      </c>
      <c r="H27" s="6">
        <v>4</v>
      </c>
      <c r="K27" s="8">
        <v>1</v>
      </c>
      <c r="L27" s="8">
        <v>4</v>
      </c>
      <c r="M27" s="8">
        <v>1</v>
      </c>
      <c r="N27" s="8">
        <v>1</v>
      </c>
      <c r="O27" s="8">
        <v>3</v>
      </c>
      <c r="P27" s="24"/>
      <c r="Q27" s="18">
        <v>3</v>
      </c>
      <c r="R27" s="18">
        <v>4</v>
      </c>
      <c r="S27" s="18">
        <v>1</v>
      </c>
      <c r="T27" s="18">
        <v>3</v>
      </c>
      <c r="U27" s="18">
        <v>3</v>
      </c>
      <c r="W27" s="48">
        <v>4</v>
      </c>
      <c r="X27" s="30">
        <v>3</v>
      </c>
      <c r="Y27" s="30">
        <v>4</v>
      </c>
      <c r="Z27" s="30">
        <v>0</v>
      </c>
      <c r="AA27" s="30">
        <v>3</v>
      </c>
      <c r="AB27" s="22"/>
      <c r="AH27" s="38"/>
      <c r="AI27" s="38"/>
      <c r="AJ27" s="38"/>
      <c r="AK27" s="38"/>
      <c r="AQ27" s="23"/>
      <c r="AT27" s="40"/>
      <c r="AU27" s="40"/>
      <c r="AV27" s="40"/>
      <c r="AW27" s="40"/>
      <c r="AX27" s="40"/>
      <c r="BD27" s="23"/>
    </row>
    <row r="28" spans="1:56" x14ac:dyDescent="0.2">
      <c r="A28" s="34"/>
      <c r="B28" s="58"/>
      <c r="C28" s="14" t="s">
        <v>22</v>
      </c>
      <c r="D28" s="6">
        <v>3</v>
      </c>
      <c r="E28" s="6">
        <v>3</v>
      </c>
      <c r="F28" s="6">
        <v>2</v>
      </c>
      <c r="G28" s="6">
        <v>3</v>
      </c>
      <c r="H28" s="6">
        <v>4</v>
      </c>
      <c r="K28" s="8">
        <v>1</v>
      </c>
      <c r="L28" s="8">
        <v>3</v>
      </c>
      <c r="M28" s="8">
        <v>1</v>
      </c>
      <c r="N28" s="8">
        <v>0</v>
      </c>
      <c r="O28" s="8">
        <v>1</v>
      </c>
      <c r="P28" s="24"/>
      <c r="Q28" s="18">
        <v>3</v>
      </c>
      <c r="R28" s="18">
        <v>3</v>
      </c>
      <c r="S28" s="18">
        <v>1</v>
      </c>
      <c r="T28" s="18">
        <v>1</v>
      </c>
      <c r="U28" s="18">
        <v>4</v>
      </c>
      <c r="W28" s="48">
        <v>2</v>
      </c>
      <c r="X28" s="30">
        <v>2</v>
      </c>
      <c r="Y28" s="30">
        <v>3</v>
      </c>
      <c r="Z28" s="30">
        <v>0</v>
      </c>
      <c r="AA28" s="30">
        <v>2</v>
      </c>
      <c r="AB28" s="22"/>
      <c r="AH28" s="38"/>
      <c r="AI28" s="38"/>
      <c r="AJ28" s="38"/>
      <c r="AK28" s="38"/>
      <c r="AQ28" s="23"/>
      <c r="AT28" s="40"/>
      <c r="AU28" s="40"/>
      <c r="AV28" s="40"/>
      <c r="AW28" s="40"/>
      <c r="AX28" s="40"/>
      <c r="BD28" s="23"/>
    </row>
    <row r="29" spans="1:56" ht="15.75" customHeight="1" x14ac:dyDescent="0.2">
      <c r="A29" s="34"/>
      <c r="B29" s="58"/>
      <c r="C29" s="14" t="s">
        <v>23</v>
      </c>
      <c r="D29" s="6">
        <v>3</v>
      </c>
      <c r="E29" s="6">
        <v>4</v>
      </c>
      <c r="F29" s="6">
        <v>3</v>
      </c>
      <c r="G29" s="6">
        <v>3</v>
      </c>
      <c r="H29" s="6">
        <v>4</v>
      </c>
      <c r="K29" s="8">
        <v>1</v>
      </c>
      <c r="L29" s="8">
        <v>4</v>
      </c>
      <c r="M29" s="8">
        <v>1</v>
      </c>
      <c r="N29" s="8">
        <v>0</v>
      </c>
      <c r="O29" s="8">
        <v>1</v>
      </c>
      <c r="P29" s="24"/>
      <c r="Q29" s="18">
        <v>3</v>
      </c>
      <c r="R29" s="18">
        <v>3</v>
      </c>
      <c r="S29" s="18">
        <v>1</v>
      </c>
      <c r="T29" s="18">
        <v>2</v>
      </c>
      <c r="U29" s="18">
        <v>3</v>
      </c>
      <c r="W29" s="48">
        <v>4</v>
      </c>
      <c r="X29" s="30">
        <v>3</v>
      </c>
      <c r="Y29" s="30">
        <v>3</v>
      </c>
      <c r="Z29" s="30">
        <v>0</v>
      </c>
      <c r="AA29" s="30">
        <v>1</v>
      </c>
      <c r="AB29" s="22"/>
      <c r="AH29" s="38"/>
      <c r="AI29" s="38"/>
      <c r="AJ29" s="38"/>
      <c r="AK29" s="38"/>
      <c r="AQ29" s="23"/>
      <c r="AT29" s="40"/>
      <c r="AU29" s="40"/>
      <c r="AV29" s="40"/>
      <c r="AW29" s="40"/>
      <c r="AX29" s="40"/>
      <c r="BD29" s="23"/>
    </row>
    <row r="30" spans="1:56" ht="15.75" customHeight="1" x14ac:dyDescent="0.2">
      <c r="A30" s="34"/>
      <c r="B30" s="58"/>
      <c r="C30" s="14" t="s">
        <v>24</v>
      </c>
      <c r="D30" s="6">
        <v>3</v>
      </c>
      <c r="E30" s="6">
        <v>4</v>
      </c>
      <c r="F30" s="6">
        <v>2</v>
      </c>
      <c r="G30" s="6">
        <v>3</v>
      </c>
      <c r="H30" s="6">
        <v>4</v>
      </c>
      <c r="K30" s="8">
        <v>0</v>
      </c>
      <c r="L30" s="8">
        <v>4</v>
      </c>
      <c r="M30" s="8">
        <v>0</v>
      </c>
      <c r="N30" s="8">
        <v>1</v>
      </c>
      <c r="O30" s="8">
        <v>4</v>
      </c>
      <c r="P30" s="24"/>
      <c r="Q30" s="18">
        <v>3</v>
      </c>
      <c r="R30" s="18">
        <v>4</v>
      </c>
      <c r="S30" s="18">
        <v>2</v>
      </c>
      <c r="T30" s="18">
        <v>4</v>
      </c>
      <c r="U30" s="18">
        <v>4</v>
      </c>
      <c r="W30" s="48">
        <v>2</v>
      </c>
      <c r="X30" s="30">
        <v>4</v>
      </c>
      <c r="Y30" s="30">
        <v>3</v>
      </c>
      <c r="Z30" s="30">
        <v>3</v>
      </c>
      <c r="AA30" s="30">
        <v>3</v>
      </c>
      <c r="AB30" s="22"/>
      <c r="AH30" s="38"/>
      <c r="AI30" s="38"/>
      <c r="AJ30" s="38"/>
      <c r="AK30" s="38"/>
      <c r="AQ30" s="23"/>
      <c r="AT30" s="40"/>
      <c r="AU30" s="40"/>
      <c r="AV30" s="40"/>
      <c r="AW30" s="40"/>
      <c r="AX30" s="40"/>
      <c r="BD30" s="23"/>
    </row>
    <row r="31" spans="1:56" ht="15.75" customHeight="1" x14ac:dyDescent="0.2">
      <c r="A31" s="34"/>
      <c r="B31" s="4"/>
      <c r="C31" s="21" t="s">
        <v>52</v>
      </c>
      <c r="D31" s="6">
        <v>3</v>
      </c>
      <c r="E31" s="6">
        <v>2</v>
      </c>
      <c r="F31" s="6">
        <v>2</v>
      </c>
      <c r="G31" s="6">
        <v>4</v>
      </c>
      <c r="H31" s="6">
        <v>4</v>
      </c>
      <c r="K31" s="40">
        <v>1</v>
      </c>
      <c r="L31" s="40">
        <v>1</v>
      </c>
      <c r="M31" s="41">
        <v>1</v>
      </c>
      <c r="N31" s="41">
        <v>2</v>
      </c>
      <c r="O31" s="41">
        <v>2</v>
      </c>
      <c r="P31" s="24"/>
      <c r="Q31" s="18">
        <v>3</v>
      </c>
      <c r="R31" s="18">
        <v>1</v>
      </c>
      <c r="S31" s="18">
        <v>1</v>
      </c>
      <c r="T31" s="18">
        <v>3</v>
      </c>
      <c r="U31" s="18">
        <v>3</v>
      </c>
      <c r="W31" s="48">
        <v>2</v>
      </c>
      <c r="X31" s="30">
        <v>4</v>
      </c>
      <c r="Y31" s="30">
        <v>3</v>
      </c>
      <c r="Z31" s="30">
        <v>4</v>
      </c>
      <c r="AA31" s="30">
        <v>4</v>
      </c>
      <c r="AB31" s="22"/>
      <c r="AH31" s="38"/>
      <c r="AI31" s="38"/>
      <c r="AJ31" s="38"/>
      <c r="AK31" s="38"/>
      <c r="AQ31" s="23"/>
      <c r="AT31" s="40"/>
      <c r="AU31" s="40"/>
      <c r="AV31" s="40"/>
      <c r="AW31" s="40"/>
      <c r="AX31" s="40"/>
      <c r="BD31" s="23"/>
    </row>
    <row r="32" spans="1:56" ht="15.75" customHeight="1" x14ac:dyDescent="0.2">
      <c r="A32" s="34"/>
      <c r="B32" s="4"/>
      <c r="C32" s="21" t="s">
        <v>53</v>
      </c>
      <c r="D32" s="6">
        <v>2</v>
      </c>
      <c r="E32" s="6">
        <v>2</v>
      </c>
      <c r="F32" s="6">
        <v>3</v>
      </c>
      <c r="G32" s="6">
        <v>3</v>
      </c>
      <c r="H32" s="6">
        <v>4</v>
      </c>
      <c r="K32" s="40">
        <v>2</v>
      </c>
      <c r="L32" s="40">
        <v>0</v>
      </c>
      <c r="M32" s="41">
        <v>3</v>
      </c>
      <c r="N32" s="41">
        <v>1</v>
      </c>
      <c r="O32" s="41">
        <v>0</v>
      </c>
      <c r="P32" s="24"/>
      <c r="Q32" s="18">
        <v>3</v>
      </c>
      <c r="R32" s="18">
        <v>1</v>
      </c>
      <c r="S32" s="18">
        <v>1</v>
      </c>
      <c r="T32" s="18">
        <v>2</v>
      </c>
      <c r="U32" s="18">
        <v>3</v>
      </c>
      <c r="W32" s="48">
        <v>3</v>
      </c>
      <c r="X32" s="30">
        <v>2</v>
      </c>
      <c r="Y32" s="30">
        <v>3</v>
      </c>
      <c r="Z32" s="30">
        <v>3</v>
      </c>
      <c r="AA32" s="30">
        <v>2</v>
      </c>
      <c r="AB32" s="22"/>
      <c r="AH32" s="38"/>
      <c r="AI32" s="38"/>
      <c r="AJ32" s="38"/>
      <c r="AK32" s="38"/>
      <c r="AQ32" s="23"/>
      <c r="AT32" s="40"/>
      <c r="AU32" s="40"/>
      <c r="AV32" s="40"/>
      <c r="AW32" s="40"/>
      <c r="AX32" s="40"/>
      <c r="BD32" s="23"/>
    </row>
    <row r="33" spans="1:56" ht="15.75" customHeight="1" x14ac:dyDescent="0.2">
      <c r="A33" s="34"/>
      <c r="B33" s="57" t="s">
        <v>25</v>
      </c>
      <c r="C33" s="15" t="s">
        <v>26</v>
      </c>
      <c r="D33" s="6">
        <v>4</v>
      </c>
      <c r="E33" s="6">
        <v>4</v>
      </c>
      <c r="F33" s="6">
        <v>3</v>
      </c>
      <c r="G33" s="6">
        <v>3</v>
      </c>
      <c r="H33" s="6">
        <v>4</v>
      </c>
      <c r="K33" s="8">
        <v>3</v>
      </c>
      <c r="L33" s="8">
        <v>3</v>
      </c>
      <c r="M33" s="8">
        <v>1</v>
      </c>
      <c r="N33" s="8">
        <v>1</v>
      </c>
      <c r="O33" s="8">
        <v>1</v>
      </c>
      <c r="P33" s="24"/>
      <c r="Q33" s="18">
        <v>3</v>
      </c>
      <c r="R33" s="18">
        <v>2</v>
      </c>
      <c r="S33" s="18">
        <v>1</v>
      </c>
      <c r="T33" s="18">
        <v>1</v>
      </c>
      <c r="U33" s="18">
        <v>3</v>
      </c>
      <c r="W33" s="48">
        <v>4</v>
      </c>
      <c r="X33" s="30">
        <v>2</v>
      </c>
      <c r="Y33" s="30">
        <v>4</v>
      </c>
      <c r="Z33" s="30">
        <v>0</v>
      </c>
      <c r="AA33" s="30">
        <v>1</v>
      </c>
      <c r="AB33" s="22"/>
      <c r="AH33" s="38"/>
      <c r="AI33" s="38"/>
      <c r="AJ33" s="38"/>
      <c r="AK33" s="38"/>
      <c r="AQ33" s="23"/>
      <c r="AT33" s="40"/>
      <c r="AU33" s="40"/>
      <c r="AV33" s="40"/>
      <c r="AW33" s="40"/>
      <c r="AX33" s="40"/>
      <c r="BD33" s="23"/>
    </row>
    <row r="34" spans="1:56" ht="15.75" customHeight="1" x14ac:dyDescent="0.2">
      <c r="A34" s="34"/>
      <c r="B34" s="58"/>
      <c r="C34" s="15" t="s">
        <v>27</v>
      </c>
      <c r="D34" s="6">
        <v>4</v>
      </c>
      <c r="E34" s="6">
        <v>1</v>
      </c>
      <c r="F34" s="6">
        <v>2</v>
      </c>
      <c r="G34" s="6">
        <v>2</v>
      </c>
      <c r="H34" s="6">
        <v>3</v>
      </c>
      <c r="K34" s="8">
        <v>3</v>
      </c>
      <c r="L34" s="8">
        <v>0</v>
      </c>
      <c r="M34" s="8">
        <v>0</v>
      </c>
      <c r="N34" s="8">
        <v>1</v>
      </c>
      <c r="O34" s="8">
        <v>1</v>
      </c>
      <c r="P34" s="24"/>
      <c r="Q34" s="18">
        <v>3</v>
      </c>
      <c r="R34" s="18">
        <v>0</v>
      </c>
      <c r="S34" s="18">
        <v>0</v>
      </c>
      <c r="T34" s="18">
        <v>1</v>
      </c>
      <c r="U34" s="18">
        <v>2</v>
      </c>
      <c r="W34" s="48">
        <v>4</v>
      </c>
      <c r="X34" s="30">
        <v>1</v>
      </c>
      <c r="Y34" s="30">
        <v>3</v>
      </c>
      <c r="Z34" s="30">
        <v>0</v>
      </c>
      <c r="AA34" s="30">
        <v>2</v>
      </c>
      <c r="AB34" s="22"/>
      <c r="AH34" s="38"/>
      <c r="AI34" s="38"/>
      <c r="AJ34" s="38"/>
      <c r="AK34" s="38"/>
      <c r="AQ34" s="23"/>
      <c r="AT34" s="40"/>
      <c r="AU34" s="40"/>
      <c r="AV34" s="40"/>
      <c r="AW34" s="40"/>
      <c r="AX34" s="40"/>
      <c r="BD34" s="23"/>
    </row>
    <row r="35" spans="1:56" ht="15.75" customHeight="1" x14ac:dyDescent="0.2">
      <c r="A35" s="34"/>
      <c r="B35" s="58"/>
      <c r="C35" s="15" t="s">
        <v>28</v>
      </c>
      <c r="D35" s="6">
        <v>4</v>
      </c>
      <c r="E35" s="6">
        <v>2</v>
      </c>
      <c r="F35" s="6">
        <v>3</v>
      </c>
      <c r="G35" s="6">
        <v>2</v>
      </c>
      <c r="H35" s="6">
        <v>3</v>
      </c>
      <c r="K35" s="8">
        <v>2</v>
      </c>
      <c r="L35" s="8">
        <v>0</v>
      </c>
      <c r="M35" s="8">
        <v>3</v>
      </c>
      <c r="N35" s="8">
        <v>1</v>
      </c>
      <c r="O35" s="8">
        <v>0</v>
      </c>
      <c r="P35" s="24"/>
      <c r="Q35" s="18">
        <v>3</v>
      </c>
      <c r="R35" s="18">
        <v>0</v>
      </c>
      <c r="S35" s="18">
        <v>0</v>
      </c>
      <c r="T35" s="18">
        <v>1</v>
      </c>
      <c r="U35" s="18">
        <v>2</v>
      </c>
      <c r="W35" s="48">
        <v>4</v>
      </c>
      <c r="X35" s="30">
        <v>1</v>
      </c>
      <c r="Y35" s="30">
        <v>1</v>
      </c>
      <c r="Z35" s="30">
        <v>0</v>
      </c>
      <c r="AA35" s="30">
        <v>1</v>
      </c>
      <c r="AB35" s="22"/>
      <c r="AH35" s="38"/>
      <c r="AI35" s="38"/>
      <c r="AJ35" s="38"/>
      <c r="AK35" s="38"/>
      <c r="AQ35" s="23"/>
      <c r="AT35" s="40"/>
      <c r="AU35" s="40"/>
      <c r="AV35" s="40"/>
      <c r="AW35" s="40"/>
      <c r="AX35" s="40"/>
      <c r="BD35" s="23"/>
    </row>
    <row r="36" spans="1:56" ht="15.75" customHeight="1" x14ac:dyDescent="0.2">
      <c r="A36" s="34"/>
      <c r="B36" s="58"/>
      <c r="C36" s="15" t="s">
        <v>29</v>
      </c>
      <c r="D36" s="6">
        <v>3</v>
      </c>
      <c r="E36" s="6">
        <v>2</v>
      </c>
      <c r="F36" s="6">
        <v>2</v>
      </c>
      <c r="G36" s="6">
        <v>2</v>
      </c>
      <c r="H36" s="6">
        <v>4</v>
      </c>
      <c r="K36" s="8">
        <v>3</v>
      </c>
      <c r="L36" s="8">
        <v>1</v>
      </c>
      <c r="M36" s="8">
        <v>4</v>
      </c>
      <c r="N36" s="8">
        <v>1</v>
      </c>
      <c r="O36" s="8">
        <v>0</v>
      </c>
      <c r="P36" s="24"/>
      <c r="Q36" s="18">
        <v>3</v>
      </c>
      <c r="R36" s="18">
        <v>0</v>
      </c>
      <c r="S36" s="18">
        <v>1</v>
      </c>
      <c r="T36" s="18">
        <v>2</v>
      </c>
      <c r="U36" s="18">
        <v>2</v>
      </c>
      <c r="W36" s="48">
        <v>4</v>
      </c>
      <c r="X36" s="30">
        <v>1</v>
      </c>
      <c r="Y36" s="30">
        <v>2</v>
      </c>
      <c r="Z36" s="30">
        <v>2</v>
      </c>
      <c r="AA36" s="30">
        <v>2</v>
      </c>
      <c r="AH36" s="38"/>
      <c r="AI36" s="38"/>
      <c r="AJ36" s="38"/>
      <c r="AK36" s="38"/>
      <c r="AQ36" s="23"/>
      <c r="AT36" s="40"/>
      <c r="AU36" s="40"/>
      <c r="AV36" s="40"/>
      <c r="AW36" s="40"/>
      <c r="AX36" s="40"/>
      <c r="BD36" s="23"/>
    </row>
    <row r="37" spans="1:56" ht="15.75" customHeight="1" x14ac:dyDescent="0.2">
      <c r="A37" s="34"/>
      <c r="B37" s="58"/>
      <c r="C37" s="15" t="s">
        <v>30</v>
      </c>
      <c r="D37" s="9">
        <v>3</v>
      </c>
      <c r="E37" s="9">
        <v>3</v>
      </c>
      <c r="F37" s="9">
        <v>3</v>
      </c>
      <c r="G37" s="9">
        <v>4</v>
      </c>
      <c r="H37" s="9">
        <v>3</v>
      </c>
      <c r="K37" s="5">
        <v>3</v>
      </c>
      <c r="L37" s="5">
        <v>3</v>
      </c>
      <c r="M37" s="5">
        <v>2</v>
      </c>
      <c r="N37" s="5">
        <v>1</v>
      </c>
      <c r="O37" s="5">
        <v>0</v>
      </c>
      <c r="P37" s="24"/>
      <c r="Q37" s="18">
        <v>4</v>
      </c>
      <c r="R37" s="18">
        <v>3</v>
      </c>
      <c r="S37" s="18">
        <v>2</v>
      </c>
      <c r="T37" s="18">
        <v>4</v>
      </c>
      <c r="U37" s="18">
        <v>4</v>
      </c>
      <c r="W37" s="49">
        <v>4</v>
      </c>
      <c r="X37" s="50">
        <v>1</v>
      </c>
      <c r="Y37" s="50">
        <v>4</v>
      </c>
      <c r="Z37" s="50">
        <v>1</v>
      </c>
      <c r="AA37" s="50">
        <v>2</v>
      </c>
      <c r="AH37" s="38"/>
      <c r="AI37" s="38"/>
      <c r="AJ37" s="38"/>
      <c r="AK37" s="38"/>
      <c r="AQ37" s="23"/>
      <c r="AT37" s="40"/>
      <c r="AU37" s="40"/>
      <c r="AV37" s="40"/>
      <c r="AW37" s="40"/>
      <c r="AX37" s="40"/>
      <c r="BD37" s="23"/>
    </row>
    <row r="38" spans="1:56" ht="15.75" customHeight="1" x14ac:dyDescent="0.2">
      <c r="A38" s="34"/>
      <c r="B38" s="34"/>
      <c r="C38" s="34"/>
      <c r="D38" s="34"/>
      <c r="E38" s="34"/>
      <c r="N38" s="24"/>
      <c r="O38" s="24"/>
      <c r="P38" s="24"/>
      <c r="Q38" s="24"/>
      <c r="R38" s="24"/>
      <c r="S38" s="24"/>
      <c r="AA38" s="22"/>
      <c r="AB38" s="22"/>
      <c r="AF38" s="38"/>
      <c r="AG38" s="38"/>
      <c r="AH38" s="38"/>
      <c r="AI38" s="38"/>
      <c r="AJ38" s="38"/>
      <c r="AK38" s="38"/>
      <c r="AQ38" s="23"/>
      <c r="AT38" s="40"/>
      <c r="AU38" s="40"/>
      <c r="AV38" s="40"/>
      <c r="AW38" s="40"/>
      <c r="AX38" s="40"/>
      <c r="BD38" s="23"/>
    </row>
    <row r="39" spans="1:56" ht="15.75" customHeight="1" x14ac:dyDescent="0.2">
      <c r="A39" s="34"/>
      <c r="B39" s="34"/>
      <c r="C39" s="34"/>
      <c r="D39" s="34"/>
      <c r="E39" s="34"/>
      <c r="AU39" s="35"/>
      <c r="AV39" s="35"/>
      <c r="AW39" s="35"/>
      <c r="AX39" s="35"/>
      <c r="AY39" s="35"/>
      <c r="AZ39" s="35"/>
      <c r="BA39" s="35"/>
      <c r="BB39" s="35"/>
      <c r="BC39" s="35"/>
    </row>
    <row r="40" spans="1:56" ht="15.75" customHeight="1" x14ac:dyDescent="0.2">
      <c r="A40" s="34"/>
      <c r="B40" s="34"/>
      <c r="C40" s="34"/>
      <c r="D40" s="34"/>
      <c r="E40" s="34"/>
    </row>
    <row r="41" spans="1:56" ht="15.75" customHeight="1" x14ac:dyDescent="0.2">
      <c r="A41" s="34"/>
      <c r="D41" s="59" t="s">
        <v>61</v>
      </c>
      <c r="E41" s="58"/>
      <c r="F41" s="58"/>
      <c r="G41" s="58"/>
      <c r="H41" s="58"/>
      <c r="J41" s="59" t="s">
        <v>73</v>
      </c>
      <c r="K41" s="58"/>
      <c r="L41" s="58"/>
      <c r="M41" s="58"/>
      <c r="N41" s="58"/>
      <c r="W41" s="59" t="s">
        <v>62</v>
      </c>
      <c r="X41" s="58"/>
      <c r="Y41" s="58"/>
      <c r="Z41" s="58"/>
      <c r="AA41" s="58"/>
      <c r="AC41" s="35"/>
      <c r="AD41" s="35"/>
      <c r="AE41" s="35"/>
      <c r="AF41" s="35"/>
      <c r="AG41" s="35"/>
      <c r="AH41" s="35"/>
      <c r="AI41" s="59" t="s">
        <v>74</v>
      </c>
      <c r="AJ41" s="58"/>
      <c r="AK41" s="58"/>
      <c r="AL41" s="58"/>
      <c r="AM41" s="58"/>
      <c r="AN41" s="44"/>
      <c r="AO41" s="44"/>
      <c r="AP41" s="44"/>
      <c r="AQ41" s="44"/>
      <c r="AR41" s="44"/>
    </row>
    <row r="42" spans="1:56" ht="15.75" customHeight="1" x14ac:dyDescent="0.2">
      <c r="A42" s="34"/>
      <c r="B42" s="4"/>
      <c r="C42" s="36"/>
      <c r="D42" s="3" t="s">
        <v>31</v>
      </c>
      <c r="E42" s="3" t="s">
        <v>32</v>
      </c>
      <c r="F42" s="3" t="s">
        <v>33</v>
      </c>
      <c r="G42" s="3" t="s">
        <v>34</v>
      </c>
      <c r="H42" s="3" t="s">
        <v>35</v>
      </c>
      <c r="J42" s="16" t="s">
        <v>75</v>
      </c>
      <c r="K42" s="16" t="s">
        <v>76</v>
      </c>
      <c r="L42" s="16" t="s">
        <v>77</v>
      </c>
      <c r="M42" s="16" t="s">
        <v>78</v>
      </c>
      <c r="N42" s="16" t="s">
        <v>79</v>
      </c>
      <c r="Q42" s="45" t="s">
        <v>65</v>
      </c>
      <c r="R42" s="45" t="s">
        <v>66</v>
      </c>
      <c r="T42" s="26" t="s">
        <v>67</v>
      </c>
      <c r="U42" s="26" t="s">
        <v>68</v>
      </c>
      <c r="W42" s="26" t="s">
        <v>63</v>
      </c>
      <c r="X42" s="26" t="s">
        <v>43</v>
      </c>
      <c r="Y42" s="26" t="s">
        <v>64</v>
      </c>
      <c r="Z42" s="26" t="s">
        <v>41</v>
      </c>
      <c r="AA42" s="26" t="s">
        <v>42</v>
      </c>
      <c r="AC42" s="45" t="s">
        <v>65</v>
      </c>
      <c r="AD42" s="45" t="s">
        <v>66</v>
      </c>
      <c r="AE42" s="26"/>
      <c r="AF42" s="26" t="s">
        <v>69</v>
      </c>
      <c r="AG42" s="26"/>
      <c r="AH42" s="35"/>
      <c r="AI42" s="26" t="s">
        <v>80</v>
      </c>
      <c r="AJ42" s="26" t="s">
        <v>81</v>
      </c>
      <c r="AK42" s="26" t="s">
        <v>82</v>
      </c>
      <c r="AL42" s="26" t="s">
        <v>83</v>
      </c>
      <c r="AM42" s="26" t="s">
        <v>84</v>
      </c>
      <c r="AN42" s="26"/>
      <c r="AO42" s="45" t="s">
        <v>65</v>
      </c>
      <c r="AP42" s="45" t="s">
        <v>66</v>
      </c>
      <c r="AQ42" s="26"/>
      <c r="AR42" s="26" t="s">
        <v>85</v>
      </c>
    </row>
    <row r="43" spans="1:56" ht="15.75" customHeight="1" x14ac:dyDescent="0.2">
      <c r="A43" s="34"/>
      <c r="B43" s="4"/>
      <c r="C43" s="17" t="s">
        <v>44</v>
      </c>
      <c r="D43" s="5">
        <f t="shared" ref="D43:H43" si="0">IF(K3 &gt;= MAX($K3:$O3, 2), 1, 0)</f>
        <v>0</v>
      </c>
      <c r="E43" s="5">
        <f t="shared" si="0"/>
        <v>0</v>
      </c>
      <c r="F43" s="5">
        <f t="shared" si="0"/>
        <v>0</v>
      </c>
      <c r="G43" s="5">
        <f t="shared" si="0"/>
        <v>0</v>
      </c>
      <c r="H43" s="5">
        <f t="shared" si="0"/>
        <v>1</v>
      </c>
      <c r="J43" s="5">
        <f t="shared" ref="J43:N43" si="1">IF(AND(D3 &gt;= LARGE($D3:$H3, 2), D3&gt;=3), 1, 0)</f>
        <v>0</v>
      </c>
      <c r="K43" s="5">
        <f t="shared" si="1"/>
        <v>0</v>
      </c>
      <c r="L43" s="5">
        <f t="shared" si="1"/>
        <v>0</v>
      </c>
      <c r="M43" s="5">
        <f t="shared" si="1"/>
        <v>1</v>
      </c>
      <c r="N43" s="5">
        <f t="shared" si="1"/>
        <v>1</v>
      </c>
      <c r="O43" s="5">
        <f t="shared" ref="O43:O77" si="2">SUM(J43:N43)</f>
        <v>2</v>
      </c>
      <c r="P43" s="5">
        <f t="shared" ref="P43:P77" si="3">IF(O43=2, 0.7, IF(O43=3, 0.9, 1))</f>
        <v>0.7</v>
      </c>
      <c r="Q43" s="5">
        <f t="shared" ref="Q43:Q77" si="4">(D43*J43)+(E43*K43)+(F43*L43)+(G43*M43)+(H43*N43)</f>
        <v>1</v>
      </c>
      <c r="R43" s="5">
        <f t="shared" ref="R43:R77" si="5">IF(Q43 &gt;= 1, 1, 0)</f>
        <v>1</v>
      </c>
      <c r="T43" s="5">
        <f t="shared" ref="T43:T77" si="6">COUNTIFS(K3:O3, "&gt;=" &amp; LARGE(K3:O3, 3), K3:O3, "&gt;=3")</f>
        <v>1</v>
      </c>
      <c r="U43" s="5">
        <f t="shared" ref="U43:U77" si="7">COUNTIF(D3:H3, "&gt;=" &amp; LARGE(D3:H3, 2))</f>
        <v>2</v>
      </c>
      <c r="W43" s="5">
        <f t="shared" ref="W43:AA43" si="8">IF(AND(Q3 &gt;= LARGE($Q3:$U3, 2), Q3&gt;=3), 1, 0)</f>
        <v>0</v>
      </c>
      <c r="X43" s="5">
        <f t="shared" si="8"/>
        <v>0</v>
      </c>
      <c r="Y43" s="5">
        <f t="shared" si="8"/>
        <v>0</v>
      </c>
      <c r="Z43" s="5">
        <f t="shared" si="8"/>
        <v>1</v>
      </c>
      <c r="AA43" s="5">
        <f t="shared" si="8"/>
        <v>1</v>
      </c>
      <c r="AC43" s="28">
        <f t="shared" ref="AC43:AC77" si="9">(J43*W43)+(K43*X43)+(L43*Y43)+(M43*Z43)+(N43*AA43)</f>
        <v>2</v>
      </c>
      <c r="AD43" s="28">
        <f t="shared" ref="AD43:AD77" si="10">IF(AC43 &gt;= 1, 1, 0)</f>
        <v>1</v>
      </c>
      <c r="AE43" s="28"/>
      <c r="AF43" s="28">
        <f t="shared" ref="AF43:AF77" si="11">COUNTIFS(Q3:U3, "&gt;=" &amp; LARGE(Q3:U3, 3), Q3:U3, "&gt;=3")</f>
        <v>2</v>
      </c>
      <c r="AG43" s="28"/>
      <c r="AH43" s="35"/>
      <c r="AI43" s="35">
        <f t="shared" ref="AI43:AM43" si="12">IF(AND(W3 &gt;= LARGE($W3:$AA3, 2), W3&gt;=3), 1, 0)</f>
        <v>0</v>
      </c>
      <c r="AJ43" s="35">
        <f t="shared" si="12"/>
        <v>0</v>
      </c>
      <c r="AK43" s="35">
        <f t="shared" si="12"/>
        <v>0</v>
      </c>
      <c r="AL43" s="35">
        <f t="shared" si="12"/>
        <v>1</v>
      </c>
      <c r="AM43" s="35">
        <f t="shared" si="12"/>
        <v>1</v>
      </c>
      <c r="AN43" s="35"/>
      <c r="AO43" s="35">
        <f t="shared" ref="AO43:AO77" si="13">(W43*AI43)+(X43*AJ43)+(Y43*AK43)+(Z43*AL43)+(AA43*AM43)</f>
        <v>2</v>
      </c>
      <c r="AP43" s="35">
        <f t="shared" ref="AP43:AP77" si="14">IF(AO43 &gt;= 1, 1, 0)</f>
        <v>1</v>
      </c>
      <c r="AQ43" s="35"/>
      <c r="AR43" s="35">
        <f t="shared" ref="AR43:AR77" si="15">COUNTIFS(W3:AA3, "&gt;=" &amp; LARGE(W3:AA3, 3), W3:AA3, "&gt;=3")</f>
        <v>2</v>
      </c>
    </row>
    <row r="44" spans="1:56" ht="15.75" customHeight="1" x14ac:dyDescent="0.2">
      <c r="A44" s="34"/>
      <c r="B44" s="4"/>
      <c r="C44" s="17" t="s">
        <v>45</v>
      </c>
      <c r="D44" s="5">
        <f t="shared" ref="D44:H44" si="16">IF(AND(K4 &gt;= LARGE($K4:$O4, 2), K4&gt;=3), 1, 0)</f>
        <v>0</v>
      </c>
      <c r="E44" s="5">
        <f t="shared" si="16"/>
        <v>0</v>
      </c>
      <c r="F44" s="5">
        <f t="shared" si="16"/>
        <v>1</v>
      </c>
      <c r="G44" s="5">
        <f t="shared" si="16"/>
        <v>0</v>
      </c>
      <c r="H44" s="5">
        <f t="shared" si="16"/>
        <v>1</v>
      </c>
      <c r="J44" s="5">
        <f t="shared" ref="J44:L44" si="17">IF(AND(D4 &gt;= LARGE($D4:$H4, 2), D4&gt;=3), 1, 0)</f>
        <v>1</v>
      </c>
      <c r="K44" s="5">
        <f t="shared" si="17"/>
        <v>0</v>
      </c>
      <c r="L44" s="5">
        <f t="shared" si="17"/>
        <v>0</v>
      </c>
      <c r="M44" s="5">
        <v>0</v>
      </c>
      <c r="N44" s="5">
        <f>IF(AND(H4 &gt;= LARGE($D4:$H4, 2), H4&gt;=3), 1, 0)</f>
        <v>1</v>
      </c>
      <c r="O44" s="5">
        <f t="shared" si="2"/>
        <v>2</v>
      </c>
      <c r="P44" s="5">
        <f t="shared" si="3"/>
        <v>0.7</v>
      </c>
      <c r="Q44" s="5">
        <f t="shared" si="4"/>
        <v>1</v>
      </c>
      <c r="R44" s="5">
        <f t="shared" si="5"/>
        <v>1</v>
      </c>
      <c r="T44" s="5">
        <f t="shared" si="6"/>
        <v>2</v>
      </c>
      <c r="U44" s="5">
        <f t="shared" si="7"/>
        <v>3</v>
      </c>
      <c r="W44" s="5">
        <f t="shared" ref="W44:AA44" si="18">IF(AND(Q4 &gt;= LARGE($Q4:$U4, 2), Q4&gt;=3), 1, 0)</f>
        <v>0</v>
      </c>
      <c r="X44" s="5">
        <f t="shared" si="18"/>
        <v>0</v>
      </c>
      <c r="Y44" s="5">
        <f t="shared" si="18"/>
        <v>0</v>
      </c>
      <c r="Z44" s="5">
        <f t="shared" si="18"/>
        <v>0</v>
      </c>
      <c r="AA44" s="5">
        <f t="shared" si="18"/>
        <v>1</v>
      </c>
      <c r="AC44" s="28">
        <f t="shared" si="9"/>
        <v>1</v>
      </c>
      <c r="AD44" s="28">
        <f t="shared" si="10"/>
        <v>1</v>
      </c>
      <c r="AE44" s="28"/>
      <c r="AF44" s="28">
        <f t="shared" si="11"/>
        <v>1</v>
      </c>
      <c r="AG44" s="28"/>
      <c r="AH44" s="35"/>
      <c r="AI44" s="35">
        <f t="shared" ref="AI44:AM44" si="19">IF(AND(W4 &gt;= LARGE($W4:$AA4, 2), W4&gt;=3), 1, 0)</f>
        <v>0</v>
      </c>
      <c r="AJ44" s="35">
        <f t="shared" si="19"/>
        <v>1</v>
      </c>
      <c r="AK44" s="35">
        <f t="shared" si="19"/>
        <v>0</v>
      </c>
      <c r="AL44" s="35">
        <f t="shared" si="19"/>
        <v>1</v>
      </c>
      <c r="AM44" s="35">
        <f t="shared" si="19"/>
        <v>1</v>
      </c>
      <c r="AN44" s="35"/>
      <c r="AO44" s="35">
        <f t="shared" si="13"/>
        <v>1</v>
      </c>
      <c r="AP44" s="35">
        <f t="shared" si="14"/>
        <v>1</v>
      </c>
      <c r="AQ44" s="35"/>
      <c r="AR44" s="35">
        <f t="shared" si="15"/>
        <v>3</v>
      </c>
    </row>
    <row r="45" spans="1:56" ht="15.75" customHeight="1" x14ac:dyDescent="0.2">
      <c r="A45" s="34"/>
      <c r="B45" s="57" t="s">
        <v>1</v>
      </c>
      <c r="C45" s="11" t="s">
        <v>2</v>
      </c>
      <c r="D45" s="5">
        <f t="shared" ref="D45:H45" si="20">IF(AND(K5 &gt;= LARGE($K5:$O5, 2), K5&gt;=3), 1, 0)</f>
        <v>0</v>
      </c>
      <c r="E45" s="5">
        <f t="shared" si="20"/>
        <v>0</v>
      </c>
      <c r="F45" s="5">
        <f t="shared" si="20"/>
        <v>0</v>
      </c>
      <c r="G45" s="5">
        <f t="shared" si="20"/>
        <v>0</v>
      </c>
      <c r="H45" s="5">
        <f t="shared" si="20"/>
        <v>1</v>
      </c>
      <c r="J45" s="5">
        <f t="shared" ref="J45:N45" si="21">IF(AND(D5 &gt;= LARGE($D5:$H5, 2), D5&gt;=3), 1, 0)</f>
        <v>0</v>
      </c>
      <c r="K45" s="5">
        <f t="shared" si="21"/>
        <v>0</v>
      </c>
      <c r="L45" s="5">
        <f t="shared" si="21"/>
        <v>1</v>
      </c>
      <c r="M45" s="5">
        <f t="shared" si="21"/>
        <v>0</v>
      </c>
      <c r="N45" s="5">
        <f t="shared" si="21"/>
        <v>1</v>
      </c>
      <c r="O45" s="5">
        <f t="shared" si="2"/>
        <v>2</v>
      </c>
      <c r="P45" s="5">
        <f t="shared" si="3"/>
        <v>0.7</v>
      </c>
      <c r="Q45" s="5">
        <f t="shared" si="4"/>
        <v>1</v>
      </c>
      <c r="R45" s="5">
        <f t="shared" si="5"/>
        <v>1</v>
      </c>
      <c r="T45" s="5">
        <f t="shared" si="6"/>
        <v>1</v>
      </c>
      <c r="U45" s="5">
        <f t="shared" si="7"/>
        <v>2</v>
      </c>
      <c r="W45" s="5">
        <f t="shared" ref="W45:AA45" si="22">IF(AND(Q5 &gt;= LARGE($Q5:$U5, 2), Q5&gt;=3), 1, 0)</f>
        <v>0</v>
      </c>
      <c r="X45" s="5">
        <f t="shared" si="22"/>
        <v>0</v>
      </c>
      <c r="Y45" s="5">
        <f t="shared" si="22"/>
        <v>0</v>
      </c>
      <c r="Z45" s="5">
        <f t="shared" si="22"/>
        <v>0</v>
      </c>
      <c r="AA45" s="5">
        <f t="shared" si="22"/>
        <v>0</v>
      </c>
      <c r="AC45" s="28">
        <f t="shared" si="9"/>
        <v>0</v>
      </c>
      <c r="AD45" s="28">
        <f t="shared" si="10"/>
        <v>0</v>
      </c>
      <c r="AE45" s="28"/>
      <c r="AF45" s="28">
        <f t="shared" si="11"/>
        <v>0</v>
      </c>
      <c r="AG45" s="28"/>
      <c r="AH45" s="35"/>
      <c r="AI45" s="35">
        <f t="shared" ref="AI45:AM45" si="23">IF(AND(W5 &gt;= LARGE($W5:$AA5, 2), W5&gt;=3), 1, 0)</f>
        <v>0</v>
      </c>
      <c r="AJ45" s="35">
        <f t="shared" si="23"/>
        <v>0</v>
      </c>
      <c r="AK45" s="35">
        <f t="shared" si="23"/>
        <v>1</v>
      </c>
      <c r="AL45" s="35">
        <f t="shared" si="23"/>
        <v>0</v>
      </c>
      <c r="AM45" s="35">
        <f t="shared" si="23"/>
        <v>1</v>
      </c>
      <c r="AN45" s="35"/>
      <c r="AO45" s="35">
        <f t="shared" si="13"/>
        <v>0</v>
      </c>
      <c r="AP45" s="35">
        <f t="shared" si="14"/>
        <v>0</v>
      </c>
      <c r="AQ45" s="35"/>
      <c r="AR45" s="35">
        <f t="shared" si="15"/>
        <v>2</v>
      </c>
    </row>
    <row r="46" spans="1:56" ht="15.75" customHeight="1" x14ac:dyDescent="0.2">
      <c r="A46" s="34"/>
      <c r="B46" s="58"/>
      <c r="C46" s="11" t="s">
        <v>3</v>
      </c>
      <c r="D46" s="5">
        <f t="shared" ref="D46:H46" si="24">IF(AND(K6 &gt;= LARGE($K6:$O6, 2), K6&gt;=3), 1, 0)</f>
        <v>0</v>
      </c>
      <c r="E46" s="5">
        <f t="shared" si="24"/>
        <v>0</v>
      </c>
      <c r="F46" s="5">
        <f t="shared" si="24"/>
        <v>0</v>
      </c>
      <c r="G46" s="5">
        <f t="shared" si="24"/>
        <v>1</v>
      </c>
      <c r="H46" s="5">
        <f t="shared" si="24"/>
        <v>1</v>
      </c>
      <c r="J46" s="5">
        <f t="shared" ref="J46:M46" si="25">IF(AND(D6 &gt;= LARGE($D6:$H6, 2), D6&gt;=3), 1, 0)</f>
        <v>1</v>
      </c>
      <c r="K46" s="5">
        <f t="shared" si="25"/>
        <v>0</v>
      </c>
      <c r="L46" s="5">
        <f t="shared" si="25"/>
        <v>0</v>
      </c>
      <c r="M46" s="5">
        <f t="shared" si="25"/>
        <v>1</v>
      </c>
      <c r="N46" s="5">
        <v>0</v>
      </c>
      <c r="O46" s="5">
        <f t="shared" si="2"/>
        <v>2</v>
      </c>
      <c r="P46" s="5">
        <f t="shared" si="3"/>
        <v>0.7</v>
      </c>
      <c r="Q46" s="5">
        <f t="shared" si="4"/>
        <v>1</v>
      </c>
      <c r="R46" s="5">
        <f t="shared" si="5"/>
        <v>1</v>
      </c>
      <c r="T46" s="5">
        <f t="shared" si="6"/>
        <v>2</v>
      </c>
      <c r="U46" s="5">
        <f t="shared" si="7"/>
        <v>3</v>
      </c>
      <c r="W46" s="5">
        <f t="shared" ref="W46:AA46" si="26">IF(AND(Q6 &gt;= LARGE($Q6:$U6, 2), Q6&gt;=3), 1, 0)</f>
        <v>0</v>
      </c>
      <c r="X46" s="5">
        <f t="shared" si="26"/>
        <v>0</v>
      </c>
      <c r="Y46" s="5">
        <f t="shared" si="26"/>
        <v>0</v>
      </c>
      <c r="Z46" s="5">
        <f t="shared" si="26"/>
        <v>1</v>
      </c>
      <c r="AA46" s="5">
        <f t="shared" si="26"/>
        <v>1</v>
      </c>
      <c r="AC46" s="28">
        <f t="shared" si="9"/>
        <v>1</v>
      </c>
      <c r="AD46" s="28">
        <f t="shared" si="10"/>
        <v>1</v>
      </c>
      <c r="AE46" s="28"/>
      <c r="AF46" s="28">
        <f t="shared" si="11"/>
        <v>3</v>
      </c>
      <c r="AG46" s="28"/>
      <c r="AH46" s="35"/>
      <c r="AI46" s="35">
        <f t="shared" ref="AI46:AM46" si="27">IF(AND(W6 &gt;= LARGE($W6:$AA6, 2), W6&gt;=3), 1, 0)</f>
        <v>0</v>
      </c>
      <c r="AJ46" s="35">
        <f t="shared" si="27"/>
        <v>0</v>
      </c>
      <c r="AK46" s="35">
        <f t="shared" si="27"/>
        <v>0</v>
      </c>
      <c r="AL46" s="35">
        <f t="shared" si="27"/>
        <v>1</v>
      </c>
      <c r="AM46" s="35">
        <f t="shared" si="27"/>
        <v>1</v>
      </c>
      <c r="AN46" s="35"/>
      <c r="AO46" s="35">
        <f t="shared" si="13"/>
        <v>2</v>
      </c>
      <c r="AP46" s="35">
        <f t="shared" si="14"/>
        <v>1</v>
      </c>
      <c r="AQ46" s="35"/>
      <c r="AR46" s="35">
        <f t="shared" si="15"/>
        <v>2</v>
      </c>
    </row>
    <row r="47" spans="1:56" ht="15.75" customHeight="1" x14ac:dyDescent="0.2">
      <c r="A47" s="34"/>
      <c r="B47" s="58"/>
      <c r="C47" s="11" t="s">
        <v>4</v>
      </c>
      <c r="D47" s="5">
        <f t="shared" ref="D47:H47" si="28">IF(AND(K7 &gt;= LARGE($K7:$O7, 2), K7&gt;=3), 1, 0)</f>
        <v>0</v>
      </c>
      <c r="E47" s="5">
        <f t="shared" si="28"/>
        <v>1</v>
      </c>
      <c r="F47" s="5">
        <f t="shared" si="28"/>
        <v>0</v>
      </c>
      <c r="G47" s="5">
        <f t="shared" si="28"/>
        <v>0</v>
      </c>
      <c r="H47" s="5">
        <f t="shared" si="28"/>
        <v>1</v>
      </c>
      <c r="J47" s="5">
        <f t="shared" ref="J47:M47" si="29">IF(AND(D7 &gt;= LARGE($D7:$H7, 2), D7&gt;=3), 1, 0)</f>
        <v>0</v>
      </c>
      <c r="K47" s="5">
        <f t="shared" si="29"/>
        <v>1</v>
      </c>
      <c r="L47" s="5">
        <f t="shared" si="29"/>
        <v>0</v>
      </c>
      <c r="M47" s="5">
        <f t="shared" si="29"/>
        <v>1</v>
      </c>
      <c r="N47" s="5">
        <v>0</v>
      </c>
      <c r="O47" s="5">
        <f t="shared" si="2"/>
        <v>2</v>
      </c>
      <c r="P47" s="5">
        <f t="shared" si="3"/>
        <v>0.7</v>
      </c>
      <c r="Q47" s="5">
        <f t="shared" si="4"/>
        <v>1</v>
      </c>
      <c r="R47" s="5">
        <f t="shared" si="5"/>
        <v>1</v>
      </c>
      <c r="T47" s="5">
        <f t="shared" si="6"/>
        <v>2</v>
      </c>
      <c r="U47" s="5">
        <f t="shared" si="7"/>
        <v>3</v>
      </c>
      <c r="W47" s="5">
        <f t="shared" ref="W47:AA47" si="30">IF(AND(Q7 &gt;= LARGE($Q7:$U7, 2), Q7&gt;=3), 1, 0)</f>
        <v>1</v>
      </c>
      <c r="X47" s="5">
        <f t="shared" si="30"/>
        <v>0</v>
      </c>
      <c r="Y47" s="5">
        <f t="shared" si="30"/>
        <v>0</v>
      </c>
      <c r="Z47" s="5">
        <f t="shared" si="30"/>
        <v>0</v>
      </c>
      <c r="AA47" s="5">
        <f t="shared" si="30"/>
        <v>1</v>
      </c>
      <c r="AC47" s="28">
        <f t="shared" si="9"/>
        <v>0</v>
      </c>
      <c r="AD47" s="28">
        <f t="shared" si="10"/>
        <v>0</v>
      </c>
      <c r="AE47" s="28"/>
      <c r="AF47" s="28">
        <f t="shared" si="11"/>
        <v>2</v>
      </c>
      <c r="AG47" s="28"/>
      <c r="AH47" s="35"/>
      <c r="AI47" s="35">
        <f t="shared" ref="AI47:AM47" si="31">IF(AND(W7 &gt;= LARGE($W7:$AA7, 2), W7&gt;=3), 1, 0)</f>
        <v>1</v>
      </c>
      <c r="AJ47" s="35">
        <f t="shared" si="31"/>
        <v>0</v>
      </c>
      <c r="AK47" s="35">
        <f t="shared" si="31"/>
        <v>0</v>
      </c>
      <c r="AL47" s="35">
        <f t="shared" si="31"/>
        <v>0</v>
      </c>
      <c r="AM47" s="35">
        <f t="shared" si="31"/>
        <v>1</v>
      </c>
      <c r="AN47" s="35"/>
      <c r="AO47" s="35">
        <f t="shared" si="13"/>
        <v>2</v>
      </c>
      <c r="AP47" s="35">
        <f t="shared" si="14"/>
        <v>1</v>
      </c>
      <c r="AQ47" s="35"/>
      <c r="AR47" s="35">
        <f t="shared" si="15"/>
        <v>3</v>
      </c>
    </row>
    <row r="48" spans="1:56" ht="15.75" customHeight="1" x14ac:dyDescent="0.2">
      <c r="A48" s="34"/>
      <c r="B48" s="58"/>
      <c r="C48" s="11" t="s">
        <v>5</v>
      </c>
      <c r="D48" s="5">
        <f t="shared" ref="D48:H48" si="32">IF(AND(K8 &gt;= LARGE($K8:$O8, 2), K8&gt;=3), 1, 0)</f>
        <v>0</v>
      </c>
      <c r="E48" s="5">
        <f t="shared" si="32"/>
        <v>0</v>
      </c>
      <c r="F48" s="5">
        <f t="shared" si="32"/>
        <v>0</v>
      </c>
      <c r="G48" s="5">
        <f t="shared" si="32"/>
        <v>1</v>
      </c>
      <c r="H48" s="5">
        <f t="shared" si="32"/>
        <v>1</v>
      </c>
      <c r="J48" s="5">
        <f t="shared" ref="J48:M48" si="33">IF(AND(D8 &gt;= LARGE($D8:$H8, 2), D8&gt;=3), 1, 0)</f>
        <v>1</v>
      </c>
      <c r="K48" s="5">
        <f t="shared" si="33"/>
        <v>0</v>
      </c>
      <c r="L48" s="5">
        <f t="shared" si="33"/>
        <v>0</v>
      </c>
      <c r="M48" s="5">
        <f t="shared" si="33"/>
        <v>1</v>
      </c>
      <c r="N48" s="5">
        <v>0</v>
      </c>
      <c r="O48" s="5">
        <f t="shared" si="2"/>
        <v>2</v>
      </c>
      <c r="P48" s="5">
        <f t="shared" si="3"/>
        <v>0.7</v>
      </c>
      <c r="Q48" s="5">
        <f t="shared" si="4"/>
        <v>1</v>
      </c>
      <c r="R48" s="5">
        <f t="shared" si="5"/>
        <v>1</v>
      </c>
      <c r="T48" s="5">
        <f t="shared" si="6"/>
        <v>2</v>
      </c>
      <c r="U48" s="5">
        <f t="shared" si="7"/>
        <v>3</v>
      </c>
      <c r="W48" s="5">
        <f t="shared" ref="W48:Z48" si="34">IF(AND(Q8 &gt;= LARGE($Q8:$U8, 2), Q8&gt;=3), 1, 0)</f>
        <v>1</v>
      </c>
      <c r="X48" s="5">
        <f t="shared" si="34"/>
        <v>0</v>
      </c>
      <c r="Y48" s="5">
        <f t="shared" si="34"/>
        <v>0</v>
      </c>
      <c r="Z48" s="5">
        <f t="shared" si="34"/>
        <v>1</v>
      </c>
      <c r="AA48" s="5">
        <v>0</v>
      </c>
      <c r="AC48" s="28">
        <f t="shared" si="9"/>
        <v>2</v>
      </c>
      <c r="AD48" s="28">
        <f t="shared" si="10"/>
        <v>1</v>
      </c>
      <c r="AE48" s="28"/>
      <c r="AF48" s="28">
        <f t="shared" si="11"/>
        <v>3</v>
      </c>
      <c r="AG48" s="28"/>
      <c r="AH48" s="35"/>
      <c r="AI48" s="35">
        <f t="shared" ref="AI48:AM48" si="35">IF(AND(W8 &gt;= LARGE($W8:$AA8, 2), W8&gt;=3), 1, 0)</f>
        <v>1</v>
      </c>
      <c r="AJ48" s="35">
        <f t="shared" si="35"/>
        <v>0</v>
      </c>
      <c r="AK48" s="35">
        <f t="shared" si="35"/>
        <v>0</v>
      </c>
      <c r="AL48" s="35">
        <f t="shared" si="35"/>
        <v>0</v>
      </c>
      <c r="AM48" s="35">
        <f t="shared" si="35"/>
        <v>1</v>
      </c>
      <c r="AN48" s="35"/>
      <c r="AO48" s="35">
        <f t="shared" si="13"/>
        <v>1</v>
      </c>
      <c r="AP48" s="35">
        <f t="shared" si="14"/>
        <v>1</v>
      </c>
      <c r="AQ48" s="35"/>
      <c r="AR48" s="35">
        <f t="shared" si="15"/>
        <v>4</v>
      </c>
    </row>
    <row r="49" spans="1:44" ht="15.75" customHeight="1" x14ac:dyDescent="0.2">
      <c r="A49" s="34"/>
      <c r="B49" s="58"/>
      <c r="C49" s="11" t="s">
        <v>6</v>
      </c>
      <c r="D49" s="5">
        <f t="shared" ref="D49:H49" si="36">IF(AND(K9 &gt;= LARGE($K9:$O9, 2), K9&gt;=3), 1, 0)</f>
        <v>0</v>
      </c>
      <c r="E49" s="5">
        <f t="shared" si="36"/>
        <v>0</v>
      </c>
      <c r="F49" s="5">
        <f t="shared" si="36"/>
        <v>0</v>
      </c>
      <c r="G49" s="5">
        <f t="shared" si="36"/>
        <v>1</v>
      </c>
      <c r="H49" s="5">
        <f t="shared" si="36"/>
        <v>1</v>
      </c>
      <c r="J49" s="5">
        <f t="shared" ref="J49:N49" si="37">IF(AND(D9 &gt;= LARGE($D9:$H9, 2), D9&gt;=3), 1, 0)</f>
        <v>1</v>
      </c>
      <c r="K49" s="5">
        <f t="shared" si="37"/>
        <v>0</v>
      </c>
      <c r="L49" s="5">
        <f t="shared" si="37"/>
        <v>0</v>
      </c>
      <c r="M49" s="5">
        <f t="shared" si="37"/>
        <v>0</v>
      </c>
      <c r="N49" s="5">
        <f t="shared" si="37"/>
        <v>1</v>
      </c>
      <c r="O49" s="5">
        <f t="shared" si="2"/>
        <v>2</v>
      </c>
      <c r="P49" s="5">
        <f t="shared" si="3"/>
        <v>0.7</v>
      </c>
      <c r="Q49" s="5">
        <f t="shared" si="4"/>
        <v>1</v>
      </c>
      <c r="R49" s="5">
        <f t="shared" si="5"/>
        <v>1</v>
      </c>
      <c r="T49" s="5">
        <f t="shared" si="6"/>
        <v>2</v>
      </c>
      <c r="U49" s="5">
        <f t="shared" si="7"/>
        <v>2</v>
      </c>
      <c r="W49" s="5">
        <f t="shared" ref="W49:AA49" si="38">IF(AND(Q9 &gt;= LARGE($Q9:$U9, 2), Q9&gt;=3), 1, 0)</f>
        <v>1</v>
      </c>
      <c r="X49" s="5">
        <f t="shared" si="38"/>
        <v>0</v>
      </c>
      <c r="Y49" s="5">
        <f t="shared" si="38"/>
        <v>0</v>
      </c>
      <c r="Z49" s="5">
        <f t="shared" si="38"/>
        <v>0</v>
      </c>
      <c r="AA49" s="5">
        <f t="shared" si="38"/>
        <v>1</v>
      </c>
      <c r="AC49" s="28">
        <f t="shared" si="9"/>
        <v>2</v>
      </c>
      <c r="AD49" s="28">
        <f t="shared" si="10"/>
        <v>1</v>
      </c>
      <c r="AE49" s="28"/>
      <c r="AF49" s="28">
        <f t="shared" si="11"/>
        <v>3</v>
      </c>
      <c r="AG49" s="28"/>
      <c r="AH49" s="35"/>
      <c r="AI49" s="35">
        <f t="shared" ref="AI49:AM49" si="39">IF(AND(W9 &gt;= LARGE($W9:$AA9, 2), W9&gt;=3), 1, 0)</f>
        <v>1</v>
      </c>
      <c r="AJ49" s="35">
        <f t="shared" si="39"/>
        <v>0</v>
      </c>
      <c r="AK49" s="35">
        <f t="shared" si="39"/>
        <v>1</v>
      </c>
      <c r="AL49" s="35">
        <f t="shared" si="39"/>
        <v>0</v>
      </c>
      <c r="AM49" s="35">
        <f t="shared" si="39"/>
        <v>1</v>
      </c>
      <c r="AN49" s="35"/>
      <c r="AO49" s="35">
        <f t="shared" si="13"/>
        <v>2</v>
      </c>
      <c r="AP49" s="35">
        <f t="shared" si="14"/>
        <v>1</v>
      </c>
      <c r="AQ49" s="35"/>
      <c r="AR49" s="35">
        <f t="shared" si="15"/>
        <v>3</v>
      </c>
    </row>
    <row r="50" spans="1:44" ht="15.75" customHeight="1" x14ac:dyDescent="0.2">
      <c r="A50" s="34"/>
      <c r="B50" s="4"/>
      <c r="C50" s="19" t="s">
        <v>46</v>
      </c>
      <c r="D50" s="5">
        <f t="shared" ref="D50:H50" si="40">IF(AND(K10 &gt;= LARGE($K10:$O10, 2), K10&gt;=3), 1, 0)</f>
        <v>0</v>
      </c>
      <c r="E50" s="5">
        <f t="shared" si="40"/>
        <v>0</v>
      </c>
      <c r="F50" s="5">
        <f t="shared" si="40"/>
        <v>0</v>
      </c>
      <c r="G50" s="5">
        <f t="shared" si="40"/>
        <v>0</v>
      </c>
      <c r="H50" s="5">
        <f t="shared" si="40"/>
        <v>0</v>
      </c>
      <c r="J50" s="5">
        <f t="shared" ref="J50:N50" si="41">IF(AND(D10 &gt;= LARGE($D10:$H10, 2), D10&gt;=3), 1, 0)</f>
        <v>0</v>
      </c>
      <c r="K50" s="5">
        <f t="shared" si="41"/>
        <v>0</v>
      </c>
      <c r="L50" s="5">
        <f t="shared" si="41"/>
        <v>0</v>
      </c>
      <c r="M50" s="5">
        <f t="shared" si="41"/>
        <v>1</v>
      </c>
      <c r="N50" s="5">
        <f t="shared" si="41"/>
        <v>1</v>
      </c>
      <c r="O50" s="5">
        <f t="shared" si="2"/>
        <v>2</v>
      </c>
      <c r="P50" s="5">
        <f t="shared" si="3"/>
        <v>0.7</v>
      </c>
      <c r="Q50" s="5">
        <f t="shared" si="4"/>
        <v>0</v>
      </c>
      <c r="R50" s="5">
        <f t="shared" si="5"/>
        <v>0</v>
      </c>
      <c r="T50" s="5">
        <f t="shared" si="6"/>
        <v>0</v>
      </c>
      <c r="U50" s="5">
        <f t="shared" si="7"/>
        <v>2</v>
      </c>
      <c r="W50" s="5">
        <f t="shared" ref="W50:Z50" si="42">IF(AND(Q10 &gt;= LARGE($Q10:$U10, 2), Q10&gt;=3), 1, 0)</f>
        <v>1</v>
      </c>
      <c r="X50" s="5">
        <f t="shared" si="42"/>
        <v>0</v>
      </c>
      <c r="Y50" s="5">
        <f t="shared" si="42"/>
        <v>0</v>
      </c>
      <c r="Z50" s="5">
        <f t="shared" si="42"/>
        <v>1</v>
      </c>
      <c r="AA50" s="5">
        <v>0</v>
      </c>
      <c r="AC50" s="28">
        <f t="shared" si="9"/>
        <v>1</v>
      </c>
      <c r="AD50" s="28">
        <f t="shared" si="10"/>
        <v>1</v>
      </c>
      <c r="AE50" s="28"/>
      <c r="AF50" s="28">
        <f t="shared" si="11"/>
        <v>3</v>
      </c>
      <c r="AG50" s="28"/>
      <c r="AH50" s="35"/>
      <c r="AI50" s="35">
        <f t="shared" ref="AI50:AM50" si="43">IF(AND(W10 &gt;= LARGE($W10:$AA10, 2), W10&gt;=3), 1, 0)</f>
        <v>0</v>
      </c>
      <c r="AJ50" s="35">
        <f t="shared" si="43"/>
        <v>0</v>
      </c>
      <c r="AK50" s="35">
        <f t="shared" si="43"/>
        <v>0</v>
      </c>
      <c r="AL50" s="35">
        <f t="shared" si="43"/>
        <v>1</v>
      </c>
      <c r="AM50" s="35">
        <f t="shared" si="43"/>
        <v>1</v>
      </c>
      <c r="AN50" s="35"/>
      <c r="AO50" s="35">
        <f t="shared" si="13"/>
        <v>1</v>
      </c>
      <c r="AP50" s="35">
        <f t="shared" si="14"/>
        <v>1</v>
      </c>
      <c r="AQ50" s="35"/>
      <c r="AR50" s="35">
        <f t="shared" si="15"/>
        <v>2</v>
      </c>
    </row>
    <row r="51" spans="1:44" ht="15.75" customHeight="1" x14ac:dyDescent="0.2">
      <c r="A51" s="34"/>
      <c r="B51" s="4"/>
      <c r="C51" s="19" t="s">
        <v>47</v>
      </c>
      <c r="D51" s="5">
        <f t="shared" ref="D51:H51" si="44">IF(AND(K11 &gt;= LARGE($K11:$O11, 2), K11&gt;=3), 1, 0)</f>
        <v>0</v>
      </c>
      <c r="E51" s="5">
        <f t="shared" si="44"/>
        <v>0</v>
      </c>
      <c r="F51" s="5">
        <f t="shared" si="44"/>
        <v>0</v>
      </c>
      <c r="G51" s="5">
        <f t="shared" si="44"/>
        <v>0</v>
      </c>
      <c r="H51" s="5">
        <f t="shared" si="44"/>
        <v>1</v>
      </c>
      <c r="J51" s="5">
        <f t="shared" ref="J51:N51" si="45">IF(AND(D11 &gt;= LARGE($D11:$H11, 2), D11&gt;=3), 1, 0)</f>
        <v>0</v>
      </c>
      <c r="K51" s="5">
        <f t="shared" si="45"/>
        <v>0</v>
      </c>
      <c r="L51" s="5">
        <f t="shared" si="45"/>
        <v>0</v>
      </c>
      <c r="M51" s="5">
        <f t="shared" si="45"/>
        <v>1</v>
      </c>
      <c r="N51" s="5">
        <f t="shared" si="45"/>
        <v>1</v>
      </c>
      <c r="O51" s="5">
        <f t="shared" si="2"/>
        <v>2</v>
      </c>
      <c r="P51" s="5">
        <f t="shared" si="3"/>
        <v>0.7</v>
      </c>
      <c r="Q51" s="5">
        <f t="shared" si="4"/>
        <v>1</v>
      </c>
      <c r="R51" s="5">
        <f t="shared" si="5"/>
        <v>1</v>
      </c>
      <c r="T51" s="5">
        <f t="shared" si="6"/>
        <v>1</v>
      </c>
      <c r="U51" s="5">
        <f t="shared" si="7"/>
        <v>2</v>
      </c>
      <c r="W51" s="5">
        <f t="shared" ref="W51:Z51" si="46">IF(AND(Q11 &gt;= LARGE($Q11:$U11, 2), Q11&gt;=3), 1, 0)</f>
        <v>1</v>
      </c>
      <c r="X51" s="5">
        <f t="shared" si="46"/>
        <v>0</v>
      </c>
      <c r="Y51" s="5">
        <f t="shared" si="46"/>
        <v>0</v>
      </c>
      <c r="Z51" s="5">
        <f t="shared" si="46"/>
        <v>1</v>
      </c>
      <c r="AA51" s="5">
        <v>0</v>
      </c>
      <c r="AC51" s="28">
        <f t="shared" si="9"/>
        <v>1</v>
      </c>
      <c r="AD51" s="28">
        <f t="shared" si="10"/>
        <v>1</v>
      </c>
      <c r="AE51" s="28"/>
      <c r="AF51" s="28">
        <f t="shared" si="11"/>
        <v>3</v>
      </c>
      <c r="AG51" s="28"/>
      <c r="AH51" s="35"/>
      <c r="AI51" s="35">
        <f t="shared" ref="AI51:AM51" si="47">IF(AND(W11 &gt;= LARGE($W11:$AA11, 2), W11&gt;=3), 1, 0)</f>
        <v>0</v>
      </c>
      <c r="AJ51" s="35">
        <f t="shared" si="47"/>
        <v>0</v>
      </c>
      <c r="AK51" s="35">
        <f t="shared" si="47"/>
        <v>0</v>
      </c>
      <c r="AL51" s="35">
        <f t="shared" si="47"/>
        <v>1</v>
      </c>
      <c r="AM51" s="35">
        <f t="shared" si="47"/>
        <v>1</v>
      </c>
      <c r="AN51" s="35"/>
      <c r="AO51" s="35">
        <f t="shared" si="13"/>
        <v>1</v>
      </c>
      <c r="AP51" s="35">
        <f t="shared" si="14"/>
        <v>1</v>
      </c>
      <c r="AQ51" s="35"/>
      <c r="AR51" s="35">
        <f t="shared" si="15"/>
        <v>3</v>
      </c>
    </row>
    <row r="52" spans="1:44" ht="15.75" customHeight="1" x14ac:dyDescent="0.2">
      <c r="A52" s="34"/>
      <c r="B52" s="57" t="s">
        <v>7</v>
      </c>
      <c r="C52" s="12" t="s">
        <v>8</v>
      </c>
      <c r="D52" s="5">
        <f t="shared" ref="D52:H52" si="48">IF(AND(K12 &gt;= LARGE($K12:$O12, 2), K12&gt;=3), 1, 0)</f>
        <v>0</v>
      </c>
      <c r="E52" s="5">
        <f t="shared" si="48"/>
        <v>0</v>
      </c>
      <c r="F52" s="5">
        <f t="shared" si="48"/>
        <v>0</v>
      </c>
      <c r="G52" s="5">
        <f t="shared" si="48"/>
        <v>1</v>
      </c>
      <c r="H52" s="5">
        <f t="shared" si="48"/>
        <v>0</v>
      </c>
      <c r="J52" s="5">
        <f t="shared" ref="J52:M52" si="49">IF(AND(D12 &gt;= LARGE($D12:$H12, 2), D12&gt;=3), 1, 0)</f>
        <v>1</v>
      </c>
      <c r="K52" s="5">
        <f t="shared" si="49"/>
        <v>0</v>
      </c>
      <c r="L52" s="5">
        <f t="shared" si="49"/>
        <v>0</v>
      </c>
      <c r="M52" s="5">
        <f t="shared" si="49"/>
        <v>1</v>
      </c>
      <c r="N52" s="5">
        <v>0</v>
      </c>
      <c r="O52" s="5">
        <f t="shared" si="2"/>
        <v>2</v>
      </c>
      <c r="P52" s="5">
        <f t="shared" si="3"/>
        <v>0.7</v>
      </c>
      <c r="Q52" s="5">
        <f t="shared" si="4"/>
        <v>1</v>
      </c>
      <c r="R52" s="5">
        <f t="shared" si="5"/>
        <v>1</v>
      </c>
      <c r="T52" s="5">
        <f t="shared" si="6"/>
        <v>1</v>
      </c>
      <c r="U52" s="5">
        <f t="shared" si="7"/>
        <v>3</v>
      </c>
      <c r="W52" s="5">
        <f t="shared" ref="W52:AA52" si="50">IF(AND(Q12 &gt;= LARGE($Q12:$U12, 2), Q12&gt;=3), 1, 0)</f>
        <v>1</v>
      </c>
      <c r="X52" s="5">
        <f t="shared" si="50"/>
        <v>0</v>
      </c>
      <c r="Y52" s="5">
        <f t="shared" si="50"/>
        <v>0</v>
      </c>
      <c r="Z52" s="5">
        <f t="shared" si="50"/>
        <v>0</v>
      </c>
      <c r="AA52" s="5">
        <f t="shared" si="50"/>
        <v>0</v>
      </c>
      <c r="AC52" s="28">
        <f t="shared" si="9"/>
        <v>1</v>
      </c>
      <c r="AD52" s="28">
        <f t="shared" si="10"/>
        <v>1</v>
      </c>
      <c r="AE52" s="28"/>
      <c r="AF52" s="28">
        <f t="shared" si="11"/>
        <v>1</v>
      </c>
      <c r="AG52" s="28"/>
      <c r="AH52" s="35"/>
      <c r="AI52" s="35">
        <f t="shared" ref="AI52:AM52" si="51">IF(AND(W12 &gt;= LARGE($W12:$AA12, 2), W12&gt;=3), 1, 0)</f>
        <v>1</v>
      </c>
      <c r="AJ52" s="35">
        <f t="shared" si="51"/>
        <v>0</v>
      </c>
      <c r="AK52" s="35">
        <f t="shared" si="51"/>
        <v>0</v>
      </c>
      <c r="AL52" s="35">
        <f t="shared" si="51"/>
        <v>0</v>
      </c>
      <c r="AM52" s="35">
        <f t="shared" si="51"/>
        <v>0</v>
      </c>
      <c r="AN52" s="35"/>
      <c r="AO52" s="35">
        <f t="shared" si="13"/>
        <v>1</v>
      </c>
      <c r="AP52" s="35">
        <f t="shared" si="14"/>
        <v>1</v>
      </c>
      <c r="AQ52" s="35"/>
      <c r="AR52" s="35">
        <f t="shared" si="15"/>
        <v>1</v>
      </c>
    </row>
    <row r="53" spans="1:44" ht="15.75" customHeight="1" x14ac:dyDescent="0.2">
      <c r="A53" s="34"/>
      <c r="B53" s="58"/>
      <c r="C53" s="12" t="s">
        <v>9</v>
      </c>
      <c r="D53" s="5">
        <f t="shared" ref="D53:H53" si="52">IF(AND(K13 &gt;= LARGE($K13:$O13, 2), K13&gt;=3), 1, 0)</f>
        <v>1</v>
      </c>
      <c r="E53" s="5">
        <f t="shared" si="52"/>
        <v>1</v>
      </c>
      <c r="F53" s="5">
        <f t="shared" si="52"/>
        <v>0</v>
      </c>
      <c r="G53" s="5">
        <f t="shared" si="52"/>
        <v>0</v>
      </c>
      <c r="H53" s="5">
        <f t="shared" si="52"/>
        <v>0</v>
      </c>
      <c r="J53" s="5">
        <f t="shared" ref="J53:K53" si="53">IF(AND(D13 &gt;= LARGE($D13:$H13, 2), D13&gt;=3), 1, 0)</f>
        <v>1</v>
      </c>
      <c r="K53" s="5">
        <f t="shared" si="53"/>
        <v>1</v>
      </c>
      <c r="L53" s="5">
        <v>0</v>
      </c>
      <c r="M53" s="5">
        <v>0</v>
      </c>
      <c r="N53" s="5">
        <v>0</v>
      </c>
      <c r="O53" s="5">
        <f t="shared" si="2"/>
        <v>2</v>
      </c>
      <c r="P53" s="5">
        <f t="shared" si="3"/>
        <v>0.7</v>
      </c>
      <c r="Q53" s="5">
        <f t="shared" si="4"/>
        <v>2</v>
      </c>
      <c r="R53" s="5">
        <f t="shared" si="5"/>
        <v>1</v>
      </c>
      <c r="T53" s="5">
        <f t="shared" si="6"/>
        <v>2</v>
      </c>
      <c r="U53" s="5">
        <f t="shared" si="7"/>
        <v>5</v>
      </c>
      <c r="W53" s="5">
        <f t="shared" ref="W53:AA53" si="54">IF(AND(Q13 &gt;= LARGE($Q13:$U13, 2), Q13&gt;=3), 1, 0)</f>
        <v>0</v>
      </c>
      <c r="X53" s="5">
        <f t="shared" si="54"/>
        <v>0</v>
      </c>
      <c r="Y53" s="5">
        <f t="shared" si="54"/>
        <v>0</v>
      </c>
      <c r="Z53" s="5">
        <f t="shared" si="54"/>
        <v>0</v>
      </c>
      <c r="AA53" s="5">
        <f t="shared" si="54"/>
        <v>0</v>
      </c>
      <c r="AC53" s="28">
        <f t="shared" si="9"/>
        <v>0</v>
      </c>
      <c r="AD53" s="28">
        <f t="shared" si="10"/>
        <v>0</v>
      </c>
      <c r="AE53" s="28"/>
      <c r="AF53" s="28">
        <f t="shared" si="11"/>
        <v>0</v>
      </c>
      <c r="AG53" s="28"/>
      <c r="AH53" s="35"/>
      <c r="AI53" s="35">
        <f t="shared" ref="AI53:AM53" si="55">IF(AND(W13 &gt;= LARGE($W13:$AA13, 2), W13&gt;=3), 1, 0)</f>
        <v>1</v>
      </c>
      <c r="AJ53" s="35">
        <f t="shared" si="55"/>
        <v>0</v>
      </c>
      <c r="AK53" s="35">
        <f t="shared" si="55"/>
        <v>1</v>
      </c>
      <c r="AL53" s="35">
        <f t="shared" si="55"/>
        <v>0</v>
      </c>
      <c r="AM53" s="35">
        <f t="shared" si="55"/>
        <v>0</v>
      </c>
      <c r="AN53" s="35"/>
      <c r="AO53" s="35">
        <f t="shared" si="13"/>
        <v>0</v>
      </c>
      <c r="AP53" s="35">
        <f t="shared" si="14"/>
        <v>0</v>
      </c>
      <c r="AQ53" s="35"/>
      <c r="AR53" s="35">
        <f t="shared" si="15"/>
        <v>2</v>
      </c>
    </row>
    <row r="54" spans="1:44" ht="15.75" customHeight="1" x14ac:dyDescent="0.2">
      <c r="A54" s="34"/>
      <c r="B54" s="58"/>
      <c r="C54" s="12" t="s">
        <v>10</v>
      </c>
      <c r="D54" s="5">
        <f t="shared" ref="D54:H54" si="56">IF(AND(K14 &gt;= LARGE($K14:$O14, 2), K14&gt;=3), 1, 0)</f>
        <v>0</v>
      </c>
      <c r="E54" s="5">
        <f t="shared" si="56"/>
        <v>0</v>
      </c>
      <c r="F54" s="5">
        <f t="shared" si="56"/>
        <v>0</v>
      </c>
      <c r="G54" s="5">
        <f t="shared" si="56"/>
        <v>0</v>
      </c>
      <c r="H54" s="5">
        <f t="shared" si="56"/>
        <v>0</v>
      </c>
      <c r="J54" s="5">
        <f t="shared" ref="J54:L54" si="57">IF(AND(D14 &gt;= LARGE($D14:$H14, 2), D14&gt;=3), 1, 0)</f>
        <v>1</v>
      </c>
      <c r="K54" s="5">
        <f t="shared" si="57"/>
        <v>0</v>
      </c>
      <c r="L54" s="5">
        <f t="shared" si="57"/>
        <v>1</v>
      </c>
      <c r="M54" s="5">
        <v>0</v>
      </c>
      <c r="N54" s="5">
        <v>0</v>
      </c>
      <c r="O54" s="5">
        <f t="shared" si="2"/>
        <v>2</v>
      </c>
      <c r="P54" s="5">
        <f t="shared" si="3"/>
        <v>0.7</v>
      </c>
      <c r="Q54" s="5">
        <f t="shared" si="4"/>
        <v>0</v>
      </c>
      <c r="R54" s="5">
        <f t="shared" si="5"/>
        <v>0</v>
      </c>
      <c r="T54" s="5">
        <f t="shared" si="6"/>
        <v>0</v>
      </c>
      <c r="U54" s="5">
        <f t="shared" si="7"/>
        <v>4</v>
      </c>
      <c r="W54" s="5">
        <f t="shared" ref="W54:AA54" si="58">IF(AND(Q14 &gt;= LARGE($Q14:$U14, 2), Q14&gt;=3), 1, 0)</f>
        <v>0</v>
      </c>
      <c r="X54" s="5">
        <f t="shared" si="58"/>
        <v>0</v>
      </c>
      <c r="Y54" s="5">
        <f t="shared" si="58"/>
        <v>0</v>
      </c>
      <c r="Z54" s="5">
        <f t="shared" si="58"/>
        <v>0</v>
      </c>
      <c r="AA54" s="5">
        <f t="shared" si="58"/>
        <v>0</v>
      </c>
      <c r="AC54" s="28">
        <f t="shared" si="9"/>
        <v>0</v>
      </c>
      <c r="AD54" s="28">
        <f t="shared" si="10"/>
        <v>0</v>
      </c>
      <c r="AE54" s="28"/>
      <c r="AF54" s="28">
        <f t="shared" si="11"/>
        <v>0</v>
      </c>
      <c r="AG54" s="28"/>
      <c r="AH54" s="35"/>
      <c r="AI54" s="35">
        <f t="shared" ref="AI54:AM54" si="59">IF(AND(W14 &gt;= LARGE($W14:$AA14, 2), W14&gt;=3), 1, 0)</f>
        <v>1</v>
      </c>
      <c r="AJ54" s="35">
        <f t="shared" si="59"/>
        <v>0</v>
      </c>
      <c r="AK54" s="35">
        <f t="shared" si="59"/>
        <v>1</v>
      </c>
      <c r="AL54" s="35">
        <f t="shared" si="59"/>
        <v>0</v>
      </c>
      <c r="AM54" s="35">
        <f t="shared" si="59"/>
        <v>0</v>
      </c>
      <c r="AN54" s="35"/>
      <c r="AO54" s="35">
        <f t="shared" si="13"/>
        <v>0</v>
      </c>
      <c r="AP54" s="35">
        <f t="shared" si="14"/>
        <v>0</v>
      </c>
      <c r="AQ54" s="35"/>
      <c r="AR54" s="35">
        <f t="shared" si="15"/>
        <v>2</v>
      </c>
    </row>
    <row r="55" spans="1:44" ht="15.75" customHeight="1" x14ac:dyDescent="0.2">
      <c r="A55" s="34"/>
      <c r="B55" s="58"/>
      <c r="C55" s="12" t="s">
        <v>11</v>
      </c>
      <c r="D55" s="5">
        <f t="shared" ref="D55:H55" si="60">IF(AND(K15 &gt;= LARGE($K15:$O15, 2), K15&gt;=3), 1, 0)</f>
        <v>0</v>
      </c>
      <c r="E55" s="5">
        <f t="shared" si="60"/>
        <v>0</v>
      </c>
      <c r="F55" s="5">
        <f t="shared" si="60"/>
        <v>0</v>
      </c>
      <c r="G55" s="5">
        <f t="shared" si="60"/>
        <v>1</v>
      </c>
      <c r="H55" s="5">
        <f t="shared" si="60"/>
        <v>0</v>
      </c>
      <c r="J55" s="5">
        <f t="shared" ref="J55:N55" si="61">IF(AND(D15 &gt;= LARGE($D15:$H15, 2), D15&gt;=3), 1, 0)</f>
        <v>1</v>
      </c>
      <c r="K55" s="5">
        <f t="shared" si="61"/>
        <v>0</v>
      </c>
      <c r="L55" s="5">
        <f t="shared" si="61"/>
        <v>0</v>
      </c>
      <c r="M55" s="5">
        <f t="shared" si="61"/>
        <v>1</v>
      </c>
      <c r="N55" s="5">
        <f t="shared" si="61"/>
        <v>0</v>
      </c>
      <c r="O55" s="5">
        <f t="shared" si="2"/>
        <v>2</v>
      </c>
      <c r="P55" s="5">
        <f t="shared" si="3"/>
        <v>0.7</v>
      </c>
      <c r="Q55" s="5">
        <f t="shared" si="4"/>
        <v>1</v>
      </c>
      <c r="R55" s="5">
        <f t="shared" si="5"/>
        <v>1</v>
      </c>
      <c r="T55" s="5">
        <f t="shared" si="6"/>
        <v>1</v>
      </c>
      <c r="U55" s="5">
        <f t="shared" si="7"/>
        <v>2</v>
      </c>
      <c r="W55" s="5">
        <f t="shared" ref="W55:AA55" si="62">IF(AND(Q15 &gt;= LARGE($Q15:$U15, 2), Q15&gt;=3), 1, 0)</f>
        <v>1</v>
      </c>
      <c r="X55" s="5">
        <f t="shared" si="62"/>
        <v>0</v>
      </c>
      <c r="Y55" s="5">
        <f t="shared" si="62"/>
        <v>0</v>
      </c>
      <c r="Z55" s="5">
        <f t="shared" si="62"/>
        <v>0</v>
      </c>
      <c r="AA55" s="5">
        <f t="shared" si="62"/>
        <v>0</v>
      </c>
      <c r="AC55" s="28">
        <f t="shared" si="9"/>
        <v>1</v>
      </c>
      <c r="AD55" s="28">
        <f t="shared" si="10"/>
        <v>1</v>
      </c>
      <c r="AE55" s="28"/>
      <c r="AF55" s="28">
        <f t="shared" si="11"/>
        <v>1</v>
      </c>
      <c r="AG55" s="28"/>
      <c r="AH55" s="35"/>
      <c r="AI55" s="35">
        <f t="shared" ref="AI55:AM55" si="63">IF(AND(W15 &gt;= LARGE($W15:$AA15, 2), W15&gt;=3), 1, 0)</f>
        <v>1</v>
      </c>
      <c r="AJ55" s="35">
        <f t="shared" si="63"/>
        <v>0</v>
      </c>
      <c r="AK55" s="35">
        <f t="shared" si="63"/>
        <v>1</v>
      </c>
      <c r="AL55" s="35">
        <f t="shared" si="63"/>
        <v>0</v>
      </c>
      <c r="AM55" s="35">
        <f t="shared" si="63"/>
        <v>0</v>
      </c>
      <c r="AN55" s="35"/>
      <c r="AO55" s="35">
        <f t="shared" si="13"/>
        <v>1</v>
      </c>
      <c r="AP55" s="35">
        <f t="shared" si="14"/>
        <v>1</v>
      </c>
      <c r="AQ55" s="35"/>
      <c r="AR55" s="35">
        <f t="shared" si="15"/>
        <v>3</v>
      </c>
    </row>
    <row r="56" spans="1:44" ht="15.75" customHeight="1" x14ac:dyDescent="0.2">
      <c r="A56" s="34"/>
      <c r="B56" s="58"/>
      <c r="C56" s="12" t="s">
        <v>12</v>
      </c>
      <c r="D56" s="5">
        <f t="shared" ref="D56:H56" si="64">IF(AND(K16 &gt;= LARGE($K16:$O16, 2), K16&gt;=3), 1, 0)</f>
        <v>0</v>
      </c>
      <c r="E56" s="5">
        <f t="shared" si="64"/>
        <v>1</v>
      </c>
      <c r="F56" s="5">
        <f t="shared" si="64"/>
        <v>0</v>
      </c>
      <c r="G56" s="5">
        <f t="shared" si="64"/>
        <v>1</v>
      </c>
      <c r="H56" s="5">
        <f t="shared" si="64"/>
        <v>0</v>
      </c>
      <c r="J56" s="5">
        <f t="shared" ref="J56:M56" si="65">IF(AND(D16 &gt;= LARGE($D16:$H16, 2), D16&gt;=3), 1, 0)</f>
        <v>1</v>
      </c>
      <c r="K56" s="5">
        <f t="shared" si="65"/>
        <v>0</v>
      </c>
      <c r="L56" s="5">
        <f t="shared" si="65"/>
        <v>0</v>
      </c>
      <c r="M56" s="5">
        <f t="shared" si="65"/>
        <v>1</v>
      </c>
      <c r="N56" s="5">
        <v>0</v>
      </c>
      <c r="O56" s="5">
        <f t="shared" si="2"/>
        <v>2</v>
      </c>
      <c r="P56" s="5">
        <f t="shared" si="3"/>
        <v>0.7</v>
      </c>
      <c r="Q56" s="5">
        <f t="shared" si="4"/>
        <v>1</v>
      </c>
      <c r="R56" s="5">
        <f t="shared" si="5"/>
        <v>1</v>
      </c>
      <c r="T56" s="5">
        <f t="shared" si="6"/>
        <v>2</v>
      </c>
      <c r="U56" s="5">
        <f t="shared" si="7"/>
        <v>3</v>
      </c>
      <c r="W56" s="5">
        <f t="shared" ref="W56:AA56" si="66">IF(AND(Q16 &gt;= LARGE($Q16:$U16, 2), Q16&gt;=3), 1, 0)</f>
        <v>0</v>
      </c>
      <c r="X56" s="5">
        <f t="shared" si="66"/>
        <v>0</v>
      </c>
      <c r="Y56" s="5">
        <f t="shared" si="66"/>
        <v>0</v>
      </c>
      <c r="Z56" s="5">
        <f t="shared" si="66"/>
        <v>0</v>
      </c>
      <c r="AA56" s="5">
        <f t="shared" si="66"/>
        <v>0</v>
      </c>
      <c r="AC56" s="28">
        <f t="shared" si="9"/>
        <v>0</v>
      </c>
      <c r="AD56" s="28">
        <f t="shared" si="10"/>
        <v>0</v>
      </c>
      <c r="AE56" s="28"/>
      <c r="AF56" s="28">
        <f t="shared" si="11"/>
        <v>0</v>
      </c>
      <c r="AG56" s="28"/>
      <c r="AH56" s="35"/>
      <c r="AI56" s="35">
        <f t="shared" ref="AI56:AM56" si="67">IF(AND(W16 &gt;= LARGE($W16:$AA16, 2), W16&gt;=3), 1, 0)</f>
        <v>1</v>
      </c>
      <c r="AJ56" s="35">
        <f t="shared" si="67"/>
        <v>0</v>
      </c>
      <c r="AK56" s="35">
        <f t="shared" si="67"/>
        <v>1</v>
      </c>
      <c r="AL56" s="35">
        <f t="shared" si="67"/>
        <v>0</v>
      </c>
      <c r="AM56" s="35">
        <f t="shared" si="67"/>
        <v>0</v>
      </c>
      <c r="AN56" s="35"/>
      <c r="AO56" s="35">
        <f t="shared" si="13"/>
        <v>0</v>
      </c>
      <c r="AP56" s="35">
        <f t="shared" si="14"/>
        <v>0</v>
      </c>
      <c r="AQ56" s="35"/>
      <c r="AR56" s="35">
        <f t="shared" si="15"/>
        <v>2</v>
      </c>
    </row>
    <row r="57" spans="1:44" ht="15.75" customHeight="1" x14ac:dyDescent="0.2">
      <c r="A57" s="34"/>
      <c r="B57" s="4"/>
      <c r="C57" s="29" t="s">
        <v>48</v>
      </c>
      <c r="D57" s="5">
        <f t="shared" ref="D57:H57" si="68">IF(AND(K17 &gt;= LARGE($K17:$O17, 2), K17&gt;=3), 1, 0)</f>
        <v>0</v>
      </c>
      <c r="E57" s="5">
        <f t="shared" si="68"/>
        <v>0</v>
      </c>
      <c r="F57" s="5">
        <f t="shared" si="68"/>
        <v>1</v>
      </c>
      <c r="G57" s="5">
        <f t="shared" si="68"/>
        <v>0</v>
      </c>
      <c r="H57" s="5">
        <f t="shared" si="68"/>
        <v>1</v>
      </c>
      <c r="J57" s="5">
        <f t="shared" ref="J57:N57" si="69">IF(AND(D17 &gt;= LARGE($D17:$H17, 2), D17&gt;=3), 1, 0)</f>
        <v>0</v>
      </c>
      <c r="K57" s="5">
        <f t="shared" si="69"/>
        <v>0</v>
      </c>
      <c r="L57" s="5">
        <f t="shared" si="69"/>
        <v>0</v>
      </c>
      <c r="M57" s="5">
        <f t="shared" si="69"/>
        <v>1</v>
      </c>
      <c r="N57" s="5">
        <f t="shared" si="69"/>
        <v>1</v>
      </c>
      <c r="O57" s="5">
        <f t="shared" si="2"/>
        <v>2</v>
      </c>
      <c r="P57" s="5">
        <f t="shared" si="3"/>
        <v>0.7</v>
      </c>
      <c r="Q57" s="5">
        <f t="shared" si="4"/>
        <v>1</v>
      </c>
      <c r="R57" s="5">
        <f t="shared" si="5"/>
        <v>1</v>
      </c>
      <c r="T57" s="5">
        <f t="shared" si="6"/>
        <v>2</v>
      </c>
      <c r="U57" s="5">
        <f t="shared" si="7"/>
        <v>2</v>
      </c>
      <c r="W57" s="5">
        <f t="shared" ref="W57:Z57" si="70">IF(AND(Q17 &gt;= LARGE($Q17:$U17, 2), Q17&gt;=3), 1, 0)</f>
        <v>1</v>
      </c>
      <c r="X57" s="5">
        <f t="shared" si="70"/>
        <v>0</v>
      </c>
      <c r="Y57" s="5">
        <f t="shared" si="70"/>
        <v>0</v>
      </c>
      <c r="Z57" s="5">
        <f t="shared" si="70"/>
        <v>1</v>
      </c>
      <c r="AA57" s="5">
        <v>0</v>
      </c>
      <c r="AC57" s="28">
        <f t="shared" si="9"/>
        <v>1</v>
      </c>
      <c r="AD57" s="28">
        <f t="shared" si="10"/>
        <v>1</v>
      </c>
      <c r="AE57" s="28"/>
      <c r="AF57" s="28">
        <f t="shared" si="11"/>
        <v>3</v>
      </c>
      <c r="AG57" s="28"/>
      <c r="AH57" s="35"/>
      <c r="AI57" s="35">
        <f t="shared" ref="AI57:AM57" si="71">IF(AND(W17 &gt;= LARGE($W17:$AA17, 2), W17&gt;=3), 1, 0)</f>
        <v>0</v>
      </c>
      <c r="AJ57" s="35">
        <f t="shared" si="71"/>
        <v>1</v>
      </c>
      <c r="AK57" s="35">
        <f t="shared" si="71"/>
        <v>0</v>
      </c>
      <c r="AL57" s="35">
        <f t="shared" si="71"/>
        <v>1</v>
      </c>
      <c r="AM57" s="35">
        <f t="shared" si="71"/>
        <v>1</v>
      </c>
      <c r="AN57" s="35"/>
      <c r="AO57" s="35">
        <f t="shared" si="13"/>
        <v>1</v>
      </c>
      <c r="AP57" s="35">
        <f t="shared" si="14"/>
        <v>1</v>
      </c>
      <c r="AQ57" s="35"/>
      <c r="AR57" s="35">
        <f t="shared" si="15"/>
        <v>3</v>
      </c>
    </row>
    <row r="58" spans="1:44" ht="15.75" customHeight="1" x14ac:dyDescent="0.2">
      <c r="A58" s="34"/>
      <c r="B58" s="4"/>
      <c r="C58" s="29" t="s">
        <v>49</v>
      </c>
      <c r="D58" s="5">
        <f t="shared" ref="D58:H58" si="72">IF(AND(K18 &gt;= LARGE($K18:$O18, 2), K18&gt;=3), 1, 0)</f>
        <v>0</v>
      </c>
      <c r="E58" s="5">
        <f t="shared" si="72"/>
        <v>0</v>
      </c>
      <c r="F58" s="5">
        <f t="shared" si="72"/>
        <v>1</v>
      </c>
      <c r="G58" s="5">
        <f t="shared" si="72"/>
        <v>0</v>
      </c>
      <c r="H58" s="5">
        <f t="shared" si="72"/>
        <v>1</v>
      </c>
      <c r="J58" s="5">
        <f t="shared" ref="J58:N58" si="73">IF(AND(D18 &gt;= LARGE($D18:$H18, 2), D18&gt;=3), 1, 0)</f>
        <v>0</v>
      </c>
      <c r="K58" s="5">
        <f t="shared" si="73"/>
        <v>0</v>
      </c>
      <c r="L58" s="5">
        <f t="shared" si="73"/>
        <v>0</v>
      </c>
      <c r="M58" s="5">
        <f t="shared" si="73"/>
        <v>1</v>
      </c>
      <c r="N58" s="5">
        <f t="shared" si="73"/>
        <v>1</v>
      </c>
      <c r="O58" s="5">
        <f t="shared" si="2"/>
        <v>2</v>
      </c>
      <c r="P58" s="5">
        <f t="shared" si="3"/>
        <v>0.7</v>
      </c>
      <c r="Q58" s="5">
        <f t="shared" si="4"/>
        <v>1</v>
      </c>
      <c r="R58" s="5">
        <f t="shared" si="5"/>
        <v>1</v>
      </c>
      <c r="T58" s="5">
        <f t="shared" si="6"/>
        <v>2</v>
      </c>
      <c r="U58" s="5">
        <f t="shared" si="7"/>
        <v>2</v>
      </c>
      <c r="W58" s="5">
        <f t="shared" ref="W58:AA58" si="74">IF(AND(Q18 &gt;= LARGE($Q18:$U18, 2), Q18&gt;=3), 1, 0)</f>
        <v>1</v>
      </c>
      <c r="X58" s="5">
        <f t="shared" si="74"/>
        <v>0</v>
      </c>
      <c r="Y58" s="5">
        <f t="shared" si="74"/>
        <v>0</v>
      </c>
      <c r="Z58" s="5">
        <f t="shared" si="74"/>
        <v>0</v>
      </c>
      <c r="AA58" s="5">
        <f t="shared" si="74"/>
        <v>1</v>
      </c>
      <c r="AC58" s="28">
        <f t="shared" si="9"/>
        <v>1</v>
      </c>
      <c r="AD58" s="28">
        <f t="shared" si="10"/>
        <v>1</v>
      </c>
      <c r="AE58" s="28"/>
      <c r="AF58" s="28">
        <f t="shared" si="11"/>
        <v>2</v>
      </c>
      <c r="AG58" s="28"/>
      <c r="AH58" s="35"/>
      <c r="AI58" s="35">
        <f t="shared" ref="AI58:AM58" si="75">IF(AND(W18 &gt;= LARGE($W18:$AA18, 2), W18&gt;=3), 1, 0)</f>
        <v>0</v>
      </c>
      <c r="AJ58" s="35">
        <f t="shared" si="75"/>
        <v>0</v>
      </c>
      <c r="AK58" s="35">
        <f t="shared" si="75"/>
        <v>0</v>
      </c>
      <c r="AL58" s="35">
        <f t="shared" si="75"/>
        <v>1</v>
      </c>
      <c r="AM58" s="35">
        <f t="shared" si="75"/>
        <v>1</v>
      </c>
      <c r="AN58" s="35"/>
      <c r="AO58" s="35">
        <f t="shared" si="13"/>
        <v>1</v>
      </c>
      <c r="AP58" s="35">
        <f t="shared" si="14"/>
        <v>1</v>
      </c>
      <c r="AQ58" s="35"/>
      <c r="AR58" s="35">
        <f t="shared" si="15"/>
        <v>3</v>
      </c>
    </row>
    <row r="59" spans="1:44" ht="15.75" customHeight="1" x14ac:dyDescent="0.2">
      <c r="A59" s="34"/>
      <c r="B59" s="57" t="s">
        <v>13</v>
      </c>
      <c r="C59" s="13" t="s">
        <v>14</v>
      </c>
      <c r="D59" s="5">
        <f t="shared" ref="D59:H59" si="76">IF(AND(K19 &gt;= LARGE($K19:$O19, 2), K19&gt;=3), 1, 0)</f>
        <v>0</v>
      </c>
      <c r="E59" s="5">
        <f t="shared" si="76"/>
        <v>0</v>
      </c>
      <c r="F59" s="5">
        <f t="shared" si="76"/>
        <v>1</v>
      </c>
      <c r="G59" s="5">
        <f t="shared" si="76"/>
        <v>1</v>
      </c>
      <c r="H59" s="5">
        <f t="shared" si="76"/>
        <v>0</v>
      </c>
      <c r="J59" s="5">
        <f t="shared" ref="J59:K59" si="77">IF(AND(D19 &gt;= LARGE($D19:$H19, 2), D19&gt;=3), 1, 0)</f>
        <v>1</v>
      </c>
      <c r="K59" s="5">
        <f t="shared" si="77"/>
        <v>1</v>
      </c>
      <c r="L59" s="5">
        <v>0</v>
      </c>
      <c r="M59" s="5">
        <f>IF(AND(G19 &gt;= LARGE($D19:$H19, 2), G19&gt;=3), 1, 0)</f>
        <v>0</v>
      </c>
      <c r="N59" s="5">
        <v>0</v>
      </c>
      <c r="O59" s="5">
        <f t="shared" si="2"/>
        <v>2</v>
      </c>
      <c r="P59" s="5">
        <f t="shared" si="3"/>
        <v>0.7</v>
      </c>
      <c r="Q59" s="5">
        <f t="shared" si="4"/>
        <v>0</v>
      </c>
      <c r="R59" s="5">
        <f t="shared" si="5"/>
        <v>0</v>
      </c>
      <c r="T59" s="5">
        <f t="shared" si="6"/>
        <v>2</v>
      </c>
      <c r="U59" s="5">
        <f t="shared" si="7"/>
        <v>4</v>
      </c>
      <c r="W59" s="5">
        <f t="shared" ref="W59:AA59" si="78">IF(AND(Q19 &gt;= LARGE($Q19:$U19, 2), Q19&gt;=3), 1, 0)</f>
        <v>1</v>
      </c>
      <c r="X59" s="5">
        <f t="shared" si="78"/>
        <v>0</v>
      </c>
      <c r="Y59" s="5">
        <f t="shared" si="78"/>
        <v>0</v>
      </c>
      <c r="Z59" s="5">
        <f t="shared" si="78"/>
        <v>1</v>
      </c>
      <c r="AA59" s="5">
        <f t="shared" si="78"/>
        <v>0</v>
      </c>
      <c r="AC59" s="28">
        <f t="shared" si="9"/>
        <v>1</v>
      </c>
      <c r="AD59" s="28">
        <f t="shared" si="10"/>
        <v>1</v>
      </c>
      <c r="AE59" s="28"/>
      <c r="AF59" s="28">
        <f t="shared" si="11"/>
        <v>2</v>
      </c>
      <c r="AG59" s="28"/>
      <c r="AH59" s="35"/>
      <c r="AI59" s="35">
        <f t="shared" ref="AI59:AM59" si="79">IF(AND(W19 &gt;= LARGE($W19:$AA19, 2), W19&gt;=3), 1, 0)</f>
        <v>1</v>
      </c>
      <c r="AJ59" s="35">
        <f t="shared" si="79"/>
        <v>0</v>
      </c>
      <c r="AK59" s="35">
        <f t="shared" si="79"/>
        <v>1</v>
      </c>
      <c r="AL59" s="35">
        <f t="shared" si="79"/>
        <v>0</v>
      </c>
      <c r="AM59" s="35">
        <f t="shared" si="79"/>
        <v>0</v>
      </c>
      <c r="AN59" s="35"/>
      <c r="AO59" s="35">
        <f t="shared" si="13"/>
        <v>1</v>
      </c>
      <c r="AP59" s="35">
        <f t="shared" si="14"/>
        <v>1</v>
      </c>
      <c r="AQ59" s="35"/>
      <c r="AR59" s="35">
        <f t="shared" si="15"/>
        <v>2</v>
      </c>
    </row>
    <row r="60" spans="1:44" ht="15.75" customHeight="1" x14ac:dyDescent="0.2">
      <c r="A60" s="34"/>
      <c r="B60" s="58"/>
      <c r="C60" s="13" t="s">
        <v>15</v>
      </c>
      <c r="D60" s="5">
        <f t="shared" ref="D60:H60" si="80">IF(AND(K20 &gt;= LARGE($K20:$O20, 2), K20&gt;=3), 1, 0)</f>
        <v>0</v>
      </c>
      <c r="E60" s="5">
        <f t="shared" si="80"/>
        <v>0</v>
      </c>
      <c r="F60" s="5">
        <f t="shared" si="80"/>
        <v>1</v>
      </c>
      <c r="G60" s="5">
        <f t="shared" si="80"/>
        <v>0</v>
      </c>
      <c r="H60" s="5">
        <f t="shared" si="80"/>
        <v>0</v>
      </c>
      <c r="J60" s="5">
        <f t="shared" ref="J60:M60" si="81">IF(AND(D20 &gt;= LARGE($D20:$H20, 2), D20&gt;=3), 1, 0)</f>
        <v>1</v>
      </c>
      <c r="K60" s="5">
        <f t="shared" si="81"/>
        <v>1</v>
      </c>
      <c r="L60" s="5">
        <f t="shared" si="81"/>
        <v>0</v>
      </c>
      <c r="M60" s="5">
        <f t="shared" si="81"/>
        <v>0</v>
      </c>
      <c r="N60" s="5">
        <v>0</v>
      </c>
      <c r="O60" s="5">
        <f t="shared" si="2"/>
        <v>2</v>
      </c>
      <c r="P60" s="5">
        <f t="shared" si="3"/>
        <v>0.7</v>
      </c>
      <c r="Q60" s="5">
        <f t="shared" si="4"/>
        <v>0</v>
      </c>
      <c r="R60" s="5">
        <f t="shared" si="5"/>
        <v>0</v>
      </c>
      <c r="T60" s="5">
        <f t="shared" si="6"/>
        <v>1</v>
      </c>
      <c r="U60" s="5">
        <f t="shared" si="7"/>
        <v>3</v>
      </c>
      <c r="W60" s="5">
        <f t="shared" ref="W60:AA60" si="82">IF(AND(Q20 &gt;= LARGE($Q20:$U20, 2), Q20&gt;=3), 1, 0)</f>
        <v>0</v>
      </c>
      <c r="X60" s="5">
        <f t="shared" si="82"/>
        <v>0</v>
      </c>
      <c r="Y60" s="5">
        <f t="shared" si="82"/>
        <v>0</v>
      </c>
      <c r="Z60" s="5">
        <f t="shared" si="82"/>
        <v>0</v>
      </c>
      <c r="AA60" s="5">
        <f t="shared" si="82"/>
        <v>0</v>
      </c>
      <c r="AC60" s="28">
        <f t="shared" si="9"/>
        <v>0</v>
      </c>
      <c r="AD60" s="28">
        <f t="shared" si="10"/>
        <v>0</v>
      </c>
      <c r="AE60" s="28"/>
      <c r="AF60" s="28">
        <f t="shared" si="11"/>
        <v>0</v>
      </c>
      <c r="AG60" s="28"/>
      <c r="AH60" s="35"/>
      <c r="AI60" s="35">
        <f t="shared" ref="AI60:AM60" si="83">IF(AND(W20 &gt;= LARGE($W20:$AA20, 2), W20&gt;=3), 1, 0)</f>
        <v>1</v>
      </c>
      <c r="AJ60" s="35">
        <f t="shared" si="83"/>
        <v>0</v>
      </c>
      <c r="AK60" s="35">
        <f t="shared" si="83"/>
        <v>1</v>
      </c>
      <c r="AL60" s="35">
        <f t="shared" si="83"/>
        <v>0</v>
      </c>
      <c r="AM60" s="35">
        <f t="shared" si="83"/>
        <v>0</v>
      </c>
      <c r="AN60" s="35"/>
      <c r="AO60" s="35">
        <f t="shared" si="13"/>
        <v>0</v>
      </c>
      <c r="AP60" s="35">
        <f t="shared" si="14"/>
        <v>0</v>
      </c>
      <c r="AQ60" s="35"/>
      <c r="AR60" s="35">
        <f t="shared" si="15"/>
        <v>2</v>
      </c>
    </row>
    <row r="61" spans="1:44" ht="15.75" customHeight="1" x14ac:dyDescent="0.2">
      <c r="A61" s="34"/>
      <c r="B61" s="58"/>
      <c r="C61" s="13" t="s">
        <v>16</v>
      </c>
      <c r="D61" s="5">
        <f t="shared" ref="D61:H61" si="84">IF(AND(K21 &gt;= LARGE($K21:$O21, 2), K21&gt;=3), 1, 0)</f>
        <v>0</v>
      </c>
      <c r="E61" s="5">
        <f t="shared" si="84"/>
        <v>1</v>
      </c>
      <c r="F61" s="5">
        <f t="shared" si="84"/>
        <v>0</v>
      </c>
      <c r="G61" s="5">
        <f t="shared" si="84"/>
        <v>0</v>
      </c>
      <c r="H61" s="5">
        <f t="shared" si="84"/>
        <v>0</v>
      </c>
      <c r="J61" s="5">
        <f t="shared" ref="J61:N61" si="85">IF(AND(D21 &gt;= LARGE($D21:$H21, 2), D21&gt;=3), 1, 0)</f>
        <v>0</v>
      </c>
      <c r="K61" s="5">
        <f t="shared" si="85"/>
        <v>0</v>
      </c>
      <c r="L61" s="5">
        <f t="shared" si="85"/>
        <v>1</v>
      </c>
      <c r="M61" s="5">
        <f t="shared" si="85"/>
        <v>0</v>
      </c>
      <c r="N61" s="5">
        <f t="shared" si="85"/>
        <v>1</v>
      </c>
      <c r="O61" s="5">
        <f t="shared" si="2"/>
        <v>2</v>
      </c>
      <c r="P61" s="5">
        <f t="shared" si="3"/>
        <v>0.7</v>
      </c>
      <c r="Q61" s="5">
        <f t="shared" si="4"/>
        <v>0</v>
      </c>
      <c r="R61" s="5">
        <f t="shared" si="5"/>
        <v>0</v>
      </c>
      <c r="T61" s="5">
        <f t="shared" si="6"/>
        <v>1</v>
      </c>
      <c r="U61" s="5">
        <f t="shared" si="7"/>
        <v>2</v>
      </c>
      <c r="W61" s="5">
        <f t="shared" ref="W61:AA61" si="86">IF(AND(Q21 &gt;= LARGE($Q21:$U21, 2), Q21&gt;=3), 1, 0)</f>
        <v>0</v>
      </c>
      <c r="X61" s="5">
        <f t="shared" si="86"/>
        <v>0</v>
      </c>
      <c r="Y61" s="5">
        <f t="shared" si="86"/>
        <v>0</v>
      </c>
      <c r="Z61" s="5">
        <f t="shared" si="86"/>
        <v>0</v>
      </c>
      <c r="AA61" s="5">
        <f t="shared" si="86"/>
        <v>0</v>
      </c>
      <c r="AC61" s="28">
        <f t="shared" si="9"/>
        <v>0</v>
      </c>
      <c r="AD61" s="28">
        <f t="shared" si="10"/>
        <v>0</v>
      </c>
      <c r="AE61" s="28"/>
      <c r="AF61" s="28">
        <f t="shared" si="11"/>
        <v>0</v>
      </c>
      <c r="AG61" s="28"/>
      <c r="AH61" s="35"/>
      <c r="AI61" s="35">
        <f t="shared" ref="AI61:AM61" si="87">IF(AND(W21 &gt;= LARGE($W21:$AA21, 2), W21&gt;=3), 1, 0)</f>
        <v>0</v>
      </c>
      <c r="AJ61" s="35">
        <f t="shared" si="87"/>
        <v>0</v>
      </c>
      <c r="AK61" s="35">
        <f t="shared" si="87"/>
        <v>1</v>
      </c>
      <c r="AL61" s="35">
        <f t="shared" si="87"/>
        <v>0</v>
      </c>
      <c r="AM61" s="35">
        <f t="shared" si="87"/>
        <v>0</v>
      </c>
      <c r="AN61" s="35"/>
      <c r="AO61" s="35">
        <f t="shared" si="13"/>
        <v>0</v>
      </c>
      <c r="AP61" s="35">
        <f t="shared" si="14"/>
        <v>0</v>
      </c>
      <c r="AQ61" s="35"/>
      <c r="AR61" s="35">
        <f t="shared" si="15"/>
        <v>1</v>
      </c>
    </row>
    <row r="62" spans="1:44" ht="15.75" customHeight="1" x14ac:dyDescent="0.2">
      <c r="A62" s="34"/>
      <c r="B62" s="58"/>
      <c r="C62" s="13" t="s">
        <v>17</v>
      </c>
      <c r="D62" s="5">
        <f t="shared" ref="D62:H62" si="88">IF(AND(K22 &gt;= LARGE($K22:$O22, 2), K22&gt;=3), 1, 0)</f>
        <v>0</v>
      </c>
      <c r="E62" s="5">
        <f t="shared" si="88"/>
        <v>0</v>
      </c>
      <c r="F62" s="5">
        <f t="shared" si="88"/>
        <v>1</v>
      </c>
      <c r="G62" s="5">
        <f t="shared" si="88"/>
        <v>0</v>
      </c>
      <c r="H62" s="5">
        <f t="shared" si="88"/>
        <v>0</v>
      </c>
      <c r="J62" s="5">
        <f t="shared" ref="J62:K62" si="89">IF(AND(D22 &gt;= LARGE($D22:$H22, 2), D22&gt;=3), 1, 0)</f>
        <v>1</v>
      </c>
      <c r="K62" s="5">
        <f t="shared" si="89"/>
        <v>1</v>
      </c>
      <c r="L62" s="5">
        <v>0</v>
      </c>
      <c r="M62" s="5">
        <f>IF(AND(G22 &gt;= LARGE($D22:$H22, 2), G22&gt;=3), 1, 0)</f>
        <v>0</v>
      </c>
      <c r="N62" s="5">
        <v>0</v>
      </c>
      <c r="O62" s="5">
        <f t="shared" si="2"/>
        <v>2</v>
      </c>
      <c r="P62" s="5">
        <f t="shared" si="3"/>
        <v>0.7</v>
      </c>
      <c r="Q62" s="5">
        <f t="shared" si="4"/>
        <v>0</v>
      </c>
      <c r="R62" s="5">
        <f t="shared" si="5"/>
        <v>0</v>
      </c>
      <c r="T62" s="5">
        <f t="shared" si="6"/>
        <v>1</v>
      </c>
      <c r="U62" s="5">
        <f t="shared" si="7"/>
        <v>4</v>
      </c>
      <c r="W62" s="5">
        <f t="shared" ref="W62:AA62" si="90">IF(AND(Q22 &gt;= LARGE($Q22:$U22, 2), Q22&gt;=3), 1, 0)</f>
        <v>0</v>
      </c>
      <c r="X62" s="5">
        <f t="shared" si="90"/>
        <v>0</v>
      </c>
      <c r="Y62" s="5">
        <f t="shared" si="90"/>
        <v>0</v>
      </c>
      <c r="Z62" s="5">
        <f t="shared" si="90"/>
        <v>0</v>
      </c>
      <c r="AA62" s="5">
        <f t="shared" si="90"/>
        <v>0</v>
      </c>
      <c r="AC62" s="28">
        <f t="shared" si="9"/>
        <v>0</v>
      </c>
      <c r="AD62" s="28">
        <f t="shared" si="10"/>
        <v>0</v>
      </c>
      <c r="AE62" s="28"/>
      <c r="AF62" s="28">
        <f t="shared" si="11"/>
        <v>0</v>
      </c>
      <c r="AG62" s="28"/>
      <c r="AH62" s="35"/>
      <c r="AI62" s="35">
        <f t="shared" ref="AI62:AM62" si="91">IF(AND(W22 &gt;= LARGE($W22:$AA22, 2), W22&gt;=3), 1, 0)</f>
        <v>1</v>
      </c>
      <c r="AJ62" s="35">
        <f t="shared" si="91"/>
        <v>0</v>
      </c>
      <c r="AK62" s="35">
        <f t="shared" si="91"/>
        <v>1</v>
      </c>
      <c r="AL62" s="35">
        <f t="shared" si="91"/>
        <v>0</v>
      </c>
      <c r="AM62" s="35">
        <f t="shared" si="91"/>
        <v>0</v>
      </c>
      <c r="AN62" s="35"/>
      <c r="AO62" s="35">
        <f t="shared" si="13"/>
        <v>0</v>
      </c>
      <c r="AP62" s="35">
        <f t="shared" si="14"/>
        <v>0</v>
      </c>
      <c r="AQ62" s="35"/>
      <c r="AR62" s="35">
        <f t="shared" si="15"/>
        <v>2</v>
      </c>
    </row>
    <row r="63" spans="1:44" ht="15.75" customHeight="1" x14ac:dyDescent="0.2">
      <c r="A63" s="34"/>
      <c r="B63" s="58"/>
      <c r="C63" s="13" t="s">
        <v>18</v>
      </c>
      <c r="D63" s="5">
        <f t="shared" ref="D63:H63" si="92">IF(AND(K23 &gt;= LARGE($K23:$O23, 2), K23&gt;=3), 1, 0)</f>
        <v>0</v>
      </c>
      <c r="E63" s="5">
        <f t="shared" si="92"/>
        <v>0</v>
      </c>
      <c r="F63" s="5">
        <f t="shared" si="92"/>
        <v>1</v>
      </c>
      <c r="G63" s="5">
        <f t="shared" si="92"/>
        <v>0</v>
      </c>
      <c r="H63" s="5">
        <f t="shared" si="92"/>
        <v>0</v>
      </c>
      <c r="J63" s="5">
        <f t="shared" ref="J63:M63" si="93">IF(AND(D23 &gt;= LARGE($D23:$H23, 2), D23&gt;=3), 1, 0)</f>
        <v>1</v>
      </c>
      <c r="K63" s="5">
        <f t="shared" si="93"/>
        <v>0</v>
      </c>
      <c r="L63" s="5">
        <f t="shared" si="93"/>
        <v>0</v>
      </c>
      <c r="M63" s="5">
        <f t="shared" si="93"/>
        <v>1</v>
      </c>
      <c r="N63" s="5">
        <v>0</v>
      </c>
      <c r="O63" s="5">
        <f t="shared" si="2"/>
        <v>2</v>
      </c>
      <c r="P63" s="5">
        <f t="shared" si="3"/>
        <v>0.7</v>
      </c>
      <c r="Q63" s="5">
        <f t="shared" si="4"/>
        <v>0</v>
      </c>
      <c r="R63" s="5">
        <f t="shared" si="5"/>
        <v>0</v>
      </c>
      <c r="T63" s="5">
        <f t="shared" si="6"/>
        <v>1</v>
      </c>
      <c r="U63" s="5">
        <f t="shared" si="7"/>
        <v>3</v>
      </c>
      <c r="W63" s="5">
        <f t="shared" ref="W63:AA63" si="94">IF(AND(Q23 &gt;= LARGE($Q23:$U23, 2), Q23&gt;=3), 1, 0)</f>
        <v>0</v>
      </c>
      <c r="X63" s="5">
        <f t="shared" si="94"/>
        <v>0</v>
      </c>
      <c r="Y63" s="5">
        <f t="shared" si="94"/>
        <v>0</v>
      </c>
      <c r="Z63" s="5">
        <f t="shared" si="94"/>
        <v>0</v>
      </c>
      <c r="AA63" s="5">
        <f t="shared" si="94"/>
        <v>0</v>
      </c>
      <c r="AC63" s="28">
        <f t="shared" si="9"/>
        <v>0</v>
      </c>
      <c r="AD63" s="28">
        <f t="shared" si="10"/>
        <v>0</v>
      </c>
      <c r="AE63" s="28"/>
      <c r="AF63" s="28">
        <f t="shared" si="11"/>
        <v>0</v>
      </c>
      <c r="AG63" s="28"/>
      <c r="AH63" s="35"/>
      <c r="AI63" s="35">
        <f t="shared" ref="AI63:AM63" si="95">IF(AND(W23 &gt;= LARGE($W23:$AA23, 2), W23&gt;=3), 1, 0)</f>
        <v>1</v>
      </c>
      <c r="AJ63" s="35">
        <f t="shared" si="95"/>
        <v>0</v>
      </c>
      <c r="AK63" s="35">
        <f t="shared" si="95"/>
        <v>1</v>
      </c>
      <c r="AL63" s="35">
        <f t="shared" si="95"/>
        <v>0</v>
      </c>
      <c r="AM63" s="35">
        <f t="shared" si="95"/>
        <v>0</v>
      </c>
      <c r="AN63" s="35"/>
      <c r="AO63" s="35">
        <f t="shared" si="13"/>
        <v>0</v>
      </c>
      <c r="AP63" s="35">
        <f t="shared" si="14"/>
        <v>0</v>
      </c>
      <c r="AQ63" s="35"/>
      <c r="AR63" s="35">
        <f t="shared" si="15"/>
        <v>2</v>
      </c>
    </row>
    <row r="64" spans="1:44" ht="15.75" customHeight="1" x14ac:dyDescent="0.2">
      <c r="A64" s="34"/>
      <c r="B64" s="4"/>
      <c r="C64" s="20" t="s">
        <v>50</v>
      </c>
      <c r="D64" s="5">
        <f t="shared" ref="D64:H64" si="96">IF(AND(K24 &gt;= LARGE($K24:$O24, 2), K24&gt;=3), 1, 0)</f>
        <v>0</v>
      </c>
      <c r="E64" s="5">
        <f t="shared" si="96"/>
        <v>1</v>
      </c>
      <c r="F64" s="5">
        <f t="shared" si="96"/>
        <v>0</v>
      </c>
      <c r="G64" s="5">
        <f t="shared" si="96"/>
        <v>0</v>
      </c>
      <c r="H64" s="5">
        <f t="shared" si="96"/>
        <v>0</v>
      </c>
      <c r="J64" s="5">
        <f t="shared" ref="J64:M64" si="97">IF(AND(D24 &gt;= LARGE($D24:$H24, 2), D24&gt;=3), 1, 0)</f>
        <v>0</v>
      </c>
      <c r="K64" s="5">
        <f t="shared" si="97"/>
        <v>1</v>
      </c>
      <c r="L64" s="5">
        <f t="shared" si="97"/>
        <v>0</v>
      </c>
      <c r="M64" s="5">
        <f t="shared" si="97"/>
        <v>1</v>
      </c>
      <c r="N64" s="5">
        <v>0</v>
      </c>
      <c r="O64" s="5">
        <f t="shared" si="2"/>
        <v>2</v>
      </c>
      <c r="P64" s="5">
        <f t="shared" si="3"/>
        <v>0.7</v>
      </c>
      <c r="Q64" s="5">
        <f t="shared" si="4"/>
        <v>1</v>
      </c>
      <c r="R64" s="5">
        <f t="shared" si="5"/>
        <v>1</v>
      </c>
      <c r="T64" s="5">
        <f t="shared" si="6"/>
        <v>1</v>
      </c>
      <c r="U64" s="5">
        <f t="shared" si="7"/>
        <v>3</v>
      </c>
      <c r="W64" s="5">
        <f t="shared" ref="W64:Z64" si="98">IF(AND(Q24 &gt;= LARGE($Q24:$U24, 2), Q24&gt;=3), 1, 0)</f>
        <v>1</v>
      </c>
      <c r="X64" s="5">
        <f t="shared" si="98"/>
        <v>1</v>
      </c>
      <c r="Y64" s="5">
        <f t="shared" si="98"/>
        <v>0</v>
      </c>
      <c r="Z64" s="5">
        <f t="shared" si="98"/>
        <v>0</v>
      </c>
      <c r="AA64" s="5">
        <v>0</v>
      </c>
      <c r="AC64" s="28">
        <f t="shared" si="9"/>
        <v>1</v>
      </c>
      <c r="AD64" s="28">
        <f t="shared" si="10"/>
        <v>1</v>
      </c>
      <c r="AE64" s="28"/>
      <c r="AF64" s="28">
        <f t="shared" si="11"/>
        <v>3</v>
      </c>
      <c r="AG64" s="28"/>
      <c r="AH64" s="35"/>
      <c r="AI64" s="35">
        <f t="shared" ref="AI64:AM64" si="99">IF(AND(W24 &gt;= LARGE($W24:$AA24, 2), W24&gt;=3), 1, 0)</f>
        <v>0</v>
      </c>
      <c r="AJ64" s="35">
        <f t="shared" si="99"/>
        <v>1</v>
      </c>
      <c r="AK64" s="35">
        <f t="shared" si="99"/>
        <v>1</v>
      </c>
      <c r="AL64" s="35">
        <f t="shared" si="99"/>
        <v>0</v>
      </c>
      <c r="AM64" s="35">
        <f t="shared" si="99"/>
        <v>0</v>
      </c>
      <c r="AN64" s="35"/>
      <c r="AO64" s="35">
        <f t="shared" si="13"/>
        <v>1</v>
      </c>
      <c r="AP64" s="35">
        <f t="shared" si="14"/>
        <v>1</v>
      </c>
      <c r="AQ64" s="35"/>
      <c r="AR64" s="35">
        <f t="shared" si="15"/>
        <v>2</v>
      </c>
    </row>
    <row r="65" spans="1:44" ht="15.75" customHeight="1" x14ac:dyDescent="0.2">
      <c r="A65" s="34"/>
      <c r="B65" s="4"/>
      <c r="C65" s="20" t="s">
        <v>51</v>
      </c>
      <c r="D65" s="5">
        <f t="shared" ref="D65:H65" si="100">IF(AND(K25 &gt;= LARGE($K25:$O25, 2), K25&gt;=3), 1, 0)</f>
        <v>0</v>
      </c>
      <c r="E65" s="5">
        <f t="shared" si="100"/>
        <v>1</v>
      </c>
      <c r="F65" s="5">
        <f t="shared" si="100"/>
        <v>0</v>
      </c>
      <c r="G65" s="5">
        <f t="shared" si="100"/>
        <v>0</v>
      </c>
      <c r="H65" s="5">
        <f t="shared" si="100"/>
        <v>0</v>
      </c>
      <c r="J65" s="5">
        <f t="shared" ref="J65:N65" si="101">IF(AND(D25 &gt;= LARGE($D25:$H25, 2), D25&gt;=3), 1, 0)</f>
        <v>0</v>
      </c>
      <c r="K65" s="5">
        <f t="shared" si="101"/>
        <v>0</v>
      </c>
      <c r="L65" s="5">
        <f t="shared" si="101"/>
        <v>0</v>
      </c>
      <c r="M65" s="5">
        <f t="shared" si="101"/>
        <v>1</v>
      </c>
      <c r="N65" s="5">
        <f t="shared" si="101"/>
        <v>1</v>
      </c>
      <c r="O65" s="5">
        <f t="shared" si="2"/>
        <v>2</v>
      </c>
      <c r="P65" s="5">
        <f t="shared" si="3"/>
        <v>0.7</v>
      </c>
      <c r="Q65" s="5">
        <f t="shared" si="4"/>
        <v>0</v>
      </c>
      <c r="R65" s="5">
        <f t="shared" si="5"/>
        <v>0</v>
      </c>
      <c r="T65" s="5">
        <f t="shared" si="6"/>
        <v>1</v>
      </c>
      <c r="U65" s="5">
        <f t="shared" si="7"/>
        <v>2</v>
      </c>
      <c r="W65" s="5">
        <f t="shared" ref="W65:Z65" si="102">IF(AND(Q25 &gt;= LARGE($Q25:$U25, 2), Q25&gt;=3), 1, 0)</f>
        <v>1</v>
      </c>
      <c r="X65" s="5">
        <f t="shared" si="102"/>
        <v>1</v>
      </c>
      <c r="Y65" s="5">
        <f t="shared" si="102"/>
        <v>0</v>
      </c>
      <c r="Z65" s="5">
        <f t="shared" si="102"/>
        <v>0</v>
      </c>
      <c r="AA65" s="5">
        <v>0</v>
      </c>
      <c r="AC65" s="28">
        <f t="shared" si="9"/>
        <v>0</v>
      </c>
      <c r="AD65" s="28">
        <f t="shared" si="10"/>
        <v>0</v>
      </c>
      <c r="AE65" s="28"/>
      <c r="AF65" s="28">
        <f t="shared" si="11"/>
        <v>3</v>
      </c>
      <c r="AG65" s="28"/>
      <c r="AH65" s="35"/>
      <c r="AI65" s="35">
        <f t="shared" ref="AI65:AM65" si="103">IF(AND(W25 &gt;= LARGE($W25:$AA25, 2), W25&gt;=3), 1, 0)</f>
        <v>0</v>
      </c>
      <c r="AJ65" s="35">
        <f t="shared" si="103"/>
        <v>1</v>
      </c>
      <c r="AK65" s="35">
        <f t="shared" si="103"/>
        <v>0</v>
      </c>
      <c r="AL65" s="35">
        <f t="shared" si="103"/>
        <v>1</v>
      </c>
      <c r="AM65" s="35">
        <f t="shared" si="103"/>
        <v>0</v>
      </c>
      <c r="AN65" s="35"/>
      <c r="AO65" s="35">
        <f t="shared" si="13"/>
        <v>1</v>
      </c>
      <c r="AP65" s="35">
        <f t="shared" si="14"/>
        <v>1</v>
      </c>
      <c r="AQ65" s="35"/>
      <c r="AR65" s="35">
        <f t="shared" si="15"/>
        <v>3</v>
      </c>
    </row>
    <row r="66" spans="1:44" ht="15.75" customHeight="1" x14ac:dyDescent="0.2">
      <c r="A66" s="34"/>
      <c r="B66" s="57" t="s">
        <v>19</v>
      </c>
      <c r="C66" s="14" t="s">
        <v>20</v>
      </c>
      <c r="D66" s="5">
        <f t="shared" ref="D66:H66" si="104">IF(AND(K26 &gt;= LARGE($K26:$O26, 2), K26&gt;=3), 1, 0)</f>
        <v>0</v>
      </c>
      <c r="E66" s="5">
        <f t="shared" si="104"/>
        <v>1</v>
      </c>
      <c r="F66" s="5">
        <f t="shared" si="104"/>
        <v>0</v>
      </c>
      <c r="G66" s="5">
        <f t="shared" si="104"/>
        <v>0</v>
      </c>
      <c r="H66" s="5">
        <f t="shared" si="104"/>
        <v>1</v>
      </c>
      <c r="J66" s="5">
        <f t="shared" ref="J66:L66" si="105">IF(AND(D26 &gt;= LARGE($D26:$H26, 2), D26&gt;=3), 1, 0)</f>
        <v>1</v>
      </c>
      <c r="K66" s="5">
        <f t="shared" si="105"/>
        <v>1</v>
      </c>
      <c r="L66" s="5">
        <f t="shared" si="105"/>
        <v>0</v>
      </c>
      <c r="M66" s="5">
        <v>0</v>
      </c>
      <c r="N66" s="5">
        <v>0</v>
      </c>
      <c r="O66" s="5">
        <f t="shared" si="2"/>
        <v>2</v>
      </c>
      <c r="P66" s="5">
        <f t="shared" si="3"/>
        <v>0.7</v>
      </c>
      <c r="Q66" s="5">
        <f t="shared" si="4"/>
        <v>1</v>
      </c>
      <c r="R66" s="5">
        <f t="shared" si="5"/>
        <v>1</v>
      </c>
      <c r="T66" s="5">
        <f t="shared" si="6"/>
        <v>2</v>
      </c>
      <c r="U66" s="5">
        <f t="shared" si="7"/>
        <v>4</v>
      </c>
      <c r="W66" s="5">
        <f t="shared" ref="W66:Z66" si="106">IF(AND(Q26 &gt;= LARGE($Q26:$U26, 2), Q26&gt;=3), 1, 0)</f>
        <v>1</v>
      </c>
      <c r="X66" s="5">
        <f t="shared" si="106"/>
        <v>1</v>
      </c>
      <c r="Y66" s="5">
        <f t="shared" si="106"/>
        <v>0</v>
      </c>
      <c r="Z66" s="5">
        <f t="shared" si="106"/>
        <v>0</v>
      </c>
      <c r="AA66" s="5">
        <v>0</v>
      </c>
      <c r="AC66" s="28">
        <f t="shared" si="9"/>
        <v>2</v>
      </c>
      <c r="AD66" s="28">
        <f t="shared" si="10"/>
        <v>1</v>
      </c>
      <c r="AE66" s="28"/>
      <c r="AF66" s="28">
        <f t="shared" si="11"/>
        <v>3</v>
      </c>
      <c r="AG66" s="28"/>
      <c r="AH66" s="35"/>
      <c r="AI66" s="35">
        <f t="shared" ref="AI66:AM66" si="107">IF(AND(W26 &gt;= LARGE($W26:$AA26, 2), W26&gt;=3), 1, 0)</f>
        <v>1</v>
      </c>
      <c r="AJ66" s="35">
        <f t="shared" si="107"/>
        <v>0</v>
      </c>
      <c r="AK66" s="35">
        <f t="shared" si="107"/>
        <v>0</v>
      </c>
      <c r="AL66" s="35">
        <f t="shared" si="107"/>
        <v>0</v>
      </c>
      <c r="AM66" s="35">
        <f t="shared" si="107"/>
        <v>1</v>
      </c>
      <c r="AN66" s="35"/>
      <c r="AO66" s="35">
        <f t="shared" si="13"/>
        <v>1</v>
      </c>
      <c r="AP66" s="35">
        <f t="shared" si="14"/>
        <v>1</v>
      </c>
      <c r="AQ66" s="35"/>
      <c r="AR66" s="35">
        <f t="shared" si="15"/>
        <v>2</v>
      </c>
    </row>
    <row r="67" spans="1:44" ht="15.75" customHeight="1" x14ac:dyDescent="0.2">
      <c r="A67" s="34"/>
      <c r="B67" s="58"/>
      <c r="C67" s="14" t="s">
        <v>21</v>
      </c>
      <c r="D67" s="5">
        <f t="shared" ref="D67:H67" si="108">IF(AND(K27 &gt;= LARGE($K27:$O27, 2), K27&gt;=3), 1, 0)</f>
        <v>0</v>
      </c>
      <c r="E67" s="5">
        <f t="shared" si="108"/>
        <v>1</v>
      </c>
      <c r="F67" s="5">
        <f t="shared" si="108"/>
        <v>0</v>
      </c>
      <c r="G67" s="5">
        <f t="shared" si="108"/>
        <v>0</v>
      </c>
      <c r="H67" s="5">
        <f t="shared" si="108"/>
        <v>1</v>
      </c>
      <c r="J67" s="5">
        <f t="shared" ref="J67:M67" si="109">IF(AND(D27 &gt;= LARGE($D27:$H27, 2), D27&gt;=3), 1, 0)</f>
        <v>0</v>
      </c>
      <c r="K67" s="5">
        <f t="shared" si="109"/>
        <v>1</v>
      </c>
      <c r="L67" s="5">
        <f t="shared" si="109"/>
        <v>1</v>
      </c>
      <c r="M67" s="5">
        <f t="shared" si="109"/>
        <v>0</v>
      </c>
      <c r="N67" s="5">
        <v>0</v>
      </c>
      <c r="O67" s="5">
        <f t="shared" si="2"/>
        <v>2</v>
      </c>
      <c r="P67" s="5">
        <f t="shared" si="3"/>
        <v>0.7</v>
      </c>
      <c r="Q67" s="5">
        <f t="shared" si="4"/>
        <v>1</v>
      </c>
      <c r="R67" s="5">
        <f t="shared" si="5"/>
        <v>1</v>
      </c>
      <c r="T67" s="5">
        <f t="shared" si="6"/>
        <v>2</v>
      </c>
      <c r="U67" s="5">
        <f t="shared" si="7"/>
        <v>3</v>
      </c>
      <c r="W67" s="5">
        <f t="shared" ref="W67:Z67" si="110">IF(AND(Q27 &gt;= LARGE($Q27:$U27, 2), Q27&gt;=3), 1, 0)</f>
        <v>1</v>
      </c>
      <c r="X67" s="5">
        <f t="shared" si="110"/>
        <v>1</v>
      </c>
      <c r="Y67" s="5">
        <f t="shared" si="110"/>
        <v>0</v>
      </c>
      <c r="Z67" s="5">
        <f t="shared" si="110"/>
        <v>1</v>
      </c>
      <c r="AA67" s="5">
        <v>0</v>
      </c>
      <c r="AC67" s="28">
        <f t="shared" si="9"/>
        <v>1</v>
      </c>
      <c r="AD67" s="28">
        <f t="shared" si="10"/>
        <v>1</v>
      </c>
      <c r="AE67" s="28"/>
      <c r="AF67" s="28">
        <f t="shared" si="11"/>
        <v>4</v>
      </c>
      <c r="AG67" s="28"/>
      <c r="AH67" s="35"/>
      <c r="AI67" s="35">
        <f t="shared" ref="AI67:AM67" si="111">IF(AND(W27 &gt;= LARGE($W27:$AA27, 2), W27&gt;=3), 1, 0)</f>
        <v>1</v>
      </c>
      <c r="AJ67" s="35">
        <f t="shared" si="111"/>
        <v>0</v>
      </c>
      <c r="AK67" s="35">
        <f t="shared" si="111"/>
        <v>1</v>
      </c>
      <c r="AL67" s="35">
        <f t="shared" si="111"/>
        <v>0</v>
      </c>
      <c r="AM67" s="35">
        <f t="shared" si="111"/>
        <v>0</v>
      </c>
      <c r="AN67" s="35"/>
      <c r="AO67" s="35">
        <f t="shared" si="13"/>
        <v>1</v>
      </c>
      <c r="AP67" s="35">
        <f t="shared" si="14"/>
        <v>1</v>
      </c>
      <c r="AQ67" s="35"/>
      <c r="AR67" s="35">
        <f t="shared" si="15"/>
        <v>4</v>
      </c>
    </row>
    <row r="68" spans="1:44" ht="15.75" customHeight="1" x14ac:dyDescent="0.2">
      <c r="A68" s="34"/>
      <c r="B68" s="58"/>
      <c r="C68" s="14" t="s">
        <v>22</v>
      </c>
      <c r="D68" s="5">
        <f t="shared" ref="D68:H68" si="112">IF(AND(K28 &gt;= LARGE($K28:$O28, 2), K28&gt;=3), 1, 0)</f>
        <v>0</v>
      </c>
      <c r="E68" s="5">
        <f t="shared" si="112"/>
        <v>1</v>
      </c>
      <c r="F68" s="5">
        <f t="shared" si="112"/>
        <v>0</v>
      </c>
      <c r="G68" s="5">
        <f t="shared" si="112"/>
        <v>0</v>
      </c>
      <c r="H68" s="5">
        <f t="shared" si="112"/>
        <v>0</v>
      </c>
      <c r="J68" s="5">
        <f t="shared" ref="J68:J77" si="113">IF(AND(D28 &gt;= LARGE($D28:$H28, 2), D28&gt;=3), 1, 0)</f>
        <v>1</v>
      </c>
      <c r="K68" s="5">
        <v>0</v>
      </c>
      <c r="L68" s="5">
        <f>IF(AND(F28 &gt;= LARGE($D28:$H28, 2), F28&gt;=3), 1, 0)</f>
        <v>0</v>
      </c>
      <c r="M68" s="5">
        <v>0</v>
      </c>
      <c r="N68" s="5">
        <f>IF(AND(H28 &gt;= LARGE($D28:$H28, 2), H28&gt;=3), 1, 0)</f>
        <v>1</v>
      </c>
      <c r="O68" s="5">
        <f t="shared" si="2"/>
        <v>2</v>
      </c>
      <c r="P68" s="5">
        <f t="shared" si="3"/>
        <v>0.7</v>
      </c>
      <c r="Q68" s="5">
        <f t="shared" si="4"/>
        <v>0</v>
      </c>
      <c r="R68" s="5">
        <f t="shared" si="5"/>
        <v>0</v>
      </c>
      <c r="T68" s="5">
        <f t="shared" si="6"/>
        <v>1</v>
      </c>
      <c r="U68" s="5">
        <f t="shared" si="7"/>
        <v>4</v>
      </c>
      <c r="W68" s="5">
        <f t="shared" ref="W68:W69" si="114">IF(AND(Q28 &gt;= LARGE($Q28:$U28, 2), Q28&gt;=3), 1, 0)</f>
        <v>1</v>
      </c>
      <c r="X68" s="5">
        <v>0</v>
      </c>
      <c r="Y68" s="5">
        <f t="shared" ref="Y68:AA68" si="115">IF(AND(S28 &gt;= LARGE($Q28:$U28, 2), S28&gt;=3), 1, 0)</f>
        <v>0</v>
      </c>
      <c r="Z68" s="5">
        <f t="shared" si="115"/>
        <v>0</v>
      </c>
      <c r="AA68" s="5">
        <f t="shared" si="115"/>
        <v>1</v>
      </c>
      <c r="AC68" s="28">
        <f t="shared" si="9"/>
        <v>2</v>
      </c>
      <c r="AD68" s="28">
        <f t="shared" si="10"/>
        <v>1</v>
      </c>
      <c r="AE68" s="28"/>
      <c r="AF68" s="28">
        <f t="shared" si="11"/>
        <v>3</v>
      </c>
      <c r="AG68" s="28"/>
      <c r="AH68" s="35"/>
      <c r="AI68" s="35">
        <f t="shared" ref="AI68:AM68" si="116">IF(AND(W28 &gt;= LARGE($W28:$AA28, 2), W28&gt;=3), 1, 0)</f>
        <v>0</v>
      </c>
      <c r="AJ68" s="35">
        <f t="shared" si="116"/>
        <v>0</v>
      </c>
      <c r="AK68" s="35">
        <f t="shared" si="116"/>
        <v>1</v>
      </c>
      <c r="AL68" s="35">
        <f t="shared" si="116"/>
        <v>0</v>
      </c>
      <c r="AM68" s="35">
        <f t="shared" si="116"/>
        <v>0</v>
      </c>
      <c r="AN68" s="35"/>
      <c r="AO68" s="35">
        <f t="shared" si="13"/>
        <v>0</v>
      </c>
      <c r="AP68" s="35">
        <f t="shared" si="14"/>
        <v>0</v>
      </c>
      <c r="AQ68" s="35"/>
      <c r="AR68" s="35">
        <f t="shared" si="15"/>
        <v>1</v>
      </c>
    </row>
    <row r="69" spans="1:44" ht="15.75" customHeight="1" x14ac:dyDescent="0.2">
      <c r="A69" s="34"/>
      <c r="B69" s="58"/>
      <c r="C69" s="14" t="s">
        <v>23</v>
      </c>
      <c r="D69" s="5">
        <f t="shared" ref="D69:H69" si="117">IF(AND(K29 &gt;= LARGE($K29:$O29, 2), K29&gt;=3), 1, 0)</f>
        <v>0</v>
      </c>
      <c r="E69" s="5">
        <f t="shared" si="117"/>
        <v>1</v>
      </c>
      <c r="F69" s="5">
        <f t="shared" si="117"/>
        <v>0</v>
      </c>
      <c r="G69" s="5">
        <f t="shared" si="117"/>
        <v>0</v>
      </c>
      <c r="H69" s="5">
        <f t="shared" si="117"/>
        <v>0</v>
      </c>
      <c r="J69" s="5">
        <f t="shared" si="113"/>
        <v>0</v>
      </c>
      <c r="K69" s="5">
        <f t="shared" ref="K69:N69" si="118">IF(AND(E29 &gt;= LARGE($D29:$H29, 2), E29&gt;=3), 1, 0)</f>
        <v>1</v>
      </c>
      <c r="L69" s="5">
        <f t="shared" si="118"/>
        <v>0</v>
      </c>
      <c r="M69" s="5">
        <f t="shared" si="118"/>
        <v>0</v>
      </c>
      <c r="N69" s="5">
        <f t="shared" si="118"/>
        <v>1</v>
      </c>
      <c r="O69" s="5">
        <f t="shared" si="2"/>
        <v>2</v>
      </c>
      <c r="P69" s="5">
        <f t="shared" si="3"/>
        <v>0.7</v>
      </c>
      <c r="Q69" s="5">
        <f t="shared" si="4"/>
        <v>1</v>
      </c>
      <c r="R69" s="5">
        <f t="shared" si="5"/>
        <v>1</v>
      </c>
      <c r="T69" s="5">
        <f t="shared" si="6"/>
        <v>1</v>
      </c>
      <c r="U69" s="5">
        <f t="shared" si="7"/>
        <v>2</v>
      </c>
      <c r="W69" s="5">
        <f t="shared" si="114"/>
        <v>1</v>
      </c>
      <c r="X69" s="5">
        <f t="shared" ref="X69:Z69" si="119">IF(AND(R29 &gt;= LARGE($Q29:$U29, 2), R29&gt;=3), 1, 0)</f>
        <v>1</v>
      </c>
      <c r="Y69" s="5">
        <f t="shared" si="119"/>
        <v>0</v>
      </c>
      <c r="Z69" s="5">
        <f t="shared" si="119"/>
        <v>0</v>
      </c>
      <c r="AA69" s="5">
        <v>0</v>
      </c>
      <c r="AC69" s="28">
        <f t="shared" si="9"/>
        <v>1</v>
      </c>
      <c r="AD69" s="28">
        <f t="shared" si="10"/>
        <v>1</v>
      </c>
      <c r="AE69" s="28"/>
      <c r="AF69" s="28">
        <f t="shared" si="11"/>
        <v>3</v>
      </c>
      <c r="AG69" s="28"/>
      <c r="AH69" s="35"/>
      <c r="AI69" s="35">
        <f t="shared" ref="AI69:AM69" si="120">IF(AND(W29 &gt;= LARGE($W29:$AA29, 2), W29&gt;=3), 1, 0)</f>
        <v>1</v>
      </c>
      <c r="AJ69" s="35">
        <f t="shared" si="120"/>
        <v>1</v>
      </c>
      <c r="AK69" s="35">
        <f t="shared" si="120"/>
        <v>1</v>
      </c>
      <c r="AL69" s="35">
        <f t="shared" si="120"/>
        <v>0</v>
      </c>
      <c r="AM69" s="35">
        <f t="shared" si="120"/>
        <v>0</v>
      </c>
      <c r="AN69" s="35"/>
      <c r="AO69" s="35">
        <f t="shared" si="13"/>
        <v>2</v>
      </c>
      <c r="AP69" s="35">
        <f t="shared" si="14"/>
        <v>1</v>
      </c>
      <c r="AQ69" s="35"/>
      <c r="AR69" s="35">
        <f t="shared" si="15"/>
        <v>3</v>
      </c>
    </row>
    <row r="70" spans="1:44" ht="15.75" customHeight="1" x14ac:dyDescent="0.2">
      <c r="A70" s="34"/>
      <c r="B70" s="58"/>
      <c r="C70" s="14" t="s">
        <v>24</v>
      </c>
      <c r="D70" s="5">
        <f t="shared" ref="D70:H70" si="121">IF(AND(K30 &gt;= LARGE($K30:$O30, 2), K30&gt;=3), 1, 0)</f>
        <v>0</v>
      </c>
      <c r="E70" s="5">
        <f t="shared" si="121"/>
        <v>1</v>
      </c>
      <c r="F70" s="5">
        <f t="shared" si="121"/>
        <v>0</v>
      </c>
      <c r="G70" s="5">
        <f t="shared" si="121"/>
        <v>0</v>
      </c>
      <c r="H70" s="5">
        <f t="shared" si="121"/>
        <v>1</v>
      </c>
      <c r="J70" s="5">
        <f t="shared" si="113"/>
        <v>0</v>
      </c>
      <c r="K70" s="5">
        <f t="shared" ref="K70:N70" si="122">IF(AND(E30 &gt;= LARGE($D30:$H30, 2), E30&gt;=3), 1, 0)</f>
        <v>1</v>
      </c>
      <c r="L70" s="5">
        <f t="shared" si="122"/>
        <v>0</v>
      </c>
      <c r="M70" s="5">
        <f t="shared" si="122"/>
        <v>0</v>
      </c>
      <c r="N70" s="5">
        <f t="shared" si="122"/>
        <v>1</v>
      </c>
      <c r="O70" s="5">
        <f t="shared" si="2"/>
        <v>2</v>
      </c>
      <c r="P70" s="5">
        <f t="shared" si="3"/>
        <v>0.7</v>
      </c>
      <c r="Q70" s="5">
        <f t="shared" si="4"/>
        <v>2</v>
      </c>
      <c r="R70" s="5">
        <f t="shared" si="5"/>
        <v>1</v>
      </c>
      <c r="T70" s="5">
        <f t="shared" si="6"/>
        <v>2</v>
      </c>
      <c r="U70" s="5">
        <f t="shared" si="7"/>
        <v>2</v>
      </c>
      <c r="W70" s="5">
        <v>0</v>
      </c>
      <c r="X70" s="5">
        <f t="shared" ref="X70:Y70" si="123">IF(AND(R30 &gt;= LARGE($Q30:$U30, 2), R30&gt;=3), 1, 0)</f>
        <v>1</v>
      </c>
      <c r="Y70" s="5">
        <f t="shared" si="123"/>
        <v>0</v>
      </c>
      <c r="Z70" s="5">
        <v>1</v>
      </c>
      <c r="AA70" s="5">
        <v>0</v>
      </c>
      <c r="AC70" s="28">
        <f t="shared" si="9"/>
        <v>1</v>
      </c>
      <c r="AD70" s="28">
        <f t="shared" si="10"/>
        <v>1</v>
      </c>
      <c r="AE70" s="28"/>
      <c r="AF70" s="28">
        <f t="shared" si="11"/>
        <v>3</v>
      </c>
      <c r="AG70" s="28"/>
      <c r="AH70" s="35"/>
      <c r="AI70" s="35">
        <f t="shared" ref="AI70:AM70" si="124">IF(AND(W30 &gt;= LARGE($W30:$AA30, 2), W30&gt;=3), 1, 0)</f>
        <v>0</v>
      </c>
      <c r="AJ70" s="35">
        <f t="shared" si="124"/>
        <v>1</v>
      </c>
      <c r="AK70" s="35">
        <f t="shared" si="124"/>
        <v>1</v>
      </c>
      <c r="AL70" s="35">
        <f t="shared" si="124"/>
        <v>1</v>
      </c>
      <c r="AM70" s="35">
        <f t="shared" si="124"/>
        <v>1</v>
      </c>
      <c r="AN70" s="35"/>
      <c r="AO70" s="35">
        <f t="shared" si="13"/>
        <v>2</v>
      </c>
      <c r="AP70" s="35">
        <f t="shared" si="14"/>
        <v>1</v>
      </c>
      <c r="AQ70" s="35"/>
      <c r="AR70" s="35">
        <f t="shared" si="15"/>
        <v>4</v>
      </c>
    </row>
    <row r="71" spans="1:44" ht="15.75" customHeight="1" x14ac:dyDescent="0.2">
      <c r="A71" s="34"/>
      <c r="B71" s="4"/>
      <c r="C71" s="21" t="s">
        <v>52</v>
      </c>
      <c r="D71" s="5">
        <f t="shared" ref="D71:H71" si="125">IF(AND(K31 &gt;= LARGE($K31:$O31, 2), K31&gt;=3), 1, 0)</f>
        <v>0</v>
      </c>
      <c r="E71" s="5">
        <f t="shared" si="125"/>
        <v>0</v>
      </c>
      <c r="F71" s="5">
        <f t="shared" si="125"/>
        <v>0</v>
      </c>
      <c r="G71" s="5">
        <f t="shared" si="125"/>
        <v>0</v>
      </c>
      <c r="H71" s="5">
        <f t="shared" si="125"/>
        <v>0</v>
      </c>
      <c r="J71" s="5">
        <f t="shared" si="113"/>
        <v>0</v>
      </c>
      <c r="K71" s="5">
        <f t="shared" ref="K71:N71" si="126">IF(AND(E31 &gt;= LARGE($D31:$H31, 2), E31&gt;=3), 1, 0)</f>
        <v>0</v>
      </c>
      <c r="L71" s="5">
        <f t="shared" si="126"/>
        <v>0</v>
      </c>
      <c r="M71" s="5">
        <f t="shared" si="126"/>
        <v>1</v>
      </c>
      <c r="N71" s="5">
        <f t="shared" si="126"/>
        <v>1</v>
      </c>
      <c r="O71" s="5">
        <f t="shared" si="2"/>
        <v>2</v>
      </c>
      <c r="P71" s="5">
        <f t="shared" si="3"/>
        <v>0.7</v>
      </c>
      <c r="Q71" s="5">
        <f t="shared" si="4"/>
        <v>0</v>
      </c>
      <c r="R71" s="5">
        <f t="shared" si="5"/>
        <v>0</v>
      </c>
      <c r="T71" s="5">
        <f t="shared" si="6"/>
        <v>0</v>
      </c>
      <c r="U71" s="5">
        <f t="shared" si="7"/>
        <v>2</v>
      </c>
      <c r="W71" s="5">
        <f t="shared" ref="W71:Z71" si="127">IF(AND(Q31 &gt;= LARGE($Q31:$U31, 2), Q31&gt;=3), 1, 0)</f>
        <v>1</v>
      </c>
      <c r="X71" s="5">
        <f t="shared" si="127"/>
        <v>0</v>
      </c>
      <c r="Y71" s="5">
        <f t="shared" si="127"/>
        <v>0</v>
      </c>
      <c r="Z71" s="5">
        <f t="shared" si="127"/>
        <v>1</v>
      </c>
      <c r="AA71" s="5">
        <v>0</v>
      </c>
      <c r="AC71" s="28">
        <f t="shared" si="9"/>
        <v>1</v>
      </c>
      <c r="AD71" s="28">
        <f t="shared" si="10"/>
        <v>1</v>
      </c>
      <c r="AE71" s="28"/>
      <c r="AF71" s="28">
        <f t="shared" si="11"/>
        <v>3</v>
      </c>
      <c r="AG71" s="28"/>
      <c r="AH71" s="35"/>
      <c r="AI71" s="35">
        <f t="shared" ref="AI71:AM71" si="128">IF(AND(W31 &gt;= LARGE($W31:$AA31, 2), W31&gt;=3), 1, 0)</f>
        <v>0</v>
      </c>
      <c r="AJ71" s="35">
        <f t="shared" si="128"/>
        <v>1</v>
      </c>
      <c r="AK71" s="35">
        <f t="shared" si="128"/>
        <v>0</v>
      </c>
      <c r="AL71" s="35">
        <f t="shared" si="128"/>
        <v>1</v>
      </c>
      <c r="AM71" s="35">
        <f t="shared" si="128"/>
        <v>1</v>
      </c>
      <c r="AN71" s="35"/>
      <c r="AO71" s="35">
        <f t="shared" si="13"/>
        <v>1</v>
      </c>
      <c r="AP71" s="35">
        <f t="shared" si="14"/>
        <v>1</v>
      </c>
      <c r="AQ71" s="35"/>
      <c r="AR71" s="35">
        <f t="shared" si="15"/>
        <v>3</v>
      </c>
    </row>
    <row r="72" spans="1:44" ht="15.75" customHeight="1" x14ac:dyDescent="0.2">
      <c r="A72" s="34"/>
      <c r="B72" s="4"/>
      <c r="C72" s="21" t="s">
        <v>53</v>
      </c>
      <c r="D72" s="5">
        <f t="shared" ref="D72:H72" si="129">IF(AND(K32 &gt;= LARGE($K32:$O32, 2), K32&gt;=3), 1, 0)</f>
        <v>0</v>
      </c>
      <c r="E72" s="5">
        <f t="shared" si="129"/>
        <v>0</v>
      </c>
      <c r="F72" s="5">
        <f t="shared" si="129"/>
        <v>1</v>
      </c>
      <c r="G72" s="5">
        <f t="shared" si="129"/>
        <v>0</v>
      </c>
      <c r="H72" s="5">
        <f t="shared" si="129"/>
        <v>0</v>
      </c>
      <c r="J72" s="5">
        <f t="shared" si="113"/>
        <v>0</v>
      </c>
      <c r="K72" s="5">
        <f t="shared" ref="K72:L72" si="130">IF(AND(E32 &gt;= LARGE($D32:$H32, 2), E32&gt;=3), 1, 0)</f>
        <v>0</v>
      </c>
      <c r="L72" s="5">
        <f t="shared" si="130"/>
        <v>1</v>
      </c>
      <c r="M72" s="5">
        <v>0</v>
      </c>
      <c r="N72" s="5">
        <f>IF(AND(H32 &gt;= LARGE($D32:$H32, 2), H32&gt;=3), 1, 0)</f>
        <v>1</v>
      </c>
      <c r="O72" s="5">
        <f t="shared" si="2"/>
        <v>2</v>
      </c>
      <c r="P72" s="5">
        <f t="shared" si="3"/>
        <v>0.7</v>
      </c>
      <c r="Q72" s="5">
        <f t="shared" si="4"/>
        <v>1</v>
      </c>
      <c r="R72" s="5">
        <f t="shared" si="5"/>
        <v>1</v>
      </c>
      <c r="T72" s="5">
        <f t="shared" si="6"/>
        <v>1</v>
      </c>
      <c r="U72" s="5">
        <f t="shared" si="7"/>
        <v>3</v>
      </c>
      <c r="W72" s="5">
        <f t="shared" ref="W72:AA72" si="131">IF(AND(Q32 &gt;= LARGE($Q32:$U32, 2), Q32&gt;=3), 1, 0)</f>
        <v>1</v>
      </c>
      <c r="X72" s="5">
        <f t="shared" si="131"/>
        <v>0</v>
      </c>
      <c r="Y72" s="5">
        <f t="shared" si="131"/>
        <v>0</v>
      </c>
      <c r="Z72" s="5">
        <f t="shared" si="131"/>
        <v>0</v>
      </c>
      <c r="AA72" s="5">
        <f t="shared" si="131"/>
        <v>1</v>
      </c>
      <c r="AC72" s="28">
        <f t="shared" si="9"/>
        <v>1</v>
      </c>
      <c r="AD72" s="28">
        <f t="shared" si="10"/>
        <v>1</v>
      </c>
      <c r="AE72" s="28"/>
      <c r="AF72" s="28">
        <f t="shared" si="11"/>
        <v>2</v>
      </c>
      <c r="AG72" s="28"/>
      <c r="AH72" s="35"/>
      <c r="AI72" s="35">
        <f t="shared" ref="AI72:AM72" si="132">IF(AND(W32 &gt;= LARGE($W32:$AA32, 2), W32&gt;=3), 1, 0)</f>
        <v>1</v>
      </c>
      <c r="AJ72" s="35">
        <f t="shared" si="132"/>
        <v>0</v>
      </c>
      <c r="AK72" s="35">
        <f t="shared" si="132"/>
        <v>1</v>
      </c>
      <c r="AL72" s="35">
        <f t="shared" si="132"/>
        <v>1</v>
      </c>
      <c r="AM72" s="35">
        <f t="shared" si="132"/>
        <v>0</v>
      </c>
      <c r="AN72" s="35"/>
      <c r="AO72" s="35">
        <f t="shared" si="13"/>
        <v>1</v>
      </c>
      <c r="AP72" s="35">
        <f t="shared" si="14"/>
        <v>1</v>
      </c>
      <c r="AQ72" s="35"/>
      <c r="AR72" s="35">
        <f t="shared" si="15"/>
        <v>3</v>
      </c>
    </row>
    <row r="73" spans="1:44" ht="15.75" customHeight="1" x14ac:dyDescent="0.2">
      <c r="A73" s="34"/>
      <c r="B73" s="57" t="s">
        <v>25</v>
      </c>
      <c r="C73" s="15" t="s">
        <v>26</v>
      </c>
      <c r="D73" s="5">
        <f t="shared" ref="D73:H73" si="133">IF(AND(K33 &gt;= LARGE($K33:$O33, 2), K33&gt;=3), 1, 0)</f>
        <v>1</v>
      </c>
      <c r="E73" s="5">
        <f t="shared" si="133"/>
        <v>1</v>
      </c>
      <c r="F73" s="5">
        <f t="shared" si="133"/>
        <v>0</v>
      </c>
      <c r="G73" s="5">
        <f t="shared" si="133"/>
        <v>0</v>
      </c>
      <c r="H73" s="5">
        <f t="shared" si="133"/>
        <v>0</v>
      </c>
      <c r="J73" s="5">
        <f t="shared" si="113"/>
        <v>1</v>
      </c>
      <c r="K73" s="5">
        <f t="shared" ref="K73:M73" si="134">IF(AND(E33 &gt;= LARGE($D33:$H33, 2), E33&gt;=3), 1, 0)</f>
        <v>1</v>
      </c>
      <c r="L73" s="5">
        <f t="shared" si="134"/>
        <v>0</v>
      </c>
      <c r="M73" s="5">
        <f t="shared" si="134"/>
        <v>0</v>
      </c>
      <c r="N73" s="5">
        <v>0</v>
      </c>
      <c r="O73" s="5">
        <f t="shared" si="2"/>
        <v>2</v>
      </c>
      <c r="P73" s="5">
        <f t="shared" si="3"/>
        <v>0.7</v>
      </c>
      <c r="Q73" s="5">
        <f t="shared" si="4"/>
        <v>2</v>
      </c>
      <c r="R73" s="5">
        <f t="shared" si="5"/>
        <v>1</v>
      </c>
      <c r="T73" s="5">
        <f t="shared" si="6"/>
        <v>2</v>
      </c>
      <c r="U73" s="5">
        <f t="shared" si="7"/>
        <v>3</v>
      </c>
      <c r="W73" s="5">
        <f t="shared" ref="W73:AA73" si="135">IF(AND(Q33 &gt;= LARGE($Q33:$U33, 2), Q33&gt;=3), 1, 0)</f>
        <v>1</v>
      </c>
      <c r="X73" s="5">
        <f t="shared" si="135"/>
        <v>0</v>
      </c>
      <c r="Y73" s="5">
        <f t="shared" si="135"/>
        <v>0</v>
      </c>
      <c r="Z73" s="5">
        <f t="shared" si="135"/>
        <v>0</v>
      </c>
      <c r="AA73" s="5">
        <f t="shared" si="135"/>
        <v>1</v>
      </c>
      <c r="AC73" s="28">
        <f t="shared" si="9"/>
        <v>1</v>
      </c>
      <c r="AD73" s="28">
        <f t="shared" si="10"/>
        <v>1</v>
      </c>
      <c r="AE73" s="28"/>
      <c r="AF73" s="28">
        <f t="shared" si="11"/>
        <v>2</v>
      </c>
      <c r="AG73" s="28"/>
      <c r="AH73" s="35"/>
      <c r="AI73" s="35">
        <f t="shared" ref="AI73:AM73" si="136">IF(AND(W33 &gt;= LARGE($W33:$AA33, 2), W33&gt;=3), 1, 0)</f>
        <v>1</v>
      </c>
      <c r="AJ73" s="35">
        <f t="shared" si="136"/>
        <v>0</v>
      </c>
      <c r="AK73" s="35">
        <f t="shared" si="136"/>
        <v>1</v>
      </c>
      <c r="AL73" s="35">
        <f t="shared" si="136"/>
        <v>0</v>
      </c>
      <c r="AM73" s="35">
        <f t="shared" si="136"/>
        <v>0</v>
      </c>
      <c r="AN73" s="35"/>
      <c r="AO73" s="35">
        <f t="shared" si="13"/>
        <v>1</v>
      </c>
      <c r="AP73" s="35">
        <f t="shared" si="14"/>
        <v>1</v>
      </c>
      <c r="AQ73" s="35"/>
      <c r="AR73" s="35">
        <f t="shared" si="15"/>
        <v>2</v>
      </c>
    </row>
    <row r="74" spans="1:44" ht="15.75" customHeight="1" x14ac:dyDescent="0.2">
      <c r="A74" s="34"/>
      <c r="B74" s="58"/>
      <c r="C74" s="15" t="s">
        <v>27</v>
      </c>
      <c r="D74" s="5">
        <f t="shared" ref="D74:H74" si="137">IF(AND(K34 &gt;= LARGE($K34:$O34, 2), K34&gt;=3), 1, 0)</f>
        <v>1</v>
      </c>
      <c r="E74" s="5">
        <f t="shared" si="137"/>
        <v>0</v>
      </c>
      <c r="F74" s="5">
        <f t="shared" si="137"/>
        <v>0</v>
      </c>
      <c r="G74" s="5">
        <f t="shared" si="137"/>
        <v>0</v>
      </c>
      <c r="H74" s="5">
        <f t="shared" si="137"/>
        <v>0</v>
      </c>
      <c r="J74" s="5">
        <f t="shared" si="113"/>
        <v>1</v>
      </c>
      <c r="K74" s="5">
        <f t="shared" ref="K74:N74" si="138">IF(AND(E34 &gt;= LARGE($D34:$H34, 2), E34&gt;=3), 1, 0)</f>
        <v>0</v>
      </c>
      <c r="L74" s="5">
        <f t="shared" si="138"/>
        <v>0</v>
      </c>
      <c r="M74" s="5">
        <f t="shared" si="138"/>
        <v>0</v>
      </c>
      <c r="N74" s="5">
        <f t="shared" si="138"/>
        <v>1</v>
      </c>
      <c r="O74" s="5">
        <f t="shared" si="2"/>
        <v>2</v>
      </c>
      <c r="P74" s="5">
        <f t="shared" si="3"/>
        <v>0.7</v>
      </c>
      <c r="Q74" s="5">
        <f t="shared" si="4"/>
        <v>1</v>
      </c>
      <c r="R74" s="5">
        <f t="shared" si="5"/>
        <v>1</v>
      </c>
      <c r="T74" s="5">
        <f t="shared" si="6"/>
        <v>1</v>
      </c>
      <c r="U74" s="5">
        <f t="shared" si="7"/>
        <v>2</v>
      </c>
      <c r="W74" s="5">
        <f t="shared" ref="W74:AA74" si="139">IF(AND(Q34 &gt;= LARGE($Q34:$U34, 2), Q34&gt;=3), 1, 0)</f>
        <v>1</v>
      </c>
      <c r="X74" s="5">
        <f t="shared" si="139"/>
        <v>0</v>
      </c>
      <c r="Y74" s="5">
        <f t="shared" si="139"/>
        <v>0</v>
      </c>
      <c r="Z74" s="5">
        <f t="shared" si="139"/>
        <v>0</v>
      </c>
      <c r="AA74" s="5">
        <f t="shared" si="139"/>
        <v>0</v>
      </c>
      <c r="AC74" s="28">
        <f t="shared" si="9"/>
        <v>1</v>
      </c>
      <c r="AD74" s="28">
        <f t="shared" si="10"/>
        <v>1</v>
      </c>
      <c r="AE74" s="28"/>
      <c r="AF74" s="28">
        <f t="shared" si="11"/>
        <v>1</v>
      </c>
      <c r="AG74" s="28"/>
      <c r="AH74" s="35"/>
      <c r="AI74" s="35">
        <f t="shared" ref="AI74:AM74" si="140">IF(AND(W34 &gt;= LARGE($W34:$AA34, 2), W34&gt;=3), 1, 0)</f>
        <v>1</v>
      </c>
      <c r="AJ74" s="35">
        <f t="shared" si="140"/>
        <v>0</v>
      </c>
      <c r="AK74" s="35">
        <f t="shared" si="140"/>
        <v>1</v>
      </c>
      <c r="AL74" s="35">
        <f t="shared" si="140"/>
        <v>0</v>
      </c>
      <c r="AM74" s="35">
        <f t="shared" si="140"/>
        <v>0</v>
      </c>
      <c r="AN74" s="35"/>
      <c r="AO74" s="35">
        <f t="shared" si="13"/>
        <v>1</v>
      </c>
      <c r="AP74" s="35">
        <f t="shared" si="14"/>
        <v>1</v>
      </c>
      <c r="AQ74" s="35"/>
      <c r="AR74" s="35">
        <f t="shared" si="15"/>
        <v>2</v>
      </c>
    </row>
    <row r="75" spans="1:44" ht="15.75" customHeight="1" x14ac:dyDescent="0.2">
      <c r="A75" s="34"/>
      <c r="B75" s="58"/>
      <c r="C75" s="15" t="s">
        <v>28</v>
      </c>
      <c r="D75" s="5">
        <f t="shared" ref="D75:H75" si="141">IF(AND(K35 &gt;= LARGE($K35:$O35, 2), K35&gt;=3), 1, 0)</f>
        <v>0</v>
      </c>
      <c r="E75" s="5">
        <f t="shared" si="141"/>
        <v>0</v>
      </c>
      <c r="F75" s="5">
        <f t="shared" si="141"/>
        <v>1</v>
      </c>
      <c r="G75" s="5">
        <f t="shared" si="141"/>
        <v>0</v>
      </c>
      <c r="H75" s="5">
        <f t="shared" si="141"/>
        <v>0</v>
      </c>
      <c r="J75" s="5">
        <f t="shared" si="113"/>
        <v>1</v>
      </c>
      <c r="K75" s="5">
        <f t="shared" ref="K75:M75" si="142">IF(AND(E35 &gt;= LARGE($D35:$H35, 2), E35&gt;=3), 1, 0)</f>
        <v>0</v>
      </c>
      <c r="L75" s="5">
        <f t="shared" si="142"/>
        <v>1</v>
      </c>
      <c r="M75" s="5">
        <f t="shared" si="142"/>
        <v>0</v>
      </c>
      <c r="N75" s="5">
        <v>0</v>
      </c>
      <c r="O75" s="5">
        <f t="shared" si="2"/>
        <v>2</v>
      </c>
      <c r="P75" s="5">
        <f t="shared" si="3"/>
        <v>0.7</v>
      </c>
      <c r="Q75" s="5">
        <f t="shared" si="4"/>
        <v>1</v>
      </c>
      <c r="R75" s="5">
        <f t="shared" si="5"/>
        <v>1</v>
      </c>
      <c r="T75" s="5">
        <f t="shared" si="6"/>
        <v>1</v>
      </c>
      <c r="U75" s="5">
        <f t="shared" si="7"/>
        <v>3</v>
      </c>
      <c r="W75" s="5">
        <f t="shared" ref="W75:AA75" si="143">IF(AND(Q35 &gt;= LARGE($Q35:$U35, 2), Q35&gt;=3), 1, 0)</f>
        <v>1</v>
      </c>
      <c r="X75" s="5">
        <f t="shared" si="143"/>
        <v>0</v>
      </c>
      <c r="Y75" s="5">
        <f t="shared" si="143"/>
        <v>0</v>
      </c>
      <c r="Z75" s="5">
        <f t="shared" si="143"/>
        <v>0</v>
      </c>
      <c r="AA75" s="5">
        <f t="shared" si="143"/>
        <v>0</v>
      </c>
      <c r="AC75" s="28">
        <f t="shared" si="9"/>
        <v>1</v>
      </c>
      <c r="AD75" s="28">
        <f t="shared" si="10"/>
        <v>1</v>
      </c>
      <c r="AE75" s="28"/>
      <c r="AF75" s="28">
        <f t="shared" si="11"/>
        <v>1</v>
      </c>
      <c r="AG75" s="28"/>
      <c r="AH75" s="35"/>
      <c r="AI75" s="35">
        <f t="shared" ref="AI75:AM75" si="144">IF(AND(W35 &gt;= LARGE($W35:$AA35, 2), W35&gt;=3), 1, 0)</f>
        <v>1</v>
      </c>
      <c r="AJ75" s="35">
        <f t="shared" si="144"/>
        <v>0</v>
      </c>
      <c r="AK75" s="35">
        <f t="shared" si="144"/>
        <v>0</v>
      </c>
      <c r="AL75" s="35">
        <f t="shared" si="144"/>
        <v>0</v>
      </c>
      <c r="AM75" s="35">
        <f t="shared" si="144"/>
        <v>0</v>
      </c>
      <c r="AN75" s="35"/>
      <c r="AO75" s="35">
        <f t="shared" si="13"/>
        <v>1</v>
      </c>
      <c r="AP75" s="35">
        <f t="shared" si="14"/>
        <v>1</v>
      </c>
      <c r="AQ75" s="35"/>
      <c r="AR75" s="35">
        <f t="shared" si="15"/>
        <v>1</v>
      </c>
    </row>
    <row r="76" spans="1:44" ht="15.75" customHeight="1" x14ac:dyDescent="0.2">
      <c r="A76" s="34"/>
      <c r="B76" s="58"/>
      <c r="C76" s="15" t="s">
        <v>29</v>
      </c>
      <c r="D76" s="5">
        <f t="shared" ref="D76:H76" si="145">IF(AND(K36 &gt;= LARGE($K36:$O36, 2), K36&gt;=3), 1, 0)</f>
        <v>1</v>
      </c>
      <c r="E76" s="5">
        <f t="shared" si="145"/>
        <v>0</v>
      </c>
      <c r="F76" s="5">
        <f t="shared" si="145"/>
        <v>1</v>
      </c>
      <c r="G76" s="5">
        <f t="shared" si="145"/>
        <v>0</v>
      </c>
      <c r="H76" s="5">
        <f t="shared" si="145"/>
        <v>0</v>
      </c>
      <c r="J76" s="5">
        <f t="shared" si="113"/>
        <v>1</v>
      </c>
      <c r="K76" s="5">
        <f t="shared" ref="K76:N76" si="146">IF(AND(E36 &gt;= LARGE($D36:$H36, 2), E36&gt;=3), 1, 0)</f>
        <v>0</v>
      </c>
      <c r="L76" s="5">
        <f t="shared" si="146"/>
        <v>0</v>
      </c>
      <c r="M76" s="5">
        <f t="shared" si="146"/>
        <v>0</v>
      </c>
      <c r="N76" s="5">
        <f t="shared" si="146"/>
        <v>1</v>
      </c>
      <c r="O76" s="5">
        <f t="shared" si="2"/>
        <v>2</v>
      </c>
      <c r="P76" s="5">
        <f t="shared" si="3"/>
        <v>0.7</v>
      </c>
      <c r="Q76" s="5">
        <f t="shared" si="4"/>
        <v>1</v>
      </c>
      <c r="R76" s="5">
        <f t="shared" si="5"/>
        <v>1</v>
      </c>
      <c r="T76" s="5">
        <f t="shared" si="6"/>
        <v>2</v>
      </c>
      <c r="U76" s="5">
        <f t="shared" si="7"/>
        <v>2</v>
      </c>
      <c r="W76" s="5">
        <f t="shared" ref="W76:AA76" si="147">IF(AND(Q36 &gt;= LARGE($Q36:$U36, 2), Q36&gt;=3), 1, 0)</f>
        <v>1</v>
      </c>
      <c r="X76" s="5">
        <f t="shared" si="147"/>
        <v>0</v>
      </c>
      <c r="Y76" s="5">
        <f t="shared" si="147"/>
        <v>0</v>
      </c>
      <c r="Z76" s="5">
        <f t="shared" si="147"/>
        <v>0</v>
      </c>
      <c r="AA76" s="5">
        <f t="shared" si="147"/>
        <v>0</v>
      </c>
      <c r="AC76" s="28">
        <f t="shared" si="9"/>
        <v>1</v>
      </c>
      <c r="AD76" s="28">
        <f t="shared" si="10"/>
        <v>1</v>
      </c>
      <c r="AE76" s="28"/>
      <c r="AF76" s="28">
        <f t="shared" si="11"/>
        <v>1</v>
      </c>
      <c r="AG76" s="28"/>
      <c r="AH76" s="35"/>
      <c r="AI76" s="35">
        <f t="shared" ref="AI76:AM76" si="148">IF(AND(W36 &gt;= LARGE($W36:$AA36, 2), W36&gt;=3), 1, 0)</f>
        <v>1</v>
      </c>
      <c r="AJ76" s="35">
        <f t="shared" si="148"/>
        <v>0</v>
      </c>
      <c r="AK76" s="35">
        <f t="shared" si="148"/>
        <v>0</v>
      </c>
      <c r="AL76" s="35">
        <f t="shared" si="148"/>
        <v>0</v>
      </c>
      <c r="AM76" s="35">
        <f t="shared" si="148"/>
        <v>0</v>
      </c>
      <c r="AN76" s="35"/>
      <c r="AO76" s="35">
        <f t="shared" si="13"/>
        <v>1</v>
      </c>
      <c r="AP76" s="35">
        <f t="shared" si="14"/>
        <v>1</v>
      </c>
      <c r="AQ76" s="35"/>
      <c r="AR76" s="35">
        <f t="shared" si="15"/>
        <v>1</v>
      </c>
    </row>
    <row r="77" spans="1:44" ht="15.75" customHeight="1" x14ac:dyDescent="0.2">
      <c r="A77" s="34"/>
      <c r="B77" s="58"/>
      <c r="C77" s="15" t="s">
        <v>30</v>
      </c>
      <c r="D77" s="5">
        <f t="shared" ref="D77:H77" si="149">IF(AND(K37 &gt;= LARGE($K37:$O37, 2), K37&gt;=3), 1, 0)</f>
        <v>1</v>
      </c>
      <c r="E77" s="5">
        <f t="shared" si="149"/>
        <v>1</v>
      </c>
      <c r="F77" s="5">
        <f t="shared" si="149"/>
        <v>0</v>
      </c>
      <c r="G77" s="5">
        <f t="shared" si="149"/>
        <v>0</v>
      </c>
      <c r="H77" s="5">
        <f t="shared" si="149"/>
        <v>0</v>
      </c>
      <c r="J77" s="5">
        <f t="shared" si="113"/>
        <v>1</v>
      </c>
      <c r="K77" s="5">
        <v>0</v>
      </c>
      <c r="L77" s="5">
        <v>0</v>
      </c>
      <c r="M77" s="5">
        <f>IF(AND(G37 &gt;= LARGE($D37:$H37, 2), G37&gt;=3), 1, 0)</f>
        <v>1</v>
      </c>
      <c r="N77" s="5">
        <v>0</v>
      </c>
      <c r="O77" s="5">
        <f t="shared" si="2"/>
        <v>2</v>
      </c>
      <c r="P77" s="5">
        <f t="shared" si="3"/>
        <v>0.7</v>
      </c>
      <c r="Q77" s="5">
        <f t="shared" si="4"/>
        <v>1</v>
      </c>
      <c r="R77" s="5">
        <f t="shared" si="5"/>
        <v>1</v>
      </c>
      <c r="T77" s="5">
        <f t="shared" si="6"/>
        <v>2</v>
      </c>
      <c r="U77" s="5">
        <f t="shared" si="7"/>
        <v>5</v>
      </c>
      <c r="W77" s="5">
        <f>IF(AND(Q37 &gt;= LARGE($Q37:$U37, 2), Q37&gt;=3), 1, 0)</f>
        <v>1</v>
      </c>
      <c r="X77" s="5">
        <v>0</v>
      </c>
      <c r="Y77" s="5">
        <f t="shared" ref="Y77:Z77" si="150">IF(AND(S37 &gt;= LARGE($Q37:$U37, 2), S37&gt;=3), 1, 0)</f>
        <v>0</v>
      </c>
      <c r="Z77" s="5">
        <f t="shared" si="150"/>
        <v>1</v>
      </c>
      <c r="AA77" s="5">
        <v>0</v>
      </c>
      <c r="AC77" s="28">
        <f t="shared" si="9"/>
        <v>2</v>
      </c>
      <c r="AD77" s="28">
        <f t="shared" si="10"/>
        <v>1</v>
      </c>
      <c r="AE77" s="28"/>
      <c r="AF77" s="28">
        <f t="shared" si="11"/>
        <v>3</v>
      </c>
      <c r="AG77" s="28"/>
      <c r="AH77" s="35"/>
      <c r="AI77" s="35">
        <f t="shared" ref="AI77:AM77" si="151">IF(AND(W37 &gt;= LARGE($W37:$AA37, 2), W37&gt;=3), 1, 0)</f>
        <v>1</v>
      </c>
      <c r="AJ77" s="35">
        <f t="shared" si="151"/>
        <v>0</v>
      </c>
      <c r="AK77" s="35">
        <f t="shared" si="151"/>
        <v>1</v>
      </c>
      <c r="AL77" s="35">
        <f t="shared" si="151"/>
        <v>0</v>
      </c>
      <c r="AM77" s="35">
        <f t="shared" si="151"/>
        <v>0</v>
      </c>
      <c r="AN77" s="35"/>
      <c r="AO77" s="35">
        <f t="shared" si="13"/>
        <v>1</v>
      </c>
      <c r="AP77" s="35">
        <f t="shared" si="14"/>
        <v>1</v>
      </c>
      <c r="AQ77" s="35"/>
      <c r="AR77" s="35">
        <f t="shared" si="15"/>
        <v>2</v>
      </c>
    </row>
    <row r="78" spans="1:44" ht="15.75" customHeight="1" x14ac:dyDescent="0.2">
      <c r="A78" s="34"/>
      <c r="O78" s="27">
        <f>AVERAGE(O43:O77)</f>
        <v>2</v>
      </c>
      <c r="P78" s="28">
        <f>COUNT(P43:P77)</f>
        <v>35</v>
      </c>
      <c r="S78" s="5" t="s">
        <v>59</v>
      </c>
      <c r="T78" s="23">
        <f t="shared" ref="T78:U78" si="152">AVERAGE(T43:T77)</f>
        <v>1.3714285714285714</v>
      </c>
      <c r="U78" s="23">
        <f t="shared" si="152"/>
        <v>2.8285714285714287</v>
      </c>
      <c r="AC78" s="24"/>
      <c r="AD78" s="24"/>
      <c r="AE78" s="5" t="s">
        <v>59</v>
      </c>
      <c r="AF78" s="24">
        <f>AVERAGE(AF43:AF77)</f>
        <v>1.8285714285714285</v>
      </c>
      <c r="AG78" s="35"/>
      <c r="AH78" s="35"/>
      <c r="AI78" s="35"/>
      <c r="AJ78" s="35"/>
      <c r="AK78" s="35"/>
      <c r="AL78" s="35"/>
      <c r="AQ78" s="5" t="s">
        <v>59</v>
      </c>
      <c r="AR78" s="24">
        <f>AVERAGE(AR43:AR77)</f>
        <v>2.342857142857143</v>
      </c>
    </row>
    <row r="79" spans="1:44" ht="15.75" customHeight="1" x14ac:dyDescent="0.2">
      <c r="A79" s="34"/>
      <c r="T79" s="43"/>
      <c r="U79" s="43"/>
      <c r="V79" s="43"/>
      <c r="W79" s="43"/>
      <c r="X79" s="43"/>
      <c r="AE79" s="35"/>
      <c r="AF79" s="35"/>
      <c r="AG79" s="35"/>
      <c r="AH79" s="35"/>
      <c r="AI79" s="35"/>
      <c r="AJ79" s="35"/>
      <c r="AK79" s="35"/>
    </row>
    <row r="80" spans="1:44" ht="15.75" customHeight="1" x14ac:dyDescent="0.2">
      <c r="A80" s="34"/>
      <c r="C80" s="5"/>
      <c r="Q80" s="5" t="s">
        <v>70</v>
      </c>
      <c r="R80" s="22">
        <f>SUM(R43:R77)</f>
        <v>25</v>
      </c>
      <c r="T80" s="43"/>
      <c r="U80" s="43"/>
      <c r="V80" s="43"/>
      <c r="W80" s="43"/>
      <c r="X80" s="43"/>
      <c r="AC80" s="5" t="s">
        <v>70</v>
      </c>
      <c r="AD80" s="46">
        <f>SUM(AD43:AD77)</f>
        <v>25</v>
      </c>
      <c r="AE80" s="35"/>
      <c r="AF80" s="35"/>
      <c r="AG80" s="35"/>
      <c r="AH80" s="35"/>
      <c r="AI80" s="35"/>
      <c r="AJ80" s="35"/>
      <c r="AK80" s="35"/>
      <c r="AN80" s="30" t="s">
        <v>70</v>
      </c>
      <c r="AO80" s="30"/>
      <c r="AP80" s="54">
        <f>SUM(AP43:AP77)</f>
        <v>26</v>
      </c>
    </row>
    <row r="81" spans="1:55" ht="15.75" customHeight="1" x14ac:dyDescent="0.2">
      <c r="A81" s="25"/>
      <c r="C81" s="5"/>
      <c r="P81" s="5">
        <f>1-(3/10)</f>
        <v>0.7</v>
      </c>
      <c r="Q81" s="5" t="s">
        <v>71</v>
      </c>
      <c r="R81" s="42">
        <f>1-(3/10)</f>
        <v>0.7</v>
      </c>
      <c r="S81" s="42"/>
      <c r="T81" s="43"/>
      <c r="U81" s="43"/>
      <c r="V81" s="43"/>
      <c r="W81" s="43"/>
      <c r="X81" s="43"/>
      <c r="AC81" s="5" t="s">
        <v>71</v>
      </c>
      <c r="AD81" s="47">
        <f>1-(3/10)</f>
        <v>0.7</v>
      </c>
      <c r="AE81" s="35"/>
      <c r="AF81" s="35"/>
      <c r="AG81" s="35"/>
      <c r="AH81" s="35"/>
      <c r="AI81" s="35"/>
      <c r="AJ81" s="35"/>
      <c r="AK81" s="35"/>
      <c r="AN81" s="30" t="s">
        <v>71</v>
      </c>
      <c r="AO81" s="30"/>
      <c r="AP81" s="55">
        <f>1-(3/10)</f>
        <v>0.7</v>
      </c>
    </row>
    <row r="82" spans="1:55" ht="18" customHeight="1" x14ac:dyDescent="0.2">
      <c r="A82" s="25"/>
      <c r="D82" s="60"/>
      <c r="E82" s="58"/>
      <c r="F82" s="58"/>
      <c r="G82" s="58"/>
      <c r="H82" s="58"/>
      <c r="Q82" s="5" t="s">
        <v>72</v>
      </c>
      <c r="R82" s="5">
        <f>35*R81</f>
        <v>24.5</v>
      </c>
      <c r="T82" s="43"/>
      <c r="U82" s="43"/>
      <c r="V82" s="43"/>
      <c r="W82" s="43"/>
      <c r="X82" s="43"/>
      <c r="AC82" s="5" t="s">
        <v>72</v>
      </c>
      <c r="AD82" s="5">
        <f>35*AD81</f>
        <v>24.5</v>
      </c>
      <c r="AE82" s="35"/>
      <c r="AF82" s="35"/>
      <c r="AG82" s="35"/>
      <c r="AH82" s="35"/>
      <c r="AI82" s="35"/>
      <c r="AJ82" s="35"/>
      <c r="AK82" s="35"/>
      <c r="AN82" s="30" t="s">
        <v>72</v>
      </c>
      <c r="AO82" s="30"/>
      <c r="AP82" s="30">
        <f>35*AP81</f>
        <v>24.5</v>
      </c>
    </row>
    <row r="83" spans="1:55" ht="15.75" customHeight="1" x14ac:dyDescent="0.2">
      <c r="A83" s="25"/>
      <c r="B83" s="4"/>
      <c r="C83" s="35"/>
      <c r="D83" s="26"/>
      <c r="E83" s="26"/>
      <c r="F83" s="26"/>
      <c r="G83" s="26"/>
      <c r="H83" s="26"/>
      <c r="Q83" s="5" t="s">
        <v>60</v>
      </c>
      <c r="R83" s="47">
        <f>1-_xlfn.BINOM.DIST(R80-1,35,R81,TRUE)</f>
        <v>0.50995711677064492</v>
      </c>
      <c r="T83" s="43"/>
      <c r="U83" s="43"/>
      <c r="V83" s="43"/>
      <c r="W83" s="43"/>
      <c r="X83" s="43"/>
      <c r="AC83" s="5" t="s">
        <v>60</v>
      </c>
      <c r="AD83" s="24">
        <f>1-_xlfn.BINOM.DIST(AD80-1,35,AD81,TRUE)</f>
        <v>0.50995711677064492</v>
      </c>
      <c r="AE83" s="35"/>
      <c r="AF83" s="35"/>
      <c r="AG83" s="35"/>
      <c r="AH83" s="35"/>
      <c r="AI83" s="35"/>
      <c r="AJ83" s="35"/>
      <c r="AK83" s="35"/>
      <c r="AN83" s="30" t="s">
        <v>60</v>
      </c>
      <c r="AO83" s="30"/>
      <c r="AP83" s="56">
        <f>1-_xlfn.BINOM.DIST(AP80-1,35,AP81,TRUE)</f>
        <v>0.36458286776916693</v>
      </c>
    </row>
    <row r="84" spans="1:55" ht="15.75" customHeight="1" x14ac:dyDescent="0.2">
      <c r="A84" s="25"/>
      <c r="B84" s="57"/>
      <c r="C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 spans="1:55" ht="15.75" customHeight="1" x14ac:dyDescent="0.2">
      <c r="A85" s="25"/>
      <c r="B85" s="58"/>
      <c r="C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 spans="1:55" ht="15.75" customHeight="1" x14ac:dyDescent="0.2">
      <c r="A86" s="25"/>
      <c r="B86" s="58"/>
      <c r="C86" s="35"/>
      <c r="AC86" s="35"/>
      <c r="AD86" s="35"/>
      <c r="AE86" s="35"/>
      <c r="AF86" s="35"/>
      <c r="AG86" s="35"/>
      <c r="AH86" s="35"/>
      <c r="AI86" s="35"/>
      <c r="AJ86" s="35"/>
      <c r="AK86" s="35"/>
      <c r="AN86" s="5" t="s">
        <v>86</v>
      </c>
    </row>
    <row r="87" spans="1:55" ht="15.75" customHeight="1" x14ac:dyDescent="0.2">
      <c r="A87" s="34"/>
      <c r="B87" s="58"/>
      <c r="C87" s="35"/>
      <c r="AC87" s="35"/>
      <c r="AD87" s="35"/>
      <c r="AE87" s="35"/>
      <c r="AF87" s="35"/>
      <c r="AG87" s="35"/>
      <c r="AH87" s="35"/>
      <c r="AI87" s="35"/>
      <c r="AJ87" s="35"/>
      <c r="AK87" s="35"/>
      <c r="AU87" s="35"/>
      <c r="AV87" s="35"/>
      <c r="AW87" s="35"/>
      <c r="AX87" s="35"/>
      <c r="AY87" s="35"/>
      <c r="AZ87" s="35"/>
      <c r="BA87" s="35"/>
      <c r="BB87" s="35"/>
      <c r="BC87" s="35"/>
    </row>
    <row r="88" spans="1:55" ht="15.75" customHeight="1" x14ac:dyDescent="0.2">
      <c r="A88" s="34"/>
      <c r="B88" s="34"/>
      <c r="C88" s="34"/>
      <c r="D88" s="34"/>
      <c r="E88" s="34"/>
      <c r="AU88" s="35"/>
      <c r="AV88" s="35"/>
      <c r="AW88" s="35"/>
      <c r="AX88" s="35"/>
      <c r="AY88" s="35"/>
      <c r="AZ88" s="35"/>
      <c r="BA88" s="35"/>
      <c r="BB88" s="35"/>
      <c r="BC88" s="35"/>
    </row>
    <row r="89" spans="1:55" ht="15.75" customHeight="1" x14ac:dyDescent="0.2">
      <c r="A89" s="34"/>
      <c r="B89" s="34"/>
      <c r="C89" s="34"/>
      <c r="D89" s="34"/>
      <c r="E89" s="34"/>
      <c r="AU89" s="35"/>
      <c r="AV89" s="35"/>
      <c r="AW89" s="35"/>
      <c r="AX89" s="35"/>
      <c r="AY89" s="35"/>
      <c r="AZ89" s="35"/>
      <c r="BA89" s="35"/>
      <c r="BB89" s="35"/>
      <c r="BC89" s="35"/>
    </row>
    <row r="90" spans="1:55" ht="15.75" customHeight="1" x14ac:dyDescent="0.2">
      <c r="A90" s="34"/>
      <c r="B90" s="34"/>
      <c r="C90" s="34"/>
      <c r="D90" s="34"/>
      <c r="E90" s="34"/>
      <c r="AU90" s="35"/>
      <c r="AV90" s="35"/>
      <c r="AW90" s="35"/>
      <c r="AX90" s="35"/>
      <c r="AY90" s="35"/>
      <c r="AZ90" s="35"/>
      <c r="BA90" s="35"/>
      <c r="BB90" s="35"/>
      <c r="BC90" s="35"/>
    </row>
    <row r="91" spans="1:55" ht="15.75" customHeight="1" x14ac:dyDescent="0.2">
      <c r="A91" s="34"/>
      <c r="B91" s="34"/>
      <c r="C91" s="34"/>
      <c r="D91" s="34"/>
      <c r="E91" s="34"/>
      <c r="AU91" s="35"/>
      <c r="AV91" s="35"/>
      <c r="AW91" s="35"/>
      <c r="AX91" s="35"/>
      <c r="AY91" s="35"/>
      <c r="AZ91" s="35"/>
      <c r="BA91" s="35"/>
      <c r="BB91" s="35"/>
      <c r="BC91" s="35"/>
    </row>
    <row r="92" spans="1:55" ht="15.75" customHeight="1" x14ac:dyDescent="0.2">
      <c r="A92" s="34"/>
      <c r="B92" s="34"/>
      <c r="C92" s="34"/>
      <c r="D92" s="34"/>
      <c r="E92" s="34"/>
      <c r="AU92" s="35"/>
      <c r="AV92" s="35"/>
      <c r="AW92" s="35"/>
      <c r="AX92" s="35"/>
      <c r="AY92" s="35"/>
      <c r="AZ92" s="35"/>
      <c r="BA92" s="35"/>
      <c r="BB92" s="35"/>
      <c r="BC92" s="35"/>
    </row>
    <row r="93" spans="1:55" ht="15.75" customHeight="1" x14ac:dyDescent="0.2">
      <c r="A93" s="34"/>
      <c r="B93" s="34"/>
      <c r="C93" s="34"/>
      <c r="D93" s="34"/>
      <c r="E93" s="34"/>
      <c r="AU93" s="35"/>
      <c r="AV93" s="35"/>
      <c r="AW93" s="35"/>
      <c r="AX93" s="35"/>
      <c r="AY93" s="35"/>
      <c r="AZ93" s="35"/>
      <c r="BA93" s="35"/>
      <c r="BB93" s="35"/>
      <c r="BC93" s="35"/>
    </row>
    <row r="94" spans="1:55" ht="15.75" customHeight="1" x14ac:dyDescent="0.2">
      <c r="A94" s="34"/>
      <c r="B94" s="34"/>
      <c r="C94" s="34"/>
      <c r="D94" s="34"/>
      <c r="E94" s="34"/>
      <c r="AU94" s="35"/>
      <c r="AV94" s="35"/>
      <c r="AW94" s="35"/>
      <c r="AX94" s="35"/>
      <c r="AY94" s="35"/>
      <c r="AZ94" s="35"/>
      <c r="BA94" s="35"/>
      <c r="BB94" s="35"/>
      <c r="BC94" s="35"/>
    </row>
    <row r="95" spans="1:55" ht="15.75" customHeight="1" x14ac:dyDescent="0.2">
      <c r="A95" s="34"/>
      <c r="B95" s="34"/>
      <c r="C95" s="34"/>
      <c r="D95" s="34"/>
      <c r="E95" s="34"/>
      <c r="AU95" s="35"/>
      <c r="AV95" s="35"/>
      <c r="AW95" s="35"/>
      <c r="AX95" s="35"/>
      <c r="AY95" s="35"/>
      <c r="AZ95" s="35"/>
      <c r="BA95" s="35"/>
      <c r="BB95" s="35"/>
      <c r="BC95" s="35"/>
    </row>
    <row r="96" spans="1:55" ht="15.75" customHeight="1" x14ac:dyDescent="0.2">
      <c r="A96" s="34"/>
      <c r="B96" s="34"/>
      <c r="C96" s="34"/>
      <c r="D96" s="34"/>
      <c r="E96" s="34"/>
      <c r="AU96" s="35"/>
      <c r="AV96" s="35"/>
      <c r="AW96" s="35"/>
      <c r="AX96" s="35"/>
      <c r="AY96" s="35"/>
      <c r="AZ96" s="35"/>
      <c r="BA96" s="35"/>
      <c r="BB96" s="35"/>
      <c r="BC96" s="35"/>
    </row>
    <row r="97" spans="1:55" ht="15.75" customHeight="1" x14ac:dyDescent="0.2">
      <c r="A97" s="34"/>
      <c r="B97" s="34"/>
      <c r="C97" s="34"/>
      <c r="D97" s="34"/>
      <c r="E97" s="34"/>
      <c r="AU97" s="35"/>
      <c r="AV97" s="35"/>
      <c r="AW97" s="35"/>
      <c r="AX97" s="35"/>
      <c r="AY97" s="35"/>
      <c r="AZ97" s="35"/>
      <c r="BA97" s="35"/>
      <c r="BB97" s="35"/>
      <c r="BC97" s="35"/>
    </row>
    <row r="98" spans="1:55" ht="15.75" customHeight="1" x14ac:dyDescent="0.2">
      <c r="A98" s="34"/>
      <c r="B98" s="34"/>
      <c r="C98" s="34"/>
      <c r="D98" s="34"/>
      <c r="E98" s="34"/>
      <c r="AU98" s="35"/>
      <c r="AV98" s="35"/>
      <c r="AW98" s="35"/>
      <c r="AX98" s="35"/>
      <c r="AY98" s="35"/>
      <c r="AZ98" s="35"/>
      <c r="BA98" s="35"/>
      <c r="BB98" s="35"/>
      <c r="BC98" s="35"/>
    </row>
    <row r="99" spans="1:55" ht="15.75" customHeight="1" x14ac:dyDescent="0.2">
      <c r="A99" s="34"/>
      <c r="B99" s="34"/>
      <c r="C99" s="34"/>
      <c r="D99" s="34"/>
      <c r="E99" s="34"/>
      <c r="AU99" s="35"/>
      <c r="AV99" s="35"/>
      <c r="AW99" s="35"/>
      <c r="AX99" s="35"/>
      <c r="AY99" s="35"/>
      <c r="AZ99" s="35"/>
      <c r="BA99" s="35"/>
      <c r="BB99" s="35"/>
      <c r="BC99" s="35"/>
    </row>
    <row r="100" spans="1:55" ht="15.75" customHeight="1" x14ac:dyDescent="0.2">
      <c r="A100" s="34"/>
      <c r="B100" s="34"/>
      <c r="C100" s="34"/>
      <c r="D100" s="34"/>
      <c r="E100" s="34"/>
      <c r="AU100" s="35"/>
      <c r="AV100" s="35"/>
      <c r="AW100" s="35"/>
      <c r="AX100" s="35"/>
      <c r="AY100" s="35"/>
      <c r="AZ100" s="35"/>
      <c r="BA100" s="35"/>
      <c r="BB100" s="35"/>
      <c r="BC100" s="35"/>
    </row>
    <row r="101" spans="1:55" ht="15.75" customHeight="1" x14ac:dyDescent="0.2">
      <c r="A101" s="34"/>
      <c r="B101" s="34"/>
      <c r="C101" s="34"/>
      <c r="D101" s="34"/>
      <c r="E101" s="34"/>
      <c r="AU101" s="35"/>
      <c r="AV101" s="35"/>
      <c r="AW101" s="35"/>
      <c r="AX101" s="35"/>
      <c r="AY101" s="35"/>
      <c r="AZ101" s="35"/>
      <c r="BA101" s="35"/>
      <c r="BB101" s="35"/>
      <c r="BC101" s="35"/>
    </row>
    <row r="102" spans="1:55" ht="15.75" customHeight="1" x14ac:dyDescent="0.2">
      <c r="A102" s="34"/>
      <c r="B102" s="34"/>
      <c r="C102" s="34"/>
      <c r="D102" s="34"/>
      <c r="E102" s="34"/>
      <c r="AU102" s="35"/>
      <c r="AV102" s="35"/>
      <c r="AW102" s="35"/>
      <c r="AX102" s="35"/>
      <c r="AY102" s="35"/>
      <c r="AZ102" s="35"/>
      <c r="BA102" s="35"/>
      <c r="BB102" s="35"/>
      <c r="BC102" s="35"/>
    </row>
    <row r="103" spans="1:55" ht="15.75" customHeight="1" x14ac:dyDescent="0.2">
      <c r="A103" s="34"/>
      <c r="B103" s="34"/>
      <c r="C103" s="34"/>
      <c r="D103" s="34"/>
      <c r="E103" s="34"/>
      <c r="AU103" s="35"/>
      <c r="AV103" s="35"/>
      <c r="AW103" s="35"/>
      <c r="AX103" s="35"/>
      <c r="AY103" s="35"/>
      <c r="AZ103" s="35"/>
      <c r="BA103" s="35"/>
      <c r="BB103" s="35"/>
      <c r="BC103" s="35"/>
    </row>
    <row r="104" spans="1:55" ht="15.75" customHeight="1" x14ac:dyDescent="0.2">
      <c r="A104" s="34"/>
      <c r="B104" s="34"/>
      <c r="C104" s="34"/>
      <c r="D104" s="34"/>
      <c r="E104" s="34"/>
      <c r="AU104" s="35"/>
      <c r="AV104" s="35"/>
      <c r="AW104" s="35"/>
      <c r="AX104" s="35"/>
      <c r="AY104" s="35"/>
      <c r="AZ104" s="35"/>
      <c r="BA104" s="35"/>
      <c r="BB104" s="35"/>
      <c r="BC104" s="35"/>
    </row>
    <row r="105" spans="1:55" ht="15.75" customHeight="1" x14ac:dyDescent="0.2">
      <c r="A105" s="34"/>
      <c r="B105" s="34"/>
      <c r="C105" s="34"/>
      <c r="D105" s="34"/>
      <c r="E105" s="34"/>
      <c r="AU105" s="35"/>
      <c r="AV105" s="35"/>
      <c r="AW105" s="35"/>
      <c r="AX105" s="35"/>
      <c r="AY105" s="35"/>
      <c r="AZ105" s="35"/>
      <c r="BA105" s="35"/>
      <c r="BB105" s="35"/>
      <c r="BC105" s="35"/>
    </row>
    <row r="106" spans="1:55" ht="15.75" customHeight="1" x14ac:dyDescent="0.2">
      <c r="A106" s="34"/>
      <c r="B106" s="34"/>
      <c r="C106" s="34"/>
      <c r="D106" s="34"/>
      <c r="E106" s="34"/>
      <c r="AU106" s="35"/>
      <c r="AV106" s="35"/>
      <c r="AW106" s="35"/>
      <c r="AX106" s="35"/>
      <c r="AY106" s="35"/>
      <c r="AZ106" s="35"/>
      <c r="BA106" s="35"/>
      <c r="BB106" s="35"/>
      <c r="BC106" s="35"/>
    </row>
    <row r="107" spans="1:55" ht="15.75" customHeight="1" x14ac:dyDescent="0.2">
      <c r="A107" s="34"/>
      <c r="B107" s="34"/>
      <c r="C107" s="34"/>
      <c r="D107" s="34"/>
      <c r="E107" s="34"/>
      <c r="AU107" s="35"/>
      <c r="AV107" s="35"/>
      <c r="AW107" s="35"/>
      <c r="AX107" s="35"/>
      <c r="AY107" s="35"/>
      <c r="AZ107" s="35"/>
      <c r="BA107" s="35"/>
      <c r="BB107" s="35"/>
      <c r="BC107" s="35"/>
    </row>
    <row r="108" spans="1:55" ht="15.75" customHeight="1" x14ac:dyDescent="0.2">
      <c r="A108" s="34"/>
      <c r="B108" s="34"/>
      <c r="C108" s="34"/>
      <c r="D108" s="34"/>
      <c r="E108" s="34"/>
      <c r="AU108" s="35"/>
      <c r="AV108" s="35"/>
      <c r="AW108" s="35"/>
      <c r="AX108" s="35"/>
      <c r="AY108" s="35"/>
      <c r="AZ108" s="35"/>
      <c r="BA108" s="35"/>
      <c r="BB108" s="35"/>
      <c r="BC108" s="35"/>
    </row>
    <row r="109" spans="1:55" ht="15.75" customHeight="1" x14ac:dyDescent="0.2">
      <c r="A109" s="34"/>
      <c r="B109" s="34"/>
      <c r="C109" s="34"/>
      <c r="D109" s="34"/>
      <c r="E109" s="34"/>
      <c r="AU109" s="35"/>
      <c r="AV109" s="35"/>
      <c r="AW109" s="35"/>
      <c r="AX109" s="35"/>
      <c r="AY109" s="35"/>
      <c r="AZ109" s="35"/>
      <c r="BA109" s="35"/>
      <c r="BB109" s="35"/>
      <c r="BC109" s="35"/>
    </row>
    <row r="110" spans="1:55" ht="15.75" customHeight="1" x14ac:dyDescent="0.2">
      <c r="A110" s="34"/>
      <c r="B110" s="34"/>
      <c r="C110" s="34"/>
      <c r="D110" s="34"/>
      <c r="E110" s="34"/>
      <c r="AU110" s="35"/>
      <c r="AV110" s="35"/>
      <c r="AW110" s="35"/>
      <c r="AX110" s="35"/>
      <c r="AY110" s="35"/>
      <c r="AZ110" s="35"/>
      <c r="BA110" s="35"/>
      <c r="BB110" s="35"/>
      <c r="BC110" s="35"/>
    </row>
    <row r="111" spans="1:55" ht="15.75" customHeight="1" x14ac:dyDescent="0.2">
      <c r="A111" s="34"/>
      <c r="B111" s="34"/>
      <c r="C111" s="34"/>
      <c r="D111" s="34"/>
      <c r="E111" s="34"/>
      <c r="AU111" s="35"/>
      <c r="AV111" s="35"/>
      <c r="AW111" s="35"/>
      <c r="AX111" s="35"/>
      <c r="AY111" s="35"/>
      <c r="AZ111" s="35"/>
      <c r="BA111" s="35"/>
      <c r="BB111" s="35"/>
      <c r="BC111" s="35"/>
    </row>
    <row r="112" spans="1:55" ht="15.75" customHeight="1" x14ac:dyDescent="0.2">
      <c r="A112" s="34"/>
      <c r="B112" s="34"/>
      <c r="C112" s="34"/>
      <c r="D112" s="34"/>
      <c r="E112" s="34"/>
      <c r="AU112" s="35"/>
      <c r="AV112" s="35"/>
      <c r="AW112" s="35"/>
      <c r="AX112" s="35"/>
      <c r="AY112" s="35"/>
      <c r="AZ112" s="35"/>
      <c r="BA112" s="35"/>
      <c r="BB112" s="35"/>
      <c r="BC112" s="35"/>
    </row>
    <row r="113" spans="1:55" ht="15.75" customHeight="1" x14ac:dyDescent="0.2">
      <c r="A113" s="34"/>
      <c r="B113" s="34"/>
      <c r="C113" s="34"/>
      <c r="D113" s="34"/>
      <c r="E113" s="34"/>
      <c r="AU113" s="35"/>
      <c r="AV113" s="35"/>
      <c r="AW113" s="35"/>
      <c r="AX113" s="35"/>
      <c r="AY113" s="35"/>
      <c r="AZ113" s="35"/>
      <c r="BA113" s="35"/>
      <c r="BB113" s="35"/>
      <c r="BC113" s="35"/>
    </row>
    <row r="114" spans="1:55" ht="15.75" customHeight="1" x14ac:dyDescent="0.2">
      <c r="A114" s="34"/>
      <c r="B114" s="34"/>
      <c r="C114" s="34"/>
      <c r="D114" s="34"/>
      <c r="E114" s="34"/>
      <c r="AU114" s="35"/>
      <c r="AV114" s="35"/>
      <c r="AW114" s="35"/>
      <c r="AX114" s="35"/>
      <c r="AY114" s="35"/>
      <c r="AZ114" s="35"/>
      <c r="BA114" s="35"/>
      <c r="BB114" s="35"/>
      <c r="BC114" s="35"/>
    </row>
    <row r="115" spans="1:55" ht="15.75" customHeight="1" x14ac:dyDescent="0.2">
      <c r="A115" s="34"/>
      <c r="B115" s="34"/>
      <c r="C115" s="34"/>
      <c r="D115" s="34"/>
      <c r="E115" s="34"/>
      <c r="AU115" s="35"/>
      <c r="AV115" s="35"/>
      <c r="AW115" s="35"/>
      <c r="AX115" s="35"/>
      <c r="AY115" s="35"/>
      <c r="AZ115" s="35"/>
      <c r="BA115" s="35"/>
      <c r="BB115" s="35"/>
      <c r="BC115" s="35"/>
    </row>
    <row r="116" spans="1:55" ht="15.75" customHeight="1" x14ac:dyDescent="0.2">
      <c r="A116" s="34"/>
      <c r="B116" s="34"/>
      <c r="C116" s="34"/>
      <c r="D116" s="34"/>
      <c r="E116" s="34"/>
      <c r="AU116" s="35"/>
      <c r="AV116" s="35"/>
      <c r="AW116" s="35"/>
      <c r="AX116" s="35"/>
      <c r="AY116" s="35"/>
      <c r="AZ116" s="35"/>
      <c r="BA116" s="35"/>
      <c r="BB116" s="35"/>
      <c r="BC116" s="35"/>
    </row>
    <row r="117" spans="1:55" ht="15.75" customHeight="1" x14ac:dyDescent="0.2">
      <c r="A117" s="34"/>
      <c r="B117" s="34"/>
      <c r="C117" s="34"/>
      <c r="D117" s="34"/>
      <c r="E117" s="34"/>
      <c r="AU117" s="35"/>
      <c r="AV117" s="35"/>
      <c r="AW117" s="35"/>
      <c r="AX117" s="35"/>
      <c r="AY117" s="35"/>
      <c r="AZ117" s="35"/>
      <c r="BA117" s="35"/>
      <c r="BB117" s="35"/>
      <c r="BC117" s="35"/>
    </row>
    <row r="118" spans="1:55" ht="15.75" customHeight="1" x14ac:dyDescent="0.2">
      <c r="A118" s="34"/>
      <c r="B118" s="34"/>
      <c r="C118" s="34"/>
      <c r="D118" s="34"/>
      <c r="E118" s="34"/>
      <c r="AU118" s="35"/>
      <c r="AV118" s="35"/>
      <c r="AW118" s="35"/>
      <c r="AX118" s="35"/>
      <c r="AY118" s="35"/>
      <c r="AZ118" s="35"/>
      <c r="BA118" s="35"/>
      <c r="BB118" s="35"/>
      <c r="BC118" s="35"/>
    </row>
    <row r="119" spans="1:55" ht="15.75" customHeight="1" x14ac:dyDescent="0.2">
      <c r="A119" s="34"/>
      <c r="B119" s="34"/>
      <c r="C119" s="34"/>
      <c r="D119" s="34"/>
      <c r="E119" s="34"/>
      <c r="AU119" s="35"/>
      <c r="AV119" s="35"/>
      <c r="AW119" s="35"/>
      <c r="AX119" s="35"/>
      <c r="AY119" s="35"/>
      <c r="AZ119" s="35"/>
      <c r="BA119" s="35"/>
      <c r="BB119" s="35"/>
      <c r="BC119" s="35"/>
    </row>
    <row r="120" spans="1:55" ht="15.75" customHeight="1" x14ac:dyDescent="0.2">
      <c r="A120" s="34"/>
      <c r="B120" s="34"/>
      <c r="C120" s="34"/>
      <c r="D120" s="34"/>
      <c r="E120" s="34"/>
      <c r="AU120" s="35"/>
      <c r="AV120" s="35"/>
      <c r="AW120" s="35"/>
      <c r="AX120" s="35"/>
      <c r="AY120" s="35"/>
      <c r="AZ120" s="35"/>
      <c r="BA120" s="35"/>
      <c r="BB120" s="35"/>
      <c r="BC120" s="35"/>
    </row>
    <row r="121" spans="1:55" ht="15.75" customHeight="1" x14ac:dyDescent="0.2">
      <c r="A121" s="34"/>
      <c r="B121" s="34"/>
      <c r="C121" s="34"/>
      <c r="D121" s="34"/>
      <c r="E121" s="34"/>
      <c r="AU121" s="35"/>
      <c r="AV121" s="35"/>
      <c r="AW121" s="35"/>
      <c r="AX121" s="35"/>
      <c r="AY121" s="35"/>
      <c r="AZ121" s="35"/>
      <c r="BA121" s="35"/>
      <c r="BB121" s="35"/>
      <c r="BC121" s="35"/>
    </row>
    <row r="122" spans="1:55" ht="15.75" customHeight="1" x14ac:dyDescent="0.2">
      <c r="A122" s="34"/>
      <c r="B122" s="34"/>
      <c r="C122" s="34"/>
      <c r="D122" s="34"/>
      <c r="E122" s="34"/>
      <c r="AU122" s="35"/>
      <c r="AV122" s="35"/>
      <c r="AW122" s="35"/>
      <c r="AX122" s="35"/>
      <c r="AY122" s="35"/>
      <c r="AZ122" s="35"/>
      <c r="BA122" s="35"/>
      <c r="BB122" s="35"/>
      <c r="BC122" s="35"/>
    </row>
    <row r="123" spans="1:55" ht="15.75" customHeight="1" x14ac:dyDescent="0.2">
      <c r="A123" s="34"/>
      <c r="B123" s="34"/>
      <c r="C123" s="34"/>
      <c r="D123" s="34"/>
      <c r="E123" s="34"/>
      <c r="AU123" s="35"/>
      <c r="AV123" s="35"/>
      <c r="AW123" s="35"/>
      <c r="AX123" s="35"/>
      <c r="AY123" s="35"/>
      <c r="AZ123" s="35"/>
      <c r="BA123" s="35"/>
      <c r="BB123" s="35"/>
      <c r="BC123" s="35"/>
    </row>
    <row r="124" spans="1:55" ht="15.75" customHeight="1" x14ac:dyDescent="0.2">
      <c r="A124" s="34"/>
      <c r="B124" s="34"/>
      <c r="C124" s="34"/>
      <c r="D124" s="34"/>
      <c r="E124" s="34"/>
      <c r="AU124" s="35"/>
      <c r="AV124" s="35"/>
      <c r="AW124" s="35"/>
      <c r="AX124" s="35"/>
      <c r="AY124" s="35"/>
      <c r="AZ124" s="35"/>
      <c r="BA124" s="35"/>
      <c r="BB124" s="35"/>
      <c r="BC124" s="35"/>
    </row>
    <row r="125" spans="1:55" ht="15.75" customHeight="1" x14ac:dyDescent="0.2">
      <c r="A125" s="34"/>
      <c r="B125" s="34"/>
      <c r="C125" s="34"/>
      <c r="D125" s="34"/>
      <c r="E125" s="34"/>
      <c r="AU125" s="35"/>
      <c r="AV125" s="35"/>
      <c r="AW125" s="35"/>
      <c r="AX125" s="35"/>
      <c r="AY125" s="35"/>
      <c r="AZ125" s="35"/>
      <c r="BA125" s="35"/>
      <c r="BB125" s="35"/>
      <c r="BC125" s="35"/>
    </row>
    <row r="126" spans="1:55" ht="15.75" customHeight="1" x14ac:dyDescent="0.2">
      <c r="A126" s="34"/>
      <c r="B126" s="34"/>
      <c r="C126" s="34"/>
      <c r="D126" s="34"/>
      <c r="E126" s="34"/>
      <c r="AU126" s="35"/>
      <c r="AV126" s="35"/>
      <c r="AW126" s="35"/>
      <c r="AX126" s="35"/>
      <c r="AY126" s="35"/>
      <c r="AZ126" s="35"/>
      <c r="BA126" s="35"/>
      <c r="BB126" s="35"/>
      <c r="BC126" s="35"/>
    </row>
    <row r="127" spans="1:55" ht="15.75" customHeight="1" x14ac:dyDescent="0.2">
      <c r="A127" s="34"/>
      <c r="B127" s="34"/>
      <c r="C127" s="34"/>
      <c r="D127" s="34"/>
      <c r="E127" s="34"/>
      <c r="AU127" s="35"/>
      <c r="AV127" s="35"/>
      <c r="AW127" s="35"/>
      <c r="AX127" s="35"/>
      <c r="AY127" s="35"/>
      <c r="AZ127" s="35"/>
      <c r="BA127" s="35"/>
      <c r="BB127" s="35"/>
      <c r="BC127" s="35"/>
    </row>
    <row r="128" spans="1:55" ht="15.75" customHeight="1" x14ac:dyDescent="0.2">
      <c r="A128" s="34"/>
      <c r="B128" s="34"/>
      <c r="C128" s="34"/>
      <c r="D128" s="34"/>
      <c r="E128" s="34"/>
      <c r="AU128" s="35"/>
      <c r="AV128" s="35"/>
      <c r="AW128" s="35"/>
      <c r="AX128" s="35"/>
      <c r="AY128" s="35"/>
      <c r="AZ128" s="35"/>
      <c r="BA128" s="35"/>
      <c r="BB128" s="35"/>
      <c r="BC128" s="35"/>
    </row>
    <row r="129" spans="1:55" ht="15.75" customHeight="1" x14ac:dyDescent="0.2">
      <c r="A129" s="34"/>
      <c r="B129" s="34"/>
      <c r="C129" s="34"/>
      <c r="D129" s="34"/>
      <c r="E129" s="34"/>
      <c r="AU129" s="35"/>
      <c r="AV129" s="35"/>
      <c r="AW129" s="35"/>
      <c r="AX129" s="35"/>
      <c r="AY129" s="35"/>
      <c r="AZ129" s="35"/>
      <c r="BA129" s="35"/>
      <c r="BB129" s="35"/>
      <c r="BC129" s="35"/>
    </row>
    <row r="130" spans="1:55" ht="15.75" customHeight="1" x14ac:dyDescent="0.2">
      <c r="A130" s="34"/>
      <c r="B130" s="34"/>
      <c r="C130" s="34"/>
      <c r="D130" s="34"/>
      <c r="E130" s="34"/>
      <c r="AU130" s="35"/>
      <c r="AV130" s="35"/>
      <c r="AW130" s="35"/>
      <c r="AX130" s="35"/>
      <c r="AY130" s="35"/>
      <c r="AZ130" s="35"/>
      <c r="BA130" s="35"/>
      <c r="BB130" s="35"/>
      <c r="BC130" s="35"/>
    </row>
    <row r="131" spans="1:55" ht="15.75" customHeight="1" x14ac:dyDescent="0.2">
      <c r="A131" s="34"/>
      <c r="B131" s="34"/>
      <c r="C131" s="34"/>
      <c r="D131" s="34"/>
      <c r="E131" s="34"/>
      <c r="AU131" s="35"/>
      <c r="AV131" s="35"/>
      <c r="AW131" s="35"/>
      <c r="AX131" s="35"/>
      <c r="AY131" s="35"/>
      <c r="AZ131" s="35"/>
      <c r="BA131" s="35"/>
      <c r="BB131" s="35"/>
      <c r="BC131" s="35"/>
    </row>
    <row r="132" spans="1:55" ht="15.75" customHeight="1" x14ac:dyDescent="0.2">
      <c r="A132" s="34"/>
      <c r="B132" s="34"/>
      <c r="C132" s="34"/>
      <c r="D132" s="34"/>
      <c r="E132" s="34"/>
      <c r="AU132" s="35"/>
      <c r="AV132" s="35"/>
      <c r="AW132" s="35"/>
      <c r="AX132" s="35"/>
      <c r="AY132" s="35"/>
      <c r="AZ132" s="35"/>
      <c r="BA132" s="35"/>
      <c r="BB132" s="35"/>
      <c r="BC132" s="35"/>
    </row>
    <row r="133" spans="1:55" ht="15.75" customHeight="1" x14ac:dyDescent="0.2">
      <c r="A133" s="34"/>
      <c r="B133" s="34"/>
      <c r="C133" s="34"/>
      <c r="D133" s="34"/>
      <c r="E133" s="34"/>
      <c r="AU133" s="35"/>
      <c r="AV133" s="35"/>
      <c r="AW133" s="35"/>
      <c r="AX133" s="35"/>
      <c r="AY133" s="35"/>
      <c r="AZ133" s="35"/>
      <c r="BA133" s="35"/>
      <c r="BB133" s="35"/>
      <c r="BC133" s="35"/>
    </row>
    <row r="134" spans="1:55" ht="15.75" customHeight="1" x14ac:dyDescent="0.2">
      <c r="A134" s="34"/>
      <c r="B134" s="34"/>
      <c r="C134" s="34"/>
      <c r="D134" s="34"/>
      <c r="E134" s="34"/>
      <c r="AU134" s="35"/>
      <c r="AV134" s="35"/>
      <c r="AW134" s="35"/>
      <c r="AX134" s="35"/>
      <c r="AY134" s="35"/>
      <c r="AZ134" s="35"/>
      <c r="BA134" s="35"/>
      <c r="BB134" s="35"/>
      <c r="BC134" s="35"/>
    </row>
    <row r="135" spans="1:55" ht="15.75" customHeight="1" x14ac:dyDescent="0.2">
      <c r="A135" s="34"/>
      <c r="B135" s="34"/>
      <c r="C135" s="34"/>
      <c r="D135" s="34"/>
      <c r="E135" s="34"/>
      <c r="AU135" s="35"/>
      <c r="AV135" s="35"/>
      <c r="AW135" s="35"/>
      <c r="AX135" s="35"/>
      <c r="AY135" s="35"/>
      <c r="AZ135" s="35"/>
      <c r="BA135" s="35"/>
      <c r="BB135" s="35"/>
      <c r="BC135" s="35"/>
    </row>
    <row r="136" spans="1:55" ht="15.75" customHeight="1" x14ac:dyDescent="0.2">
      <c r="A136" s="34"/>
      <c r="B136" s="34"/>
      <c r="C136" s="34"/>
      <c r="D136" s="34"/>
      <c r="E136" s="34"/>
      <c r="AU136" s="35"/>
      <c r="AV136" s="35"/>
      <c r="AW136" s="35"/>
      <c r="AX136" s="35"/>
      <c r="AY136" s="35"/>
      <c r="AZ136" s="35"/>
      <c r="BA136" s="35"/>
      <c r="BB136" s="35"/>
      <c r="BC136" s="35"/>
    </row>
    <row r="137" spans="1:55" ht="15.75" customHeight="1" x14ac:dyDescent="0.2">
      <c r="A137" s="34"/>
      <c r="B137" s="34"/>
      <c r="C137" s="34"/>
      <c r="D137" s="34"/>
      <c r="E137" s="34"/>
      <c r="AU137" s="35"/>
      <c r="AV137" s="35"/>
      <c r="AW137" s="35"/>
      <c r="AX137" s="35"/>
      <c r="AY137" s="35"/>
      <c r="AZ137" s="35"/>
      <c r="BA137" s="35"/>
      <c r="BB137" s="35"/>
      <c r="BC137" s="35"/>
    </row>
    <row r="138" spans="1:55" ht="15.75" customHeight="1" x14ac:dyDescent="0.2">
      <c r="A138" s="34"/>
      <c r="B138" s="34"/>
      <c r="C138" s="34"/>
      <c r="D138" s="34"/>
      <c r="E138" s="34"/>
      <c r="AU138" s="35"/>
      <c r="AV138" s="35"/>
      <c r="AW138" s="35"/>
      <c r="AX138" s="35"/>
      <c r="AY138" s="35"/>
      <c r="AZ138" s="35"/>
      <c r="BA138" s="35"/>
      <c r="BB138" s="35"/>
      <c r="BC138" s="35"/>
    </row>
    <row r="139" spans="1:55" ht="15.75" customHeight="1" x14ac:dyDescent="0.2">
      <c r="A139" s="34"/>
      <c r="B139" s="34"/>
      <c r="C139" s="34"/>
      <c r="D139" s="34"/>
      <c r="E139" s="34"/>
      <c r="AU139" s="35"/>
      <c r="AV139" s="35"/>
      <c r="AW139" s="35"/>
      <c r="AX139" s="35"/>
      <c r="AY139" s="35"/>
      <c r="AZ139" s="35"/>
      <c r="BA139" s="35"/>
      <c r="BB139" s="35"/>
      <c r="BC139" s="35"/>
    </row>
    <row r="140" spans="1:55" ht="15.75" customHeight="1" x14ac:dyDescent="0.2">
      <c r="A140" s="34"/>
      <c r="B140" s="34"/>
      <c r="C140" s="34"/>
      <c r="D140" s="34"/>
      <c r="E140" s="34"/>
      <c r="AU140" s="35"/>
      <c r="AV140" s="35"/>
      <c r="AW140" s="35"/>
      <c r="AX140" s="35"/>
      <c r="AY140" s="35"/>
      <c r="AZ140" s="35"/>
      <c r="BA140" s="35"/>
      <c r="BB140" s="35"/>
      <c r="BC140" s="35"/>
    </row>
    <row r="141" spans="1:55" ht="15.75" customHeight="1" x14ac:dyDescent="0.2">
      <c r="A141" s="34"/>
      <c r="B141" s="34"/>
      <c r="C141" s="34"/>
      <c r="D141" s="34"/>
      <c r="E141" s="34"/>
      <c r="AU141" s="35"/>
      <c r="AV141" s="35"/>
      <c r="AW141" s="35"/>
      <c r="AX141" s="35"/>
      <c r="AY141" s="35"/>
      <c r="AZ141" s="35"/>
      <c r="BA141" s="35"/>
      <c r="BB141" s="35"/>
      <c r="BC141" s="35"/>
    </row>
    <row r="142" spans="1:55" ht="15.75" customHeight="1" x14ac:dyDescent="0.2">
      <c r="A142" s="34"/>
      <c r="B142" s="34"/>
      <c r="C142" s="34"/>
      <c r="D142" s="34"/>
      <c r="E142" s="34"/>
      <c r="AU142" s="35"/>
      <c r="AV142" s="35"/>
      <c r="AW142" s="35"/>
      <c r="AX142" s="35"/>
      <c r="AY142" s="35"/>
      <c r="AZ142" s="35"/>
      <c r="BA142" s="35"/>
      <c r="BB142" s="35"/>
      <c r="BC142" s="35"/>
    </row>
    <row r="143" spans="1:55" ht="15.75" customHeight="1" x14ac:dyDescent="0.2">
      <c r="A143" s="34"/>
      <c r="B143" s="34"/>
      <c r="C143" s="34"/>
      <c r="D143" s="34"/>
      <c r="E143" s="34"/>
      <c r="AU143" s="35"/>
      <c r="AV143" s="35"/>
      <c r="AW143" s="35"/>
      <c r="AX143" s="35"/>
      <c r="AY143" s="35"/>
      <c r="AZ143" s="35"/>
      <c r="BA143" s="35"/>
      <c r="BB143" s="35"/>
      <c r="BC143" s="35"/>
    </row>
    <row r="144" spans="1:55" ht="15.75" customHeight="1" x14ac:dyDescent="0.2">
      <c r="A144" s="34"/>
      <c r="B144" s="34"/>
      <c r="C144" s="34"/>
      <c r="D144" s="34"/>
      <c r="E144" s="34"/>
      <c r="AU144" s="35"/>
      <c r="AV144" s="35"/>
      <c r="AW144" s="35"/>
      <c r="AX144" s="35"/>
      <c r="AY144" s="35"/>
      <c r="AZ144" s="35"/>
      <c r="BA144" s="35"/>
      <c r="BB144" s="35"/>
      <c r="BC144" s="35"/>
    </row>
    <row r="145" spans="1:55" ht="15.75" customHeight="1" x14ac:dyDescent="0.2">
      <c r="A145" s="34"/>
      <c r="B145" s="34"/>
      <c r="C145" s="34"/>
      <c r="D145" s="34"/>
      <c r="E145" s="34"/>
      <c r="AU145" s="35"/>
      <c r="AV145" s="35"/>
      <c r="AW145" s="35"/>
      <c r="AX145" s="35"/>
      <c r="AY145" s="35"/>
      <c r="AZ145" s="35"/>
      <c r="BA145" s="35"/>
      <c r="BB145" s="35"/>
      <c r="BC145" s="35"/>
    </row>
    <row r="146" spans="1:55" ht="15.75" customHeight="1" x14ac:dyDescent="0.2">
      <c r="A146" s="34"/>
      <c r="B146" s="34"/>
      <c r="C146" s="34"/>
      <c r="D146" s="34"/>
      <c r="E146" s="34"/>
      <c r="AU146" s="35"/>
      <c r="AV146" s="35"/>
      <c r="AW146" s="35"/>
      <c r="AX146" s="35"/>
      <c r="AY146" s="35"/>
      <c r="AZ146" s="35"/>
      <c r="BA146" s="35"/>
      <c r="BB146" s="35"/>
      <c r="BC146" s="35"/>
    </row>
    <row r="147" spans="1:55" ht="15.75" customHeight="1" x14ac:dyDescent="0.2">
      <c r="A147" s="34"/>
      <c r="B147" s="34"/>
      <c r="C147" s="34"/>
      <c r="D147" s="34"/>
      <c r="E147" s="34"/>
      <c r="AU147" s="35"/>
      <c r="AV147" s="35"/>
      <c r="AW147" s="35"/>
      <c r="AX147" s="35"/>
      <c r="AY147" s="35"/>
      <c r="AZ147" s="35"/>
      <c r="BA147" s="35"/>
      <c r="BB147" s="35"/>
      <c r="BC147" s="35"/>
    </row>
    <row r="148" spans="1:55" ht="15.75" customHeight="1" x14ac:dyDescent="0.2">
      <c r="A148" s="34"/>
      <c r="B148" s="34"/>
      <c r="C148" s="34"/>
      <c r="D148" s="34"/>
      <c r="E148" s="34"/>
      <c r="AU148" s="35"/>
      <c r="AV148" s="35"/>
      <c r="AW148" s="35"/>
      <c r="AX148" s="35"/>
      <c r="AY148" s="35"/>
      <c r="AZ148" s="35"/>
      <c r="BA148" s="35"/>
      <c r="BB148" s="35"/>
      <c r="BC148" s="35"/>
    </row>
    <row r="149" spans="1:55" ht="15.75" customHeight="1" x14ac:dyDescent="0.2">
      <c r="A149" s="34"/>
      <c r="B149" s="34"/>
      <c r="C149" s="34"/>
      <c r="D149" s="34"/>
      <c r="E149" s="34"/>
      <c r="AU149" s="35"/>
      <c r="AV149" s="35"/>
      <c r="AW149" s="35"/>
      <c r="AX149" s="35"/>
      <c r="AY149" s="35"/>
      <c r="AZ149" s="35"/>
      <c r="BA149" s="35"/>
      <c r="BB149" s="35"/>
      <c r="BC149" s="35"/>
    </row>
    <row r="150" spans="1:55" ht="15.75" customHeight="1" x14ac:dyDescent="0.2">
      <c r="A150" s="34"/>
      <c r="B150" s="34"/>
      <c r="C150" s="34"/>
      <c r="D150" s="34"/>
      <c r="E150" s="34"/>
      <c r="AU150" s="35"/>
      <c r="AV150" s="35"/>
      <c r="AW150" s="35"/>
      <c r="AX150" s="35"/>
      <c r="AY150" s="35"/>
      <c r="AZ150" s="35"/>
      <c r="BA150" s="35"/>
      <c r="BB150" s="35"/>
      <c r="BC150" s="35"/>
    </row>
    <row r="151" spans="1:55" ht="15.75" customHeight="1" x14ac:dyDescent="0.2">
      <c r="A151" s="34"/>
      <c r="B151" s="34"/>
      <c r="C151" s="34"/>
      <c r="D151" s="34"/>
      <c r="E151" s="34"/>
      <c r="AU151" s="35"/>
      <c r="AV151" s="35"/>
      <c r="AW151" s="35"/>
      <c r="AX151" s="35"/>
      <c r="AY151" s="35"/>
      <c r="AZ151" s="35"/>
      <c r="BA151" s="35"/>
      <c r="BB151" s="35"/>
      <c r="BC151" s="35"/>
    </row>
    <row r="152" spans="1:55" ht="15.75" customHeight="1" x14ac:dyDescent="0.2">
      <c r="A152" s="34"/>
      <c r="B152" s="34"/>
      <c r="C152" s="34"/>
      <c r="D152" s="34"/>
      <c r="E152" s="34"/>
      <c r="AU152" s="35"/>
      <c r="AV152" s="35"/>
      <c r="AW152" s="35"/>
      <c r="AX152" s="35"/>
      <c r="AY152" s="35"/>
      <c r="AZ152" s="35"/>
      <c r="BA152" s="35"/>
      <c r="BB152" s="35"/>
      <c r="BC152" s="35"/>
    </row>
    <row r="153" spans="1:55" ht="15.75" customHeight="1" x14ac:dyDescent="0.2">
      <c r="A153" s="34"/>
      <c r="B153" s="34"/>
      <c r="C153" s="34"/>
      <c r="D153" s="34"/>
      <c r="E153" s="34"/>
      <c r="AU153" s="35"/>
      <c r="AV153" s="35"/>
      <c r="AW153" s="35"/>
      <c r="AX153" s="35"/>
      <c r="AY153" s="35"/>
      <c r="AZ153" s="35"/>
      <c r="BA153" s="35"/>
      <c r="BB153" s="35"/>
      <c r="BC153" s="35"/>
    </row>
    <row r="154" spans="1:55" ht="15.75" customHeight="1" x14ac:dyDescent="0.2">
      <c r="A154" s="34"/>
      <c r="B154" s="34"/>
      <c r="C154" s="34"/>
      <c r="D154" s="34"/>
      <c r="E154" s="34"/>
      <c r="AU154" s="35"/>
      <c r="AV154" s="35"/>
      <c r="AW154" s="35"/>
      <c r="AX154" s="35"/>
      <c r="AY154" s="35"/>
      <c r="AZ154" s="35"/>
      <c r="BA154" s="35"/>
      <c r="BB154" s="35"/>
      <c r="BC154" s="35"/>
    </row>
    <row r="155" spans="1:55" ht="15.75" customHeight="1" x14ac:dyDescent="0.2">
      <c r="A155" s="34"/>
      <c r="B155" s="34"/>
      <c r="C155" s="34"/>
      <c r="D155" s="34"/>
      <c r="E155" s="34"/>
      <c r="AU155" s="35"/>
      <c r="AV155" s="35"/>
      <c r="AW155" s="35"/>
      <c r="AX155" s="35"/>
      <c r="AY155" s="35"/>
      <c r="AZ155" s="35"/>
      <c r="BA155" s="35"/>
      <c r="BB155" s="35"/>
      <c r="BC155" s="35"/>
    </row>
    <row r="156" spans="1:55" ht="15.75" customHeight="1" x14ac:dyDescent="0.2">
      <c r="A156" s="34"/>
      <c r="B156" s="34"/>
      <c r="C156" s="34"/>
      <c r="D156" s="34"/>
      <c r="E156" s="34"/>
      <c r="AU156" s="35"/>
      <c r="AV156" s="35"/>
      <c r="AW156" s="35"/>
      <c r="AX156" s="35"/>
      <c r="AY156" s="35"/>
      <c r="AZ156" s="35"/>
      <c r="BA156" s="35"/>
      <c r="BB156" s="35"/>
      <c r="BC156" s="35"/>
    </row>
    <row r="157" spans="1:55" ht="15.75" customHeight="1" x14ac:dyDescent="0.2">
      <c r="A157" s="34"/>
      <c r="B157" s="34"/>
      <c r="C157" s="34"/>
      <c r="D157" s="34"/>
      <c r="E157" s="34"/>
      <c r="AU157" s="35"/>
      <c r="AV157" s="35"/>
      <c r="AW157" s="35"/>
      <c r="AX157" s="35"/>
      <c r="AY157" s="35"/>
      <c r="AZ157" s="35"/>
      <c r="BA157" s="35"/>
      <c r="BB157" s="35"/>
      <c r="BC157" s="35"/>
    </row>
    <row r="158" spans="1:55" ht="15.75" customHeight="1" x14ac:dyDescent="0.2">
      <c r="A158" s="34"/>
      <c r="B158" s="34"/>
      <c r="C158" s="34"/>
      <c r="D158" s="34"/>
      <c r="E158" s="34"/>
      <c r="AU158" s="35"/>
      <c r="AV158" s="35"/>
      <c r="AW158" s="35"/>
      <c r="AX158" s="35"/>
      <c r="AY158" s="35"/>
      <c r="AZ158" s="35"/>
      <c r="BA158" s="35"/>
      <c r="BB158" s="35"/>
      <c r="BC158" s="35"/>
    </row>
    <row r="159" spans="1:55" ht="15.75" customHeight="1" x14ac:dyDescent="0.2">
      <c r="A159" s="34"/>
      <c r="B159" s="34"/>
      <c r="C159" s="34"/>
      <c r="D159" s="34"/>
      <c r="E159" s="34"/>
      <c r="AU159" s="35"/>
      <c r="AV159" s="35"/>
      <c r="AW159" s="35"/>
      <c r="AX159" s="35"/>
      <c r="AY159" s="35"/>
      <c r="AZ159" s="35"/>
      <c r="BA159" s="35"/>
      <c r="BB159" s="35"/>
      <c r="BC159" s="35"/>
    </row>
    <row r="160" spans="1:55" ht="15.75" customHeight="1" x14ac:dyDescent="0.2">
      <c r="A160" s="34"/>
      <c r="B160" s="34"/>
      <c r="C160" s="34"/>
      <c r="D160" s="34"/>
      <c r="E160" s="34"/>
      <c r="AU160" s="35"/>
      <c r="AV160" s="35"/>
      <c r="AW160" s="35"/>
      <c r="AX160" s="35"/>
      <c r="AY160" s="35"/>
      <c r="AZ160" s="35"/>
      <c r="BA160" s="35"/>
      <c r="BB160" s="35"/>
      <c r="BC160" s="35"/>
    </row>
    <row r="161" spans="1:55" ht="15.75" customHeight="1" x14ac:dyDescent="0.2">
      <c r="A161" s="34"/>
      <c r="B161" s="34"/>
      <c r="C161" s="34"/>
      <c r="D161" s="34"/>
      <c r="E161" s="34"/>
      <c r="AU161" s="35"/>
      <c r="AV161" s="35"/>
      <c r="AW161" s="35"/>
      <c r="AX161" s="35"/>
      <c r="AY161" s="35"/>
      <c r="AZ161" s="35"/>
      <c r="BA161" s="35"/>
      <c r="BB161" s="35"/>
      <c r="BC161" s="35"/>
    </row>
    <row r="162" spans="1:55" ht="15.75" customHeight="1" x14ac:dyDescent="0.2">
      <c r="A162" s="34"/>
      <c r="B162" s="34"/>
      <c r="C162" s="34"/>
      <c r="D162" s="34"/>
      <c r="E162" s="34"/>
      <c r="AU162" s="35"/>
      <c r="AV162" s="35"/>
      <c r="AW162" s="35"/>
      <c r="AX162" s="35"/>
      <c r="AY162" s="35"/>
      <c r="AZ162" s="35"/>
      <c r="BA162" s="35"/>
      <c r="BB162" s="35"/>
      <c r="BC162" s="35"/>
    </row>
    <row r="163" spans="1:55" ht="15.75" customHeight="1" x14ac:dyDescent="0.2">
      <c r="A163" s="34"/>
      <c r="B163" s="34"/>
      <c r="C163" s="34"/>
      <c r="D163" s="34"/>
      <c r="E163" s="34"/>
      <c r="AU163" s="35"/>
      <c r="AV163" s="35"/>
      <c r="AW163" s="35"/>
      <c r="AX163" s="35"/>
      <c r="AY163" s="35"/>
      <c r="AZ163" s="35"/>
      <c r="BA163" s="35"/>
      <c r="BB163" s="35"/>
      <c r="BC163" s="35"/>
    </row>
    <row r="164" spans="1:55" ht="15.75" customHeight="1" x14ac:dyDescent="0.2">
      <c r="A164" s="34"/>
      <c r="B164" s="34"/>
      <c r="C164" s="34"/>
      <c r="D164" s="34"/>
      <c r="E164" s="34"/>
      <c r="AU164" s="35"/>
      <c r="AV164" s="35"/>
      <c r="AW164" s="35"/>
      <c r="AX164" s="35"/>
      <c r="AY164" s="35"/>
      <c r="AZ164" s="35"/>
      <c r="BA164" s="35"/>
      <c r="BB164" s="35"/>
      <c r="BC164" s="35"/>
    </row>
    <row r="165" spans="1:55" ht="15.75" customHeight="1" x14ac:dyDescent="0.2">
      <c r="A165" s="34"/>
      <c r="B165" s="34"/>
      <c r="C165" s="34"/>
      <c r="D165" s="34"/>
      <c r="E165" s="34"/>
      <c r="AU165" s="35"/>
      <c r="AV165" s="35"/>
      <c r="AW165" s="35"/>
      <c r="AX165" s="35"/>
      <c r="AY165" s="35"/>
      <c r="AZ165" s="35"/>
      <c r="BA165" s="35"/>
      <c r="BB165" s="35"/>
      <c r="BC165" s="35"/>
    </row>
    <row r="166" spans="1:55" ht="15.75" customHeight="1" x14ac:dyDescent="0.2">
      <c r="A166" s="34"/>
      <c r="B166" s="34"/>
      <c r="C166" s="34"/>
      <c r="D166" s="34"/>
      <c r="E166" s="34"/>
      <c r="AU166" s="35"/>
      <c r="AV166" s="35"/>
      <c r="AW166" s="35"/>
      <c r="AX166" s="35"/>
      <c r="AY166" s="35"/>
      <c r="AZ166" s="35"/>
      <c r="BA166" s="35"/>
      <c r="BB166" s="35"/>
      <c r="BC166" s="35"/>
    </row>
    <row r="167" spans="1:55" ht="15.75" customHeight="1" x14ac:dyDescent="0.2">
      <c r="A167" s="34"/>
      <c r="B167" s="34"/>
      <c r="C167" s="34"/>
      <c r="D167" s="34"/>
      <c r="E167" s="34"/>
      <c r="AU167" s="35"/>
      <c r="AV167" s="35"/>
      <c r="AW167" s="35"/>
      <c r="AX167" s="35"/>
      <c r="AY167" s="35"/>
      <c r="AZ167" s="35"/>
      <c r="BA167" s="35"/>
      <c r="BB167" s="35"/>
      <c r="BC167" s="35"/>
    </row>
    <row r="168" spans="1:55" ht="15.75" customHeight="1" x14ac:dyDescent="0.2">
      <c r="A168" s="34"/>
      <c r="B168" s="34"/>
      <c r="C168" s="34"/>
      <c r="D168" s="34"/>
      <c r="E168" s="34"/>
      <c r="AU168" s="35"/>
      <c r="AV168" s="35"/>
      <c r="AW168" s="35"/>
      <c r="AX168" s="35"/>
      <c r="AY168" s="35"/>
      <c r="AZ168" s="35"/>
      <c r="BA168" s="35"/>
      <c r="BB168" s="35"/>
      <c r="BC168" s="35"/>
    </row>
    <row r="169" spans="1:55" ht="15.75" customHeight="1" x14ac:dyDescent="0.2">
      <c r="A169" s="34"/>
      <c r="B169" s="34"/>
      <c r="C169" s="34"/>
      <c r="D169" s="34"/>
      <c r="E169" s="34"/>
      <c r="AU169" s="35"/>
      <c r="AV169" s="35"/>
      <c r="AW169" s="35"/>
      <c r="AX169" s="35"/>
      <c r="AY169" s="35"/>
      <c r="AZ169" s="35"/>
      <c r="BA169" s="35"/>
      <c r="BB169" s="35"/>
      <c r="BC169" s="35"/>
    </row>
    <row r="170" spans="1:55" ht="15.75" customHeight="1" x14ac:dyDescent="0.2">
      <c r="A170" s="34"/>
      <c r="B170" s="34"/>
      <c r="C170" s="34"/>
      <c r="D170" s="34"/>
      <c r="E170" s="34"/>
      <c r="AU170" s="35"/>
      <c r="AV170" s="35"/>
      <c r="AW170" s="35"/>
      <c r="AX170" s="35"/>
      <c r="AY170" s="35"/>
      <c r="AZ170" s="35"/>
      <c r="BA170" s="35"/>
      <c r="BB170" s="35"/>
      <c r="BC170" s="35"/>
    </row>
    <row r="171" spans="1:55" ht="15.75" customHeight="1" x14ac:dyDescent="0.2">
      <c r="A171" s="34"/>
      <c r="B171" s="34"/>
      <c r="C171" s="34"/>
      <c r="D171" s="34"/>
      <c r="E171" s="34"/>
      <c r="AU171" s="35"/>
      <c r="AV171" s="35"/>
      <c r="AW171" s="35"/>
      <c r="AX171" s="35"/>
      <c r="AY171" s="35"/>
      <c r="AZ171" s="35"/>
      <c r="BA171" s="35"/>
      <c r="BB171" s="35"/>
      <c r="BC171" s="35"/>
    </row>
    <row r="172" spans="1:55" ht="15.75" customHeight="1" x14ac:dyDescent="0.2">
      <c r="A172" s="34"/>
      <c r="B172" s="34"/>
      <c r="C172" s="34"/>
      <c r="D172" s="34"/>
      <c r="E172" s="34"/>
      <c r="AU172" s="35"/>
      <c r="AV172" s="35"/>
      <c r="AW172" s="35"/>
      <c r="AX172" s="35"/>
      <c r="AY172" s="35"/>
      <c r="AZ172" s="35"/>
      <c r="BA172" s="35"/>
      <c r="BB172" s="35"/>
      <c r="BC172" s="35"/>
    </row>
    <row r="173" spans="1:55" ht="15.75" customHeight="1" x14ac:dyDescent="0.2">
      <c r="A173" s="34"/>
      <c r="B173" s="34"/>
      <c r="C173" s="34"/>
      <c r="D173" s="34"/>
      <c r="E173" s="34"/>
      <c r="AU173" s="35"/>
      <c r="AV173" s="35"/>
      <c r="AW173" s="35"/>
      <c r="AX173" s="35"/>
      <c r="AY173" s="35"/>
      <c r="AZ173" s="35"/>
      <c r="BA173" s="35"/>
      <c r="BB173" s="35"/>
      <c r="BC173" s="35"/>
    </row>
    <row r="174" spans="1:55" ht="15.75" customHeight="1" x14ac:dyDescent="0.2">
      <c r="A174" s="34"/>
      <c r="B174" s="34"/>
      <c r="C174" s="34"/>
      <c r="D174" s="34"/>
      <c r="E174" s="34"/>
      <c r="AU174" s="35"/>
      <c r="AV174" s="35"/>
      <c r="AW174" s="35"/>
      <c r="AX174" s="35"/>
      <c r="AY174" s="35"/>
      <c r="AZ174" s="35"/>
      <c r="BA174" s="35"/>
      <c r="BB174" s="35"/>
      <c r="BC174" s="35"/>
    </row>
    <row r="175" spans="1:55" ht="15.75" customHeight="1" x14ac:dyDescent="0.2">
      <c r="A175" s="34"/>
      <c r="B175" s="34"/>
      <c r="C175" s="34"/>
      <c r="D175" s="34"/>
      <c r="E175" s="34"/>
      <c r="AU175" s="35"/>
      <c r="AV175" s="35"/>
      <c r="AW175" s="35"/>
      <c r="AX175" s="35"/>
      <c r="AY175" s="35"/>
      <c r="AZ175" s="35"/>
      <c r="BA175" s="35"/>
      <c r="BB175" s="35"/>
      <c r="BC175" s="35"/>
    </row>
    <row r="176" spans="1:55" ht="15.75" customHeight="1" x14ac:dyDescent="0.2">
      <c r="A176" s="34"/>
      <c r="B176" s="34"/>
      <c r="C176" s="34"/>
      <c r="D176" s="34"/>
      <c r="E176" s="34"/>
      <c r="AU176" s="35"/>
      <c r="AV176" s="35"/>
      <c r="AW176" s="35"/>
      <c r="AX176" s="35"/>
      <c r="AY176" s="35"/>
      <c r="AZ176" s="35"/>
      <c r="BA176" s="35"/>
      <c r="BB176" s="35"/>
      <c r="BC176" s="35"/>
    </row>
    <row r="177" spans="1:55" ht="15.75" customHeight="1" x14ac:dyDescent="0.2">
      <c r="A177" s="34"/>
      <c r="B177" s="34"/>
      <c r="C177" s="34"/>
      <c r="D177" s="34"/>
      <c r="E177" s="34"/>
      <c r="AU177" s="35"/>
      <c r="AV177" s="35"/>
      <c r="AW177" s="35"/>
      <c r="AX177" s="35"/>
      <c r="AY177" s="35"/>
      <c r="AZ177" s="35"/>
      <c r="BA177" s="35"/>
      <c r="BB177" s="35"/>
      <c r="BC177" s="35"/>
    </row>
    <row r="178" spans="1:55" ht="15.75" customHeight="1" x14ac:dyDescent="0.2">
      <c r="A178" s="34"/>
      <c r="B178" s="34"/>
      <c r="C178" s="34"/>
      <c r="D178" s="34"/>
      <c r="E178" s="34"/>
      <c r="AU178" s="35"/>
      <c r="AV178" s="35"/>
      <c r="AW178" s="35"/>
      <c r="AX178" s="35"/>
      <c r="AY178" s="35"/>
      <c r="AZ178" s="35"/>
      <c r="BA178" s="35"/>
      <c r="BB178" s="35"/>
      <c r="BC178" s="35"/>
    </row>
    <row r="179" spans="1:55" ht="15.75" customHeight="1" x14ac:dyDescent="0.2">
      <c r="A179" s="34"/>
      <c r="B179" s="34"/>
      <c r="C179" s="34"/>
      <c r="D179" s="34"/>
      <c r="E179" s="34"/>
      <c r="AU179" s="35"/>
      <c r="AV179" s="35"/>
      <c r="AW179" s="35"/>
      <c r="AX179" s="35"/>
      <c r="AY179" s="35"/>
      <c r="AZ179" s="35"/>
      <c r="BA179" s="35"/>
      <c r="BB179" s="35"/>
      <c r="BC179" s="35"/>
    </row>
    <row r="180" spans="1:55" ht="15.75" customHeight="1" x14ac:dyDescent="0.2">
      <c r="A180" s="34"/>
      <c r="B180" s="34"/>
      <c r="C180" s="34"/>
      <c r="D180" s="34"/>
      <c r="E180" s="34"/>
      <c r="AU180" s="35"/>
      <c r="AV180" s="35"/>
      <c r="AW180" s="35"/>
      <c r="AX180" s="35"/>
      <c r="AY180" s="35"/>
      <c r="AZ180" s="35"/>
      <c r="BA180" s="35"/>
      <c r="BB180" s="35"/>
      <c r="BC180" s="35"/>
    </row>
    <row r="181" spans="1:55" ht="15.75" customHeight="1" x14ac:dyDescent="0.2">
      <c r="A181" s="34"/>
      <c r="B181" s="34"/>
      <c r="C181" s="34"/>
      <c r="D181" s="34"/>
      <c r="E181" s="34"/>
      <c r="AU181" s="35"/>
      <c r="AV181" s="35"/>
      <c r="AW181" s="35"/>
      <c r="AX181" s="35"/>
      <c r="AY181" s="35"/>
      <c r="AZ181" s="35"/>
      <c r="BA181" s="35"/>
      <c r="BB181" s="35"/>
      <c r="BC181" s="35"/>
    </row>
    <row r="182" spans="1:55" ht="15.75" customHeight="1" x14ac:dyDescent="0.2">
      <c r="A182" s="34"/>
      <c r="B182" s="34"/>
      <c r="C182" s="34"/>
      <c r="D182" s="34"/>
      <c r="E182" s="34"/>
      <c r="AU182" s="35"/>
      <c r="AV182" s="35"/>
      <c r="AW182" s="35"/>
      <c r="AX182" s="35"/>
      <c r="AY182" s="35"/>
      <c r="AZ182" s="35"/>
      <c r="BA182" s="35"/>
      <c r="BB182" s="35"/>
      <c r="BC182" s="35"/>
    </row>
    <row r="183" spans="1:55" ht="15.75" customHeight="1" x14ac:dyDescent="0.2">
      <c r="A183" s="34"/>
      <c r="B183" s="34"/>
      <c r="C183" s="34"/>
      <c r="D183" s="34"/>
      <c r="E183" s="34"/>
      <c r="AU183" s="35"/>
      <c r="AV183" s="35"/>
      <c r="AW183" s="35"/>
      <c r="AX183" s="35"/>
      <c r="AY183" s="35"/>
      <c r="AZ183" s="35"/>
      <c r="BA183" s="35"/>
      <c r="BB183" s="35"/>
      <c r="BC183" s="35"/>
    </row>
    <row r="184" spans="1:55" ht="15.75" customHeight="1" x14ac:dyDescent="0.2">
      <c r="A184" s="34"/>
      <c r="B184" s="34"/>
      <c r="C184" s="34"/>
      <c r="D184" s="34"/>
      <c r="E184" s="34"/>
      <c r="AU184" s="35"/>
      <c r="AV184" s="35"/>
      <c r="AW184" s="35"/>
      <c r="AX184" s="35"/>
      <c r="AY184" s="35"/>
      <c r="AZ184" s="35"/>
      <c r="BA184" s="35"/>
      <c r="BB184" s="35"/>
      <c r="BC184" s="35"/>
    </row>
    <row r="185" spans="1:55" ht="15.75" customHeight="1" x14ac:dyDescent="0.2">
      <c r="A185" s="34"/>
      <c r="B185" s="34"/>
      <c r="C185" s="34"/>
      <c r="D185" s="34"/>
      <c r="E185" s="34"/>
      <c r="AU185" s="35"/>
      <c r="AV185" s="35"/>
      <c r="AW185" s="35"/>
      <c r="AX185" s="35"/>
      <c r="AY185" s="35"/>
      <c r="AZ185" s="35"/>
      <c r="BA185" s="35"/>
      <c r="BB185" s="35"/>
      <c r="BC185" s="35"/>
    </row>
    <row r="186" spans="1:55" ht="15.75" customHeight="1" x14ac:dyDescent="0.2">
      <c r="A186" s="34"/>
      <c r="B186" s="34"/>
      <c r="C186" s="34"/>
      <c r="D186" s="34"/>
      <c r="E186" s="34"/>
      <c r="AU186" s="35"/>
      <c r="AV186" s="35"/>
      <c r="AW186" s="35"/>
      <c r="AX186" s="35"/>
      <c r="AY186" s="35"/>
      <c r="AZ186" s="35"/>
      <c r="BA186" s="35"/>
      <c r="BB186" s="35"/>
      <c r="BC186" s="35"/>
    </row>
    <row r="187" spans="1:55" ht="15.75" customHeight="1" x14ac:dyDescent="0.2">
      <c r="A187" s="34"/>
      <c r="B187" s="34"/>
      <c r="C187" s="34"/>
      <c r="D187" s="34"/>
      <c r="E187" s="34"/>
      <c r="AU187" s="35"/>
      <c r="AV187" s="35"/>
      <c r="AW187" s="35"/>
      <c r="AX187" s="35"/>
      <c r="AY187" s="35"/>
      <c r="AZ187" s="35"/>
      <c r="BA187" s="35"/>
      <c r="BB187" s="35"/>
      <c r="BC187" s="35"/>
    </row>
    <row r="188" spans="1:55" ht="15.75" customHeight="1" x14ac:dyDescent="0.2">
      <c r="A188" s="34"/>
      <c r="B188" s="34"/>
      <c r="C188" s="34"/>
      <c r="D188" s="34"/>
      <c r="E188" s="34"/>
      <c r="AU188" s="35"/>
      <c r="AV188" s="35"/>
      <c r="AW188" s="35"/>
      <c r="AX188" s="35"/>
      <c r="AY188" s="35"/>
      <c r="AZ188" s="35"/>
      <c r="BA188" s="35"/>
      <c r="BB188" s="35"/>
      <c r="BC188" s="35"/>
    </row>
    <row r="189" spans="1:55" ht="15.75" customHeight="1" x14ac:dyDescent="0.2">
      <c r="A189" s="34"/>
      <c r="B189" s="34"/>
      <c r="C189" s="34"/>
      <c r="D189" s="34"/>
      <c r="E189" s="34"/>
      <c r="AU189" s="35"/>
      <c r="AV189" s="35"/>
      <c r="AW189" s="35"/>
      <c r="AX189" s="35"/>
      <c r="AY189" s="35"/>
      <c r="AZ189" s="35"/>
      <c r="BA189" s="35"/>
      <c r="BB189" s="35"/>
      <c r="BC189" s="35"/>
    </row>
    <row r="190" spans="1:55" ht="15.75" customHeight="1" x14ac:dyDescent="0.2">
      <c r="A190" s="34"/>
      <c r="B190" s="34"/>
      <c r="C190" s="34"/>
      <c r="D190" s="34"/>
      <c r="E190" s="34"/>
      <c r="AU190" s="35"/>
      <c r="AV190" s="35"/>
      <c r="AW190" s="35"/>
      <c r="AX190" s="35"/>
      <c r="AY190" s="35"/>
      <c r="AZ190" s="35"/>
      <c r="BA190" s="35"/>
      <c r="BB190" s="35"/>
      <c r="BC190" s="35"/>
    </row>
    <row r="191" spans="1:55" ht="15.75" customHeight="1" x14ac:dyDescent="0.2">
      <c r="A191" s="34"/>
      <c r="B191" s="34"/>
      <c r="C191" s="34"/>
      <c r="D191" s="34"/>
      <c r="E191" s="34"/>
      <c r="AU191" s="35"/>
      <c r="AV191" s="35"/>
      <c r="AW191" s="35"/>
      <c r="AX191" s="35"/>
      <c r="AY191" s="35"/>
      <c r="AZ191" s="35"/>
      <c r="BA191" s="35"/>
      <c r="BB191" s="35"/>
      <c r="BC191" s="35"/>
    </row>
    <row r="192" spans="1:55" ht="15.75" customHeight="1" x14ac:dyDescent="0.2">
      <c r="A192" s="34"/>
      <c r="B192" s="34"/>
      <c r="C192" s="34"/>
      <c r="D192" s="34"/>
      <c r="E192" s="34"/>
      <c r="AU192" s="35"/>
      <c r="AV192" s="35"/>
      <c r="AW192" s="35"/>
      <c r="AX192" s="35"/>
      <c r="AY192" s="35"/>
      <c r="AZ192" s="35"/>
      <c r="BA192" s="35"/>
      <c r="BB192" s="35"/>
      <c r="BC192" s="35"/>
    </row>
    <row r="193" spans="1:55" ht="15.75" customHeight="1" x14ac:dyDescent="0.2">
      <c r="A193" s="34"/>
      <c r="B193" s="34"/>
      <c r="C193" s="34"/>
      <c r="D193" s="34"/>
      <c r="E193" s="34"/>
      <c r="AU193" s="35"/>
      <c r="AV193" s="35"/>
      <c r="AW193" s="35"/>
      <c r="AX193" s="35"/>
      <c r="AY193" s="35"/>
      <c r="AZ193" s="35"/>
      <c r="BA193" s="35"/>
      <c r="BB193" s="35"/>
      <c r="BC193" s="35"/>
    </row>
    <row r="194" spans="1:55" ht="15.75" customHeight="1" x14ac:dyDescent="0.2">
      <c r="A194" s="34"/>
      <c r="B194" s="34"/>
      <c r="C194" s="34"/>
      <c r="D194" s="34"/>
      <c r="E194" s="34"/>
      <c r="AU194" s="35"/>
      <c r="AV194" s="35"/>
      <c r="AW194" s="35"/>
      <c r="AX194" s="35"/>
      <c r="AY194" s="35"/>
      <c r="AZ194" s="35"/>
      <c r="BA194" s="35"/>
      <c r="BB194" s="35"/>
      <c r="BC194" s="35"/>
    </row>
    <row r="195" spans="1:55" ht="15.75" customHeight="1" x14ac:dyDescent="0.2">
      <c r="A195" s="34"/>
      <c r="B195" s="34"/>
      <c r="C195" s="34"/>
      <c r="D195" s="34"/>
      <c r="E195" s="34"/>
      <c r="AU195" s="35"/>
      <c r="AV195" s="35"/>
      <c r="AW195" s="35"/>
      <c r="AX195" s="35"/>
      <c r="AY195" s="35"/>
      <c r="AZ195" s="35"/>
      <c r="BA195" s="35"/>
      <c r="BB195" s="35"/>
      <c r="BC195" s="35"/>
    </row>
    <row r="196" spans="1:55" ht="15.75" customHeight="1" x14ac:dyDescent="0.2">
      <c r="A196" s="34"/>
      <c r="B196" s="34"/>
      <c r="C196" s="34"/>
      <c r="D196" s="34"/>
      <c r="E196" s="34"/>
      <c r="AU196" s="35"/>
      <c r="AV196" s="35"/>
      <c r="AW196" s="35"/>
      <c r="AX196" s="35"/>
      <c r="AY196" s="35"/>
      <c r="AZ196" s="35"/>
      <c r="BA196" s="35"/>
      <c r="BB196" s="35"/>
      <c r="BC196" s="35"/>
    </row>
    <row r="197" spans="1:55" ht="15.75" customHeight="1" x14ac:dyDescent="0.2">
      <c r="A197" s="34"/>
      <c r="B197" s="34"/>
      <c r="C197" s="34"/>
      <c r="D197" s="34"/>
      <c r="E197" s="34"/>
      <c r="AU197" s="35"/>
      <c r="AV197" s="35"/>
      <c r="AW197" s="35"/>
      <c r="AX197" s="35"/>
      <c r="AY197" s="35"/>
      <c r="AZ197" s="35"/>
      <c r="BA197" s="35"/>
      <c r="BB197" s="35"/>
      <c r="BC197" s="35"/>
    </row>
    <row r="198" spans="1:55" ht="15.75" customHeight="1" x14ac:dyDescent="0.2">
      <c r="A198" s="34"/>
      <c r="B198" s="34"/>
      <c r="C198" s="34"/>
      <c r="D198" s="34"/>
      <c r="E198" s="34"/>
      <c r="AU198" s="35"/>
      <c r="AV198" s="35"/>
      <c r="AW198" s="35"/>
      <c r="AX198" s="35"/>
      <c r="AY198" s="35"/>
      <c r="AZ198" s="35"/>
      <c r="BA198" s="35"/>
      <c r="BB198" s="35"/>
      <c r="BC198" s="35"/>
    </row>
    <row r="199" spans="1:55" ht="15.75" customHeight="1" x14ac:dyDescent="0.2">
      <c r="A199" s="34"/>
      <c r="B199" s="34"/>
      <c r="C199" s="34"/>
      <c r="D199" s="34"/>
      <c r="E199" s="34"/>
      <c r="AU199" s="35"/>
      <c r="AV199" s="35"/>
      <c r="AW199" s="35"/>
      <c r="AX199" s="35"/>
      <c r="AY199" s="35"/>
      <c r="AZ199" s="35"/>
      <c r="BA199" s="35"/>
      <c r="BB199" s="35"/>
      <c r="BC199" s="35"/>
    </row>
    <row r="200" spans="1:55" ht="15.75" customHeight="1" x14ac:dyDescent="0.2">
      <c r="A200" s="34"/>
      <c r="B200" s="34"/>
      <c r="C200" s="34"/>
      <c r="D200" s="34"/>
      <c r="E200" s="34"/>
      <c r="AU200" s="35"/>
      <c r="AV200" s="35"/>
      <c r="AW200" s="35"/>
      <c r="AX200" s="35"/>
      <c r="AY200" s="35"/>
      <c r="AZ200" s="35"/>
      <c r="BA200" s="35"/>
      <c r="BB200" s="35"/>
      <c r="BC200" s="35"/>
    </row>
    <row r="201" spans="1:55" ht="15.75" customHeight="1" x14ac:dyDescent="0.2">
      <c r="A201" s="34"/>
      <c r="B201" s="34"/>
      <c r="C201" s="34"/>
      <c r="D201" s="34"/>
      <c r="E201" s="34"/>
      <c r="AU201" s="35"/>
      <c r="AV201" s="35"/>
      <c r="AW201" s="35"/>
      <c r="AX201" s="35"/>
      <c r="AY201" s="35"/>
      <c r="AZ201" s="35"/>
      <c r="BA201" s="35"/>
      <c r="BB201" s="35"/>
      <c r="BC201" s="35"/>
    </row>
    <row r="202" spans="1:55" ht="15.75" customHeight="1" x14ac:dyDescent="0.2">
      <c r="A202" s="34"/>
      <c r="B202" s="34"/>
      <c r="C202" s="34"/>
      <c r="D202" s="34"/>
      <c r="E202" s="34"/>
      <c r="AU202" s="35"/>
      <c r="AV202" s="35"/>
      <c r="AW202" s="35"/>
      <c r="AX202" s="35"/>
      <c r="AY202" s="35"/>
      <c r="AZ202" s="35"/>
      <c r="BA202" s="35"/>
      <c r="BB202" s="35"/>
      <c r="BC202" s="35"/>
    </row>
    <row r="203" spans="1:55" ht="15.75" customHeight="1" x14ac:dyDescent="0.2">
      <c r="A203" s="34"/>
      <c r="B203" s="34"/>
      <c r="C203" s="34"/>
      <c r="D203" s="34"/>
      <c r="E203" s="34"/>
      <c r="AU203" s="35"/>
      <c r="AV203" s="35"/>
      <c r="AW203" s="35"/>
      <c r="AX203" s="35"/>
      <c r="AY203" s="35"/>
      <c r="AZ203" s="35"/>
      <c r="BA203" s="35"/>
      <c r="BB203" s="35"/>
      <c r="BC203" s="35"/>
    </row>
    <row r="204" spans="1:55" ht="15.75" customHeight="1" x14ac:dyDescent="0.2">
      <c r="A204" s="34"/>
      <c r="B204" s="34"/>
      <c r="C204" s="34"/>
      <c r="D204" s="34"/>
      <c r="E204" s="34"/>
      <c r="AU204" s="35"/>
      <c r="AV204" s="35"/>
      <c r="AW204" s="35"/>
      <c r="AX204" s="35"/>
      <c r="AY204" s="35"/>
      <c r="AZ204" s="35"/>
      <c r="BA204" s="35"/>
      <c r="BB204" s="35"/>
      <c r="BC204" s="35"/>
    </row>
    <row r="205" spans="1:55" ht="15.75" customHeight="1" x14ac:dyDescent="0.2">
      <c r="A205" s="34"/>
      <c r="B205" s="34"/>
      <c r="C205" s="34"/>
      <c r="D205" s="34"/>
      <c r="E205" s="34"/>
      <c r="AU205" s="35"/>
      <c r="AV205" s="35"/>
      <c r="AW205" s="35"/>
      <c r="AX205" s="35"/>
      <c r="AY205" s="35"/>
      <c r="AZ205" s="35"/>
      <c r="BA205" s="35"/>
      <c r="BB205" s="35"/>
      <c r="BC205" s="35"/>
    </row>
    <row r="206" spans="1:55" ht="15.75" customHeight="1" x14ac:dyDescent="0.2">
      <c r="A206" s="34"/>
      <c r="B206" s="34"/>
      <c r="C206" s="34"/>
      <c r="D206" s="34"/>
      <c r="E206" s="34"/>
      <c r="AU206" s="35"/>
      <c r="AV206" s="35"/>
      <c r="AW206" s="35"/>
      <c r="AX206" s="35"/>
      <c r="AY206" s="35"/>
      <c r="AZ206" s="35"/>
      <c r="BA206" s="35"/>
      <c r="BB206" s="35"/>
      <c r="BC206" s="35"/>
    </row>
    <row r="207" spans="1:55" ht="15.75" customHeight="1" x14ac:dyDescent="0.2">
      <c r="A207" s="34"/>
      <c r="B207" s="34"/>
      <c r="C207" s="34"/>
      <c r="D207" s="34"/>
      <c r="E207" s="34"/>
      <c r="AU207" s="35"/>
      <c r="AV207" s="35"/>
      <c r="AW207" s="35"/>
      <c r="AX207" s="35"/>
      <c r="AY207" s="35"/>
      <c r="AZ207" s="35"/>
      <c r="BA207" s="35"/>
      <c r="BB207" s="35"/>
      <c r="BC207" s="35"/>
    </row>
    <row r="208" spans="1:55" ht="15.75" customHeight="1" x14ac:dyDescent="0.2">
      <c r="A208" s="34"/>
      <c r="B208" s="34"/>
      <c r="C208" s="34"/>
      <c r="D208" s="34"/>
      <c r="E208" s="34"/>
      <c r="AU208" s="35"/>
      <c r="AV208" s="35"/>
      <c r="AW208" s="35"/>
      <c r="AX208" s="35"/>
      <c r="AY208" s="35"/>
      <c r="AZ208" s="35"/>
      <c r="BA208" s="35"/>
      <c r="BB208" s="35"/>
      <c r="BC208" s="35"/>
    </row>
    <row r="209" spans="1:55" ht="15.75" customHeight="1" x14ac:dyDescent="0.2">
      <c r="A209" s="34"/>
      <c r="B209" s="34"/>
      <c r="C209" s="34"/>
      <c r="D209" s="34"/>
      <c r="E209" s="34"/>
      <c r="AU209" s="35"/>
      <c r="AV209" s="35"/>
      <c r="AW209" s="35"/>
      <c r="AX209" s="35"/>
      <c r="AY209" s="35"/>
      <c r="AZ209" s="35"/>
      <c r="BA209" s="35"/>
      <c r="BB209" s="35"/>
      <c r="BC209" s="35"/>
    </row>
    <row r="210" spans="1:55" ht="15.75" customHeight="1" x14ac:dyDescent="0.2">
      <c r="A210" s="34"/>
      <c r="B210" s="34"/>
      <c r="C210" s="34"/>
      <c r="D210" s="34"/>
      <c r="E210" s="34"/>
      <c r="AU210" s="35"/>
      <c r="AV210" s="35"/>
      <c r="AW210" s="35"/>
      <c r="AX210" s="35"/>
      <c r="AY210" s="35"/>
      <c r="AZ210" s="35"/>
      <c r="BA210" s="35"/>
      <c r="BB210" s="35"/>
      <c r="BC210" s="35"/>
    </row>
    <row r="211" spans="1:55" ht="15.75" customHeight="1" x14ac:dyDescent="0.2">
      <c r="A211" s="34"/>
      <c r="B211" s="34"/>
      <c r="C211" s="34"/>
      <c r="D211" s="34"/>
      <c r="E211" s="34"/>
      <c r="AU211" s="35"/>
      <c r="AV211" s="35"/>
      <c r="AW211" s="35"/>
      <c r="AX211" s="35"/>
      <c r="AY211" s="35"/>
      <c r="AZ211" s="35"/>
      <c r="BA211" s="35"/>
      <c r="BB211" s="35"/>
      <c r="BC211" s="35"/>
    </row>
    <row r="212" spans="1:55" ht="15.75" customHeight="1" x14ac:dyDescent="0.2">
      <c r="A212" s="34"/>
      <c r="B212" s="34"/>
      <c r="C212" s="34"/>
      <c r="D212" s="34"/>
      <c r="E212" s="34"/>
      <c r="AU212" s="35"/>
      <c r="AV212" s="35"/>
      <c r="AW212" s="35"/>
      <c r="AX212" s="35"/>
      <c r="AY212" s="35"/>
      <c r="AZ212" s="35"/>
      <c r="BA212" s="35"/>
      <c r="BB212" s="35"/>
      <c r="BC212" s="35"/>
    </row>
    <row r="213" spans="1:55" ht="15.75" customHeight="1" x14ac:dyDescent="0.2">
      <c r="A213" s="34"/>
      <c r="B213" s="34"/>
      <c r="C213" s="34"/>
      <c r="D213" s="34"/>
      <c r="E213" s="34"/>
      <c r="AU213" s="35"/>
      <c r="AV213" s="35"/>
      <c r="AW213" s="35"/>
      <c r="AX213" s="35"/>
      <c r="AY213" s="35"/>
      <c r="AZ213" s="35"/>
      <c r="BA213" s="35"/>
      <c r="BB213" s="35"/>
      <c r="BC213" s="35"/>
    </row>
    <row r="214" spans="1:55" ht="15.75" customHeight="1" x14ac:dyDescent="0.2">
      <c r="A214" s="34"/>
      <c r="B214" s="34"/>
      <c r="C214" s="34"/>
      <c r="D214" s="34"/>
      <c r="E214" s="34"/>
      <c r="AU214" s="35"/>
      <c r="AV214" s="35"/>
      <c r="AW214" s="35"/>
      <c r="AX214" s="35"/>
      <c r="AY214" s="35"/>
      <c r="AZ214" s="35"/>
      <c r="BA214" s="35"/>
      <c r="BB214" s="35"/>
      <c r="BC214" s="35"/>
    </row>
    <row r="215" spans="1:55" ht="15.75" customHeight="1" x14ac:dyDescent="0.2">
      <c r="A215" s="34"/>
      <c r="B215" s="34"/>
      <c r="C215" s="34"/>
      <c r="D215" s="34"/>
      <c r="E215" s="34"/>
      <c r="AU215" s="35"/>
      <c r="AV215" s="35"/>
      <c r="AW215" s="35"/>
      <c r="AX215" s="35"/>
      <c r="AY215" s="35"/>
      <c r="AZ215" s="35"/>
      <c r="BA215" s="35"/>
      <c r="BB215" s="35"/>
      <c r="BC215" s="35"/>
    </row>
    <row r="216" spans="1:55" ht="15.75" customHeight="1" x14ac:dyDescent="0.2">
      <c r="A216" s="34"/>
      <c r="B216" s="34"/>
      <c r="C216" s="34"/>
      <c r="D216" s="34"/>
      <c r="E216" s="34"/>
      <c r="AU216" s="35"/>
      <c r="AV216" s="35"/>
      <c r="AW216" s="35"/>
      <c r="AX216" s="35"/>
      <c r="AY216" s="35"/>
      <c r="AZ216" s="35"/>
      <c r="BA216" s="35"/>
      <c r="BB216" s="35"/>
      <c r="BC216" s="35"/>
    </row>
    <row r="217" spans="1:55" ht="15.75" customHeight="1" x14ac:dyDescent="0.2">
      <c r="A217" s="34"/>
      <c r="B217" s="34"/>
      <c r="C217" s="34"/>
      <c r="D217" s="34"/>
      <c r="E217" s="34"/>
      <c r="AU217" s="35"/>
      <c r="AV217" s="35"/>
      <c r="AW217" s="35"/>
      <c r="AX217" s="35"/>
      <c r="AY217" s="35"/>
      <c r="AZ217" s="35"/>
      <c r="BA217" s="35"/>
      <c r="BB217" s="35"/>
      <c r="BC217" s="35"/>
    </row>
    <row r="218" spans="1:55" ht="15.75" customHeight="1" x14ac:dyDescent="0.2">
      <c r="A218" s="34"/>
      <c r="B218" s="34"/>
      <c r="C218" s="34"/>
      <c r="D218" s="34"/>
      <c r="E218" s="34"/>
      <c r="AU218" s="35"/>
      <c r="AV218" s="35"/>
      <c r="AW218" s="35"/>
      <c r="AX218" s="35"/>
      <c r="AY218" s="35"/>
      <c r="AZ218" s="35"/>
      <c r="BA218" s="35"/>
      <c r="BB218" s="35"/>
      <c r="BC218" s="35"/>
    </row>
    <row r="219" spans="1:55" ht="15.75" customHeight="1" x14ac:dyDescent="0.2">
      <c r="A219" s="34"/>
      <c r="B219" s="34"/>
      <c r="C219" s="34"/>
      <c r="D219" s="34"/>
      <c r="E219" s="34"/>
      <c r="AU219" s="35"/>
      <c r="AV219" s="35"/>
      <c r="AW219" s="35"/>
      <c r="AX219" s="35"/>
      <c r="AY219" s="35"/>
      <c r="AZ219" s="35"/>
      <c r="BA219" s="35"/>
      <c r="BB219" s="35"/>
      <c r="BC219" s="35"/>
    </row>
    <row r="220" spans="1:55" ht="15.75" customHeight="1" x14ac:dyDescent="0.2">
      <c r="A220" s="34"/>
      <c r="B220" s="34"/>
      <c r="C220" s="34"/>
      <c r="D220" s="34"/>
      <c r="E220" s="34"/>
      <c r="AU220" s="35"/>
      <c r="AV220" s="35"/>
      <c r="AW220" s="35"/>
      <c r="AX220" s="35"/>
      <c r="AY220" s="35"/>
      <c r="AZ220" s="35"/>
      <c r="BA220" s="35"/>
      <c r="BB220" s="35"/>
      <c r="BC220" s="35"/>
    </row>
    <row r="221" spans="1:55" ht="15.75" customHeight="1" x14ac:dyDescent="0.2">
      <c r="A221" s="34"/>
      <c r="B221" s="34"/>
      <c r="C221" s="34"/>
      <c r="D221" s="34"/>
      <c r="E221" s="34"/>
      <c r="AU221" s="35"/>
      <c r="AV221" s="35"/>
      <c r="AW221" s="35"/>
      <c r="AX221" s="35"/>
      <c r="AY221" s="35"/>
      <c r="AZ221" s="35"/>
      <c r="BA221" s="35"/>
      <c r="BB221" s="35"/>
      <c r="BC221" s="35"/>
    </row>
    <row r="222" spans="1:55" ht="15.75" customHeight="1" x14ac:dyDescent="0.2">
      <c r="A222" s="34"/>
      <c r="B222" s="34"/>
      <c r="C222" s="34"/>
      <c r="D222" s="34"/>
      <c r="E222" s="34"/>
      <c r="AU222" s="35"/>
      <c r="AV222" s="35"/>
      <c r="AW222" s="35"/>
      <c r="AX222" s="35"/>
      <c r="AY222" s="35"/>
      <c r="AZ222" s="35"/>
      <c r="BA222" s="35"/>
      <c r="BB222" s="35"/>
      <c r="BC222" s="35"/>
    </row>
    <row r="223" spans="1:55" ht="15.75" customHeight="1" x14ac:dyDescent="0.2">
      <c r="A223" s="34"/>
      <c r="B223" s="34"/>
      <c r="C223" s="34"/>
      <c r="D223" s="34"/>
      <c r="E223" s="34"/>
      <c r="AU223" s="35"/>
      <c r="AV223" s="35"/>
      <c r="AW223" s="35"/>
      <c r="AX223" s="35"/>
      <c r="AY223" s="35"/>
      <c r="AZ223" s="35"/>
      <c r="BA223" s="35"/>
      <c r="BB223" s="35"/>
      <c r="BC223" s="35"/>
    </row>
    <row r="224" spans="1:55" ht="15.75" customHeight="1" x14ac:dyDescent="0.2">
      <c r="A224" s="34"/>
      <c r="B224" s="34"/>
      <c r="C224" s="34"/>
      <c r="D224" s="34"/>
      <c r="E224" s="34"/>
      <c r="AU224" s="35"/>
      <c r="AV224" s="35"/>
      <c r="AW224" s="35"/>
      <c r="AX224" s="35"/>
      <c r="AY224" s="35"/>
      <c r="AZ224" s="35"/>
      <c r="BA224" s="35"/>
      <c r="BB224" s="35"/>
      <c r="BC224" s="35"/>
    </row>
    <row r="225" spans="1:55" ht="15.75" customHeight="1" x14ac:dyDescent="0.2">
      <c r="A225" s="34"/>
      <c r="B225" s="34"/>
      <c r="C225" s="34"/>
      <c r="D225" s="34"/>
      <c r="E225" s="34"/>
      <c r="AU225" s="35"/>
      <c r="AV225" s="35"/>
      <c r="AW225" s="35"/>
      <c r="AX225" s="35"/>
      <c r="AY225" s="35"/>
      <c r="AZ225" s="35"/>
      <c r="BA225" s="35"/>
      <c r="BB225" s="35"/>
      <c r="BC225" s="35"/>
    </row>
    <row r="226" spans="1:55" ht="15.75" customHeight="1" x14ac:dyDescent="0.2">
      <c r="A226" s="34"/>
      <c r="B226" s="34"/>
      <c r="C226" s="34"/>
      <c r="D226" s="34"/>
      <c r="E226" s="34"/>
      <c r="AU226" s="35"/>
      <c r="AV226" s="35"/>
      <c r="AW226" s="35"/>
      <c r="AX226" s="35"/>
      <c r="AY226" s="35"/>
      <c r="AZ226" s="35"/>
      <c r="BA226" s="35"/>
      <c r="BB226" s="35"/>
      <c r="BC226" s="35"/>
    </row>
    <row r="227" spans="1:55" ht="15.75" customHeight="1" x14ac:dyDescent="0.2">
      <c r="A227" s="34"/>
      <c r="B227" s="34"/>
      <c r="C227" s="34"/>
      <c r="D227" s="34"/>
      <c r="E227" s="34"/>
      <c r="AU227" s="35"/>
      <c r="AV227" s="35"/>
      <c r="AW227" s="35"/>
      <c r="AX227" s="35"/>
      <c r="AY227" s="35"/>
      <c r="AZ227" s="35"/>
      <c r="BA227" s="35"/>
      <c r="BB227" s="35"/>
      <c r="BC227" s="35"/>
    </row>
    <row r="228" spans="1:55" ht="15.75" customHeight="1" x14ac:dyDescent="0.2">
      <c r="A228" s="34"/>
      <c r="B228" s="34"/>
      <c r="C228" s="34"/>
      <c r="D228" s="34"/>
      <c r="E228" s="34"/>
      <c r="AU228" s="35"/>
      <c r="AV228" s="35"/>
      <c r="AW228" s="35"/>
      <c r="AX228" s="35"/>
      <c r="AY228" s="35"/>
      <c r="AZ228" s="35"/>
      <c r="BA228" s="35"/>
      <c r="BB228" s="35"/>
      <c r="BC228" s="35"/>
    </row>
    <row r="229" spans="1:55" ht="15.75" customHeight="1" x14ac:dyDescent="0.2">
      <c r="A229" s="34"/>
      <c r="B229" s="34"/>
      <c r="C229" s="34"/>
      <c r="D229" s="34"/>
      <c r="E229" s="34"/>
      <c r="AU229" s="35"/>
      <c r="AV229" s="35"/>
      <c r="AW229" s="35"/>
      <c r="AX229" s="35"/>
      <c r="AY229" s="35"/>
      <c r="AZ229" s="35"/>
      <c r="BA229" s="35"/>
      <c r="BB229" s="35"/>
      <c r="BC229" s="35"/>
    </row>
    <row r="230" spans="1:55" ht="15.75" customHeight="1" x14ac:dyDescent="0.2">
      <c r="A230" s="34"/>
      <c r="B230" s="34"/>
      <c r="C230" s="34"/>
      <c r="D230" s="34"/>
      <c r="E230" s="34"/>
      <c r="AU230" s="35"/>
      <c r="AV230" s="35"/>
      <c r="AW230" s="35"/>
      <c r="AX230" s="35"/>
      <c r="AY230" s="35"/>
      <c r="AZ230" s="35"/>
      <c r="BA230" s="35"/>
      <c r="BB230" s="35"/>
      <c r="BC230" s="35"/>
    </row>
    <row r="231" spans="1:55" ht="15.75" customHeight="1" x14ac:dyDescent="0.2">
      <c r="A231" s="34"/>
      <c r="B231" s="34"/>
      <c r="C231" s="34"/>
      <c r="D231" s="34"/>
      <c r="E231" s="34"/>
      <c r="AU231" s="35"/>
      <c r="AV231" s="35"/>
      <c r="AW231" s="35"/>
      <c r="AX231" s="35"/>
      <c r="AY231" s="35"/>
      <c r="AZ231" s="35"/>
      <c r="BA231" s="35"/>
      <c r="BB231" s="35"/>
      <c r="BC231" s="35"/>
    </row>
    <row r="232" spans="1:55" ht="15.75" customHeight="1" x14ac:dyDescent="0.2">
      <c r="A232" s="34"/>
      <c r="B232" s="34"/>
      <c r="C232" s="34"/>
      <c r="D232" s="34"/>
      <c r="E232" s="34"/>
      <c r="AU232" s="35"/>
      <c r="AV232" s="35"/>
      <c r="AW232" s="35"/>
      <c r="AX232" s="35"/>
      <c r="AY232" s="35"/>
      <c r="AZ232" s="35"/>
      <c r="BA232" s="35"/>
      <c r="BB232" s="35"/>
      <c r="BC232" s="35"/>
    </row>
    <row r="233" spans="1:55" ht="15.75" customHeight="1" x14ac:dyDescent="0.2">
      <c r="A233" s="34"/>
      <c r="B233" s="34"/>
      <c r="C233" s="34"/>
      <c r="D233" s="34"/>
      <c r="E233" s="34"/>
      <c r="AU233" s="35"/>
      <c r="AV233" s="35"/>
      <c r="AW233" s="35"/>
      <c r="AX233" s="35"/>
      <c r="AY233" s="35"/>
      <c r="AZ233" s="35"/>
      <c r="BA233" s="35"/>
      <c r="BB233" s="35"/>
      <c r="BC233" s="35"/>
    </row>
    <row r="234" spans="1:55" ht="15.75" customHeight="1" x14ac:dyDescent="0.2">
      <c r="A234" s="34"/>
      <c r="B234" s="34"/>
      <c r="C234" s="34"/>
      <c r="D234" s="34"/>
      <c r="E234" s="34"/>
      <c r="AU234" s="35"/>
      <c r="AV234" s="35"/>
      <c r="AW234" s="35"/>
      <c r="AX234" s="35"/>
      <c r="AY234" s="35"/>
      <c r="AZ234" s="35"/>
      <c r="BA234" s="35"/>
      <c r="BB234" s="35"/>
      <c r="BC234" s="35"/>
    </row>
    <row r="235" spans="1:55" ht="15.75" customHeight="1" x14ac:dyDescent="0.2">
      <c r="A235" s="34"/>
      <c r="B235" s="34"/>
      <c r="C235" s="34"/>
      <c r="D235" s="34"/>
      <c r="E235" s="34"/>
      <c r="AU235" s="35"/>
      <c r="AV235" s="35"/>
      <c r="AW235" s="35"/>
      <c r="AX235" s="35"/>
      <c r="AY235" s="35"/>
      <c r="AZ235" s="35"/>
      <c r="BA235" s="35"/>
      <c r="BB235" s="35"/>
      <c r="BC235" s="35"/>
    </row>
    <row r="236" spans="1:55" ht="15.75" customHeight="1" x14ac:dyDescent="0.2">
      <c r="A236" s="34"/>
      <c r="B236" s="34"/>
      <c r="C236" s="34"/>
      <c r="D236" s="34"/>
      <c r="E236" s="34"/>
      <c r="AU236" s="35"/>
      <c r="AV236" s="35"/>
      <c r="AW236" s="35"/>
      <c r="AX236" s="35"/>
      <c r="AY236" s="35"/>
      <c r="AZ236" s="35"/>
      <c r="BA236" s="35"/>
      <c r="BB236" s="35"/>
      <c r="BC236" s="35"/>
    </row>
    <row r="237" spans="1:55" ht="15.75" customHeight="1" x14ac:dyDescent="0.2">
      <c r="A237" s="34"/>
      <c r="B237" s="34"/>
      <c r="C237" s="34"/>
      <c r="D237" s="34"/>
      <c r="E237" s="34"/>
      <c r="AU237" s="35"/>
      <c r="AV237" s="35"/>
      <c r="AW237" s="35"/>
      <c r="AX237" s="35"/>
      <c r="AY237" s="35"/>
      <c r="AZ237" s="35"/>
      <c r="BA237" s="35"/>
      <c r="BB237" s="35"/>
      <c r="BC237" s="35"/>
    </row>
    <row r="238" spans="1:55" ht="15.75" customHeight="1" x14ac:dyDescent="0.2">
      <c r="A238" s="34"/>
      <c r="B238" s="34"/>
      <c r="C238" s="34"/>
      <c r="D238" s="34"/>
      <c r="E238" s="34"/>
      <c r="AU238" s="35"/>
      <c r="AV238" s="35"/>
      <c r="AW238" s="35"/>
      <c r="AX238" s="35"/>
      <c r="AY238" s="35"/>
      <c r="AZ238" s="35"/>
      <c r="BA238" s="35"/>
      <c r="BB238" s="35"/>
      <c r="BC238" s="35"/>
    </row>
    <row r="239" spans="1:55" ht="15.75" customHeight="1" x14ac:dyDescent="0.2">
      <c r="A239" s="34"/>
      <c r="B239" s="34"/>
      <c r="C239" s="34"/>
      <c r="D239" s="34"/>
      <c r="E239" s="34"/>
      <c r="AU239" s="35"/>
      <c r="AV239" s="35"/>
      <c r="AW239" s="35"/>
      <c r="AX239" s="35"/>
      <c r="AY239" s="35"/>
      <c r="AZ239" s="35"/>
      <c r="BA239" s="35"/>
      <c r="BB239" s="35"/>
      <c r="BC239" s="35"/>
    </row>
    <row r="240" spans="1:55" ht="15.75" customHeight="1" x14ac:dyDescent="0.2">
      <c r="A240" s="34"/>
      <c r="B240" s="34"/>
      <c r="C240" s="34"/>
      <c r="D240" s="34"/>
      <c r="E240" s="34"/>
      <c r="AU240" s="35"/>
      <c r="AV240" s="35"/>
      <c r="AW240" s="35"/>
      <c r="AX240" s="35"/>
      <c r="AY240" s="35"/>
      <c r="AZ240" s="35"/>
      <c r="BA240" s="35"/>
      <c r="BB240" s="35"/>
      <c r="BC240" s="35"/>
    </row>
    <row r="241" spans="1:55" ht="15.75" customHeight="1" x14ac:dyDescent="0.2">
      <c r="A241" s="34"/>
      <c r="B241" s="34"/>
      <c r="C241" s="34"/>
      <c r="D241" s="34"/>
      <c r="E241" s="34"/>
      <c r="AU241" s="35"/>
      <c r="AV241" s="35"/>
      <c r="AW241" s="35"/>
      <c r="AX241" s="35"/>
      <c r="AY241" s="35"/>
      <c r="AZ241" s="35"/>
      <c r="BA241" s="35"/>
      <c r="BB241" s="35"/>
      <c r="BC241" s="35"/>
    </row>
    <row r="242" spans="1:55" ht="15.75" customHeight="1" x14ac:dyDescent="0.2">
      <c r="A242" s="34"/>
      <c r="B242" s="34"/>
      <c r="C242" s="34"/>
      <c r="D242" s="34"/>
      <c r="E242" s="34"/>
      <c r="AU242" s="35"/>
      <c r="AV242" s="35"/>
      <c r="AW242" s="35"/>
      <c r="AX242" s="35"/>
      <c r="AY242" s="35"/>
      <c r="AZ242" s="35"/>
      <c r="BA242" s="35"/>
      <c r="BB242" s="35"/>
      <c r="BC242" s="35"/>
    </row>
    <row r="243" spans="1:55" ht="15.75" customHeight="1" x14ac:dyDescent="0.2">
      <c r="A243" s="34"/>
      <c r="B243" s="34"/>
      <c r="C243" s="34"/>
      <c r="D243" s="34"/>
      <c r="E243" s="34"/>
      <c r="AU243" s="35"/>
      <c r="AV243" s="35"/>
      <c r="AW243" s="35"/>
      <c r="AX243" s="35"/>
      <c r="AY243" s="35"/>
      <c r="AZ243" s="35"/>
      <c r="BA243" s="35"/>
      <c r="BB243" s="35"/>
      <c r="BC243" s="35"/>
    </row>
    <row r="244" spans="1:55" ht="15.75" customHeight="1" x14ac:dyDescent="0.2">
      <c r="A244" s="34"/>
      <c r="B244" s="34"/>
      <c r="C244" s="34"/>
      <c r="D244" s="34"/>
      <c r="E244" s="34"/>
      <c r="AU244" s="35"/>
      <c r="AV244" s="35"/>
      <c r="AW244" s="35"/>
      <c r="AX244" s="35"/>
      <c r="AY244" s="35"/>
      <c r="AZ244" s="35"/>
      <c r="BA244" s="35"/>
      <c r="BB244" s="35"/>
      <c r="BC244" s="35"/>
    </row>
    <row r="245" spans="1:55" ht="15.75" customHeight="1" x14ac:dyDescent="0.2">
      <c r="A245" s="34"/>
      <c r="B245" s="34"/>
      <c r="C245" s="34"/>
      <c r="D245" s="34"/>
      <c r="E245" s="34"/>
      <c r="AU245" s="35"/>
      <c r="AV245" s="35"/>
      <c r="AW245" s="35"/>
      <c r="AX245" s="35"/>
      <c r="AY245" s="35"/>
      <c r="AZ245" s="35"/>
      <c r="BA245" s="35"/>
      <c r="BB245" s="35"/>
      <c r="BC245" s="35"/>
    </row>
    <row r="246" spans="1:55" ht="15.75" customHeight="1" x14ac:dyDescent="0.2">
      <c r="A246" s="34"/>
      <c r="B246" s="34"/>
      <c r="C246" s="34"/>
      <c r="D246" s="34"/>
      <c r="E246" s="34"/>
      <c r="AU246" s="35"/>
      <c r="AV246" s="35"/>
      <c r="AW246" s="35"/>
      <c r="AX246" s="35"/>
      <c r="AY246" s="35"/>
      <c r="AZ246" s="35"/>
      <c r="BA246" s="35"/>
      <c r="BB246" s="35"/>
      <c r="BC246" s="35"/>
    </row>
    <row r="247" spans="1:55" ht="15.75" customHeight="1" x14ac:dyDescent="0.2">
      <c r="A247" s="34"/>
      <c r="B247" s="34"/>
      <c r="C247" s="34"/>
      <c r="D247" s="34"/>
      <c r="E247" s="34"/>
      <c r="AU247" s="35"/>
      <c r="AV247" s="35"/>
      <c r="AW247" s="35"/>
      <c r="AX247" s="35"/>
      <c r="AY247" s="35"/>
      <c r="AZ247" s="35"/>
      <c r="BA247" s="35"/>
      <c r="BB247" s="35"/>
      <c r="BC247" s="35"/>
    </row>
    <row r="248" spans="1:55" ht="15.75" customHeight="1" x14ac:dyDescent="0.2">
      <c r="A248" s="34"/>
      <c r="B248" s="34"/>
      <c r="C248" s="34"/>
      <c r="D248" s="34"/>
      <c r="E248" s="34"/>
      <c r="AU248" s="35"/>
      <c r="AV248" s="35"/>
      <c r="AW248" s="35"/>
      <c r="AX248" s="35"/>
      <c r="AY248" s="35"/>
      <c r="AZ248" s="35"/>
      <c r="BA248" s="35"/>
      <c r="BB248" s="35"/>
      <c r="BC248" s="35"/>
    </row>
    <row r="249" spans="1:55" ht="15.75" customHeight="1" x14ac:dyDescent="0.2">
      <c r="A249" s="34"/>
      <c r="B249" s="34"/>
      <c r="C249" s="34"/>
      <c r="D249" s="34"/>
      <c r="E249" s="34"/>
      <c r="AU249" s="35"/>
      <c r="AV249" s="35"/>
      <c r="AW249" s="35"/>
      <c r="AX249" s="35"/>
      <c r="AY249" s="35"/>
      <c r="AZ249" s="35"/>
      <c r="BA249" s="35"/>
      <c r="BB249" s="35"/>
      <c r="BC249" s="35"/>
    </row>
    <row r="250" spans="1:55" ht="15.75" customHeight="1" x14ac:dyDescent="0.2">
      <c r="A250" s="34"/>
      <c r="B250" s="34"/>
      <c r="C250" s="34"/>
      <c r="D250" s="34"/>
      <c r="E250" s="34"/>
      <c r="AU250" s="35"/>
      <c r="AV250" s="35"/>
      <c r="AW250" s="35"/>
      <c r="AX250" s="35"/>
      <c r="AY250" s="35"/>
      <c r="AZ250" s="35"/>
      <c r="BA250" s="35"/>
      <c r="BB250" s="35"/>
      <c r="BC250" s="35"/>
    </row>
    <row r="251" spans="1:55" ht="15.75" customHeight="1" x14ac:dyDescent="0.2">
      <c r="A251" s="34"/>
      <c r="B251" s="34"/>
      <c r="C251" s="34"/>
      <c r="D251" s="34"/>
      <c r="E251" s="34"/>
      <c r="AU251" s="35"/>
      <c r="AV251" s="35"/>
      <c r="AW251" s="35"/>
      <c r="AX251" s="35"/>
      <c r="AY251" s="35"/>
      <c r="AZ251" s="35"/>
      <c r="BA251" s="35"/>
      <c r="BB251" s="35"/>
      <c r="BC251" s="35"/>
    </row>
    <row r="252" spans="1:55" ht="15.75" customHeight="1" x14ac:dyDescent="0.2">
      <c r="A252" s="34"/>
      <c r="B252" s="34"/>
      <c r="C252" s="34"/>
      <c r="D252" s="34"/>
      <c r="E252" s="34"/>
      <c r="AU252" s="35"/>
      <c r="AV252" s="35"/>
      <c r="AW252" s="35"/>
      <c r="AX252" s="35"/>
      <c r="AY252" s="35"/>
      <c r="AZ252" s="35"/>
      <c r="BA252" s="35"/>
      <c r="BB252" s="35"/>
      <c r="BC252" s="35"/>
    </row>
    <row r="253" spans="1:55" ht="15.75" customHeight="1" x14ac:dyDescent="0.2">
      <c r="A253" s="34"/>
      <c r="B253" s="34"/>
      <c r="C253" s="34"/>
      <c r="D253" s="34"/>
      <c r="E253" s="34"/>
      <c r="AU253" s="35"/>
      <c r="AV253" s="35"/>
      <c r="AW253" s="35"/>
      <c r="AX253" s="35"/>
      <c r="AY253" s="35"/>
      <c r="AZ253" s="35"/>
      <c r="BA253" s="35"/>
      <c r="BB253" s="35"/>
      <c r="BC253" s="35"/>
    </row>
    <row r="254" spans="1:55" ht="15.75" customHeight="1" x14ac:dyDescent="0.2">
      <c r="A254" s="34"/>
      <c r="B254" s="34"/>
      <c r="C254" s="34"/>
      <c r="D254" s="34"/>
      <c r="E254" s="34"/>
      <c r="AU254" s="35"/>
      <c r="AV254" s="35"/>
      <c r="AW254" s="35"/>
      <c r="AX254" s="35"/>
      <c r="AY254" s="35"/>
      <c r="AZ254" s="35"/>
      <c r="BA254" s="35"/>
      <c r="BB254" s="35"/>
      <c r="BC254" s="35"/>
    </row>
    <row r="255" spans="1:55" ht="15.75" customHeight="1" x14ac:dyDescent="0.2">
      <c r="A255" s="34"/>
      <c r="B255" s="34"/>
      <c r="C255" s="34"/>
      <c r="D255" s="34"/>
      <c r="E255" s="34"/>
      <c r="AU255" s="35"/>
      <c r="AV255" s="35"/>
      <c r="AW255" s="35"/>
      <c r="AX255" s="35"/>
      <c r="AY255" s="35"/>
      <c r="AZ255" s="35"/>
      <c r="BA255" s="35"/>
      <c r="BB255" s="35"/>
      <c r="BC255" s="35"/>
    </row>
    <row r="256" spans="1:55" ht="15.75" customHeight="1" x14ac:dyDescent="0.2">
      <c r="A256" s="34"/>
      <c r="B256" s="34"/>
      <c r="C256" s="34"/>
      <c r="D256" s="34"/>
      <c r="E256" s="34"/>
      <c r="AU256" s="35"/>
      <c r="AV256" s="35"/>
      <c r="AW256" s="35"/>
      <c r="AX256" s="35"/>
      <c r="AY256" s="35"/>
      <c r="AZ256" s="35"/>
      <c r="BA256" s="35"/>
      <c r="BB256" s="35"/>
      <c r="BC256" s="35"/>
    </row>
    <row r="257" spans="1:55" ht="15.75" customHeight="1" x14ac:dyDescent="0.2">
      <c r="A257" s="34"/>
      <c r="B257" s="34"/>
      <c r="C257" s="34"/>
      <c r="D257" s="34"/>
      <c r="E257" s="34"/>
      <c r="AU257" s="35"/>
      <c r="AV257" s="35"/>
      <c r="AW257" s="35"/>
      <c r="AX257" s="35"/>
      <c r="AY257" s="35"/>
      <c r="AZ257" s="35"/>
      <c r="BA257" s="35"/>
      <c r="BB257" s="35"/>
      <c r="BC257" s="35"/>
    </row>
    <row r="258" spans="1:55" ht="15.75" customHeight="1" x14ac:dyDescent="0.2">
      <c r="A258" s="34"/>
      <c r="B258" s="34"/>
      <c r="C258" s="34"/>
      <c r="D258" s="34"/>
      <c r="E258" s="34"/>
      <c r="AU258" s="35"/>
      <c r="AV258" s="35"/>
      <c r="AW258" s="35"/>
      <c r="AX258" s="35"/>
      <c r="AY258" s="35"/>
      <c r="AZ258" s="35"/>
      <c r="BA258" s="35"/>
      <c r="BB258" s="35"/>
      <c r="BC258" s="35"/>
    </row>
    <row r="259" spans="1:55" ht="15.75" customHeight="1" x14ac:dyDescent="0.2">
      <c r="A259" s="34"/>
      <c r="B259" s="34"/>
      <c r="C259" s="34"/>
      <c r="D259" s="34"/>
      <c r="E259" s="34"/>
      <c r="AU259" s="35"/>
      <c r="AV259" s="35"/>
      <c r="AW259" s="35"/>
      <c r="AX259" s="35"/>
      <c r="AY259" s="35"/>
      <c r="AZ259" s="35"/>
      <c r="BA259" s="35"/>
      <c r="BB259" s="35"/>
      <c r="BC259" s="35"/>
    </row>
    <row r="260" spans="1:55" ht="15.75" customHeight="1" x14ac:dyDescent="0.2">
      <c r="A260" s="34"/>
      <c r="B260" s="34"/>
      <c r="C260" s="34"/>
      <c r="D260" s="34"/>
      <c r="E260" s="34"/>
      <c r="AU260" s="35"/>
      <c r="AV260" s="35"/>
      <c r="AW260" s="35"/>
      <c r="AX260" s="35"/>
      <c r="AY260" s="35"/>
      <c r="AZ260" s="35"/>
      <c r="BA260" s="35"/>
      <c r="BB260" s="35"/>
      <c r="BC260" s="35"/>
    </row>
    <row r="261" spans="1:55" ht="15.75" customHeight="1" x14ac:dyDescent="0.2">
      <c r="A261" s="34"/>
      <c r="B261" s="34"/>
      <c r="C261" s="34"/>
      <c r="D261" s="34"/>
      <c r="E261" s="34"/>
      <c r="AU261" s="35"/>
      <c r="AV261" s="35"/>
      <c r="AW261" s="35"/>
      <c r="AX261" s="35"/>
      <c r="AY261" s="35"/>
      <c r="AZ261" s="35"/>
      <c r="BA261" s="35"/>
      <c r="BB261" s="35"/>
      <c r="BC261" s="35"/>
    </row>
    <row r="262" spans="1:55" ht="15.75" customHeight="1" x14ac:dyDescent="0.2">
      <c r="A262" s="34"/>
      <c r="B262" s="34"/>
      <c r="C262" s="34"/>
      <c r="D262" s="34"/>
      <c r="E262" s="34"/>
      <c r="AU262" s="35"/>
      <c r="AV262" s="35"/>
      <c r="AW262" s="35"/>
      <c r="AX262" s="35"/>
      <c r="AY262" s="35"/>
      <c r="AZ262" s="35"/>
      <c r="BA262" s="35"/>
      <c r="BB262" s="35"/>
      <c r="BC262" s="35"/>
    </row>
    <row r="263" spans="1:55" ht="15.75" customHeight="1" x14ac:dyDescent="0.2">
      <c r="A263" s="34"/>
      <c r="B263" s="34"/>
      <c r="C263" s="34"/>
      <c r="D263" s="34"/>
      <c r="E263" s="34"/>
      <c r="AU263" s="35"/>
      <c r="AV263" s="35"/>
      <c r="AW263" s="35"/>
      <c r="AX263" s="35"/>
      <c r="AY263" s="35"/>
      <c r="AZ263" s="35"/>
      <c r="BA263" s="35"/>
      <c r="BB263" s="35"/>
      <c r="BC263" s="35"/>
    </row>
    <row r="264" spans="1:55" ht="15.75" customHeight="1" x14ac:dyDescent="0.2">
      <c r="A264" s="34"/>
      <c r="B264" s="34"/>
      <c r="C264" s="34"/>
      <c r="D264" s="34"/>
      <c r="E264" s="34"/>
      <c r="AU264" s="35"/>
      <c r="AV264" s="35"/>
      <c r="AW264" s="35"/>
      <c r="AX264" s="35"/>
      <c r="AY264" s="35"/>
      <c r="AZ264" s="35"/>
      <c r="BA264" s="35"/>
      <c r="BB264" s="35"/>
      <c r="BC264" s="35"/>
    </row>
    <row r="265" spans="1:55" ht="15.75" customHeight="1" x14ac:dyDescent="0.2">
      <c r="A265" s="34"/>
      <c r="B265" s="34"/>
      <c r="C265" s="34"/>
      <c r="D265" s="34"/>
      <c r="E265" s="34"/>
      <c r="AU265" s="35"/>
      <c r="AV265" s="35"/>
      <c r="AW265" s="35"/>
      <c r="AX265" s="35"/>
      <c r="AY265" s="35"/>
      <c r="AZ265" s="35"/>
      <c r="BA265" s="35"/>
      <c r="BB265" s="35"/>
      <c r="BC265" s="35"/>
    </row>
    <row r="266" spans="1:55" ht="15.75" customHeight="1" x14ac:dyDescent="0.2">
      <c r="A266" s="34"/>
      <c r="B266" s="34"/>
      <c r="C266" s="34"/>
      <c r="D266" s="34"/>
      <c r="E266" s="34"/>
      <c r="AU266" s="35"/>
      <c r="AV266" s="35"/>
      <c r="AW266" s="35"/>
      <c r="AX266" s="35"/>
      <c r="AY266" s="35"/>
      <c r="AZ266" s="35"/>
      <c r="BA266" s="35"/>
      <c r="BB266" s="35"/>
      <c r="BC266" s="35"/>
    </row>
    <row r="267" spans="1:55" ht="15.75" customHeight="1" x14ac:dyDescent="0.2">
      <c r="A267" s="34"/>
      <c r="B267" s="34"/>
      <c r="C267" s="34"/>
      <c r="D267" s="34"/>
      <c r="E267" s="34"/>
      <c r="AU267" s="35"/>
      <c r="AV267" s="35"/>
      <c r="AW267" s="35"/>
      <c r="AX267" s="35"/>
      <c r="AY267" s="35"/>
      <c r="AZ267" s="35"/>
      <c r="BA267" s="35"/>
      <c r="BB267" s="35"/>
      <c r="BC267" s="35"/>
    </row>
    <row r="268" spans="1:55" ht="15.75" customHeight="1" x14ac:dyDescent="0.2">
      <c r="A268" s="34"/>
      <c r="B268" s="34"/>
      <c r="C268" s="34"/>
      <c r="D268" s="34"/>
      <c r="E268" s="34"/>
      <c r="AU268" s="35"/>
      <c r="AV268" s="35"/>
      <c r="AW268" s="35"/>
      <c r="AX268" s="35"/>
      <c r="AY268" s="35"/>
      <c r="AZ268" s="35"/>
      <c r="BA268" s="35"/>
      <c r="BB268" s="35"/>
      <c r="BC268" s="35"/>
    </row>
    <row r="269" spans="1:55" ht="15.75" customHeight="1" x14ac:dyDescent="0.2">
      <c r="A269" s="34"/>
      <c r="B269" s="34"/>
      <c r="C269" s="34"/>
      <c r="D269" s="34"/>
      <c r="E269" s="34"/>
      <c r="AU269" s="35"/>
      <c r="AV269" s="35"/>
      <c r="AW269" s="35"/>
      <c r="AX269" s="35"/>
      <c r="AY269" s="35"/>
      <c r="AZ269" s="35"/>
      <c r="BA269" s="35"/>
      <c r="BB269" s="35"/>
      <c r="BC269" s="35"/>
    </row>
    <row r="270" spans="1:55" ht="15.75" customHeight="1" x14ac:dyDescent="0.2">
      <c r="A270" s="34"/>
      <c r="B270" s="34"/>
      <c r="C270" s="34"/>
      <c r="D270" s="34"/>
      <c r="E270" s="34"/>
      <c r="AU270" s="35"/>
      <c r="AV270" s="35"/>
      <c r="AW270" s="35"/>
      <c r="AX270" s="35"/>
      <c r="AY270" s="35"/>
      <c r="AZ270" s="35"/>
      <c r="BA270" s="35"/>
      <c r="BB270" s="35"/>
      <c r="BC270" s="35"/>
    </row>
    <row r="271" spans="1:55" ht="15.75" customHeight="1" x14ac:dyDescent="0.2">
      <c r="A271" s="34"/>
      <c r="B271" s="34"/>
      <c r="C271" s="34"/>
      <c r="D271" s="34"/>
      <c r="E271" s="34"/>
      <c r="AU271" s="35"/>
      <c r="AV271" s="35"/>
      <c r="AW271" s="35"/>
      <c r="AX271" s="35"/>
      <c r="AY271" s="35"/>
      <c r="AZ271" s="35"/>
      <c r="BA271" s="35"/>
      <c r="BB271" s="35"/>
      <c r="BC271" s="35"/>
    </row>
    <row r="272" spans="1:55" ht="15.75" customHeight="1" x14ac:dyDescent="0.2">
      <c r="A272" s="34"/>
      <c r="B272" s="34"/>
      <c r="C272" s="34"/>
      <c r="D272" s="34"/>
      <c r="E272" s="34"/>
      <c r="AU272" s="35"/>
      <c r="AV272" s="35"/>
      <c r="AW272" s="35"/>
      <c r="AX272" s="35"/>
      <c r="AY272" s="35"/>
      <c r="AZ272" s="35"/>
      <c r="BA272" s="35"/>
      <c r="BB272" s="35"/>
      <c r="BC272" s="35"/>
    </row>
    <row r="273" spans="1:55" ht="15.75" customHeight="1" x14ac:dyDescent="0.2">
      <c r="A273" s="34"/>
      <c r="B273" s="34"/>
      <c r="C273" s="34"/>
      <c r="D273" s="34"/>
      <c r="E273" s="34"/>
      <c r="AU273" s="35"/>
      <c r="AV273" s="35"/>
      <c r="AW273" s="35"/>
      <c r="AX273" s="35"/>
      <c r="AY273" s="35"/>
      <c r="AZ273" s="35"/>
      <c r="BA273" s="35"/>
      <c r="BB273" s="35"/>
      <c r="BC273" s="35"/>
    </row>
    <row r="274" spans="1:55" ht="15.75" customHeight="1" x14ac:dyDescent="0.2">
      <c r="A274" s="34"/>
      <c r="B274" s="34"/>
      <c r="C274" s="34"/>
      <c r="D274" s="34"/>
      <c r="E274" s="34"/>
      <c r="AU274" s="35"/>
      <c r="AV274" s="35"/>
      <c r="AW274" s="35"/>
      <c r="AX274" s="35"/>
      <c r="AY274" s="35"/>
      <c r="AZ274" s="35"/>
      <c r="BA274" s="35"/>
      <c r="BB274" s="35"/>
      <c r="BC274" s="35"/>
    </row>
    <row r="275" spans="1:55" ht="15.75" customHeight="1" x14ac:dyDescent="0.2">
      <c r="A275" s="34"/>
      <c r="B275" s="34"/>
      <c r="C275" s="34"/>
      <c r="D275" s="34"/>
      <c r="E275" s="34"/>
      <c r="AU275" s="35"/>
      <c r="AV275" s="35"/>
      <c r="AW275" s="35"/>
      <c r="AX275" s="35"/>
      <c r="AY275" s="35"/>
      <c r="AZ275" s="35"/>
      <c r="BA275" s="35"/>
      <c r="BB275" s="35"/>
      <c r="BC275" s="35"/>
    </row>
    <row r="276" spans="1:55" ht="15.75" customHeight="1" x14ac:dyDescent="0.2">
      <c r="A276" s="34"/>
      <c r="B276" s="34"/>
      <c r="C276" s="34"/>
      <c r="D276" s="34"/>
      <c r="E276" s="34"/>
      <c r="AU276" s="35"/>
      <c r="AV276" s="35"/>
      <c r="AW276" s="35"/>
      <c r="AX276" s="35"/>
      <c r="AY276" s="35"/>
      <c r="AZ276" s="35"/>
      <c r="BA276" s="35"/>
      <c r="BB276" s="35"/>
      <c r="BC276" s="35"/>
    </row>
    <row r="277" spans="1:55" ht="15.75" customHeight="1" x14ac:dyDescent="0.2">
      <c r="A277" s="34"/>
      <c r="B277" s="34"/>
      <c r="C277" s="34"/>
      <c r="D277" s="34"/>
      <c r="E277" s="34"/>
      <c r="AU277" s="35"/>
      <c r="AV277" s="35"/>
      <c r="AW277" s="35"/>
      <c r="AX277" s="35"/>
      <c r="AY277" s="35"/>
      <c r="AZ277" s="35"/>
      <c r="BA277" s="35"/>
      <c r="BB277" s="35"/>
      <c r="BC277" s="35"/>
    </row>
    <row r="278" spans="1:55" ht="15.75" customHeight="1" x14ac:dyDescent="0.2">
      <c r="A278" s="34"/>
      <c r="B278" s="34"/>
      <c r="C278" s="34"/>
      <c r="D278" s="34"/>
      <c r="E278" s="34"/>
      <c r="AU278" s="35"/>
      <c r="AV278" s="35"/>
      <c r="AW278" s="35"/>
      <c r="AX278" s="35"/>
      <c r="AY278" s="35"/>
      <c r="AZ278" s="35"/>
      <c r="BA278" s="35"/>
      <c r="BB278" s="35"/>
      <c r="BC278" s="35"/>
    </row>
    <row r="279" spans="1:55" ht="15.75" customHeight="1" x14ac:dyDescent="0.2">
      <c r="A279" s="34"/>
      <c r="B279" s="34"/>
      <c r="C279" s="34"/>
      <c r="D279" s="34"/>
      <c r="E279" s="34"/>
      <c r="AU279" s="35"/>
      <c r="AV279" s="35"/>
      <c r="AW279" s="35"/>
      <c r="AX279" s="35"/>
      <c r="AY279" s="35"/>
      <c r="AZ279" s="35"/>
      <c r="BA279" s="35"/>
      <c r="BB279" s="35"/>
      <c r="BC279" s="35"/>
    </row>
    <row r="280" spans="1:55" ht="15.75" customHeight="1" x14ac:dyDescent="0.2">
      <c r="A280" s="34"/>
      <c r="B280" s="34"/>
      <c r="C280" s="34"/>
      <c r="D280" s="34"/>
      <c r="E280" s="34"/>
      <c r="AU280" s="35"/>
      <c r="AV280" s="35"/>
      <c r="AW280" s="35"/>
      <c r="AX280" s="35"/>
      <c r="AY280" s="35"/>
      <c r="AZ280" s="35"/>
      <c r="BA280" s="35"/>
      <c r="BB280" s="35"/>
      <c r="BC280" s="35"/>
    </row>
    <row r="281" spans="1:55" ht="15.75" customHeight="1" x14ac:dyDescent="0.2">
      <c r="A281" s="34"/>
      <c r="B281" s="34"/>
      <c r="C281" s="34"/>
      <c r="D281" s="34"/>
      <c r="E281" s="34"/>
      <c r="AU281" s="35"/>
      <c r="AV281" s="35"/>
      <c r="AW281" s="35"/>
      <c r="AX281" s="35"/>
      <c r="AY281" s="35"/>
      <c r="AZ281" s="35"/>
      <c r="BA281" s="35"/>
      <c r="BB281" s="35"/>
      <c r="BC281" s="35"/>
    </row>
    <row r="282" spans="1:55" ht="15.75" customHeight="1" x14ac:dyDescent="0.2">
      <c r="A282" s="34"/>
      <c r="B282" s="34"/>
      <c r="C282" s="34"/>
      <c r="D282" s="34"/>
      <c r="E282" s="34"/>
      <c r="AU282" s="35"/>
      <c r="AV282" s="35"/>
      <c r="AW282" s="35"/>
      <c r="AX282" s="35"/>
      <c r="AY282" s="35"/>
      <c r="AZ282" s="35"/>
      <c r="BA282" s="35"/>
      <c r="BB282" s="35"/>
      <c r="BC282" s="35"/>
    </row>
    <row r="283" spans="1:55" ht="15.75" customHeight="1" x14ac:dyDescent="0.2">
      <c r="A283" s="34"/>
      <c r="B283" s="34"/>
      <c r="C283" s="34"/>
      <c r="D283" s="34"/>
      <c r="E283" s="34"/>
      <c r="AU283" s="35"/>
      <c r="AV283" s="35"/>
      <c r="AW283" s="35"/>
      <c r="AX283" s="35"/>
      <c r="AY283" s="35"/>
      <c r="AZ283" s="35"/>
      <c r="BA283" s="35"/>
      <c r="BB283" s="35"/>
      <c r="BC283" s="35"/>
    </row>
    <row r="284" spans="1:55" ht="15.75" customHeight="1" x14ac:dyDescent="0.2">
      <c r="A284" s="34"/>
      <c r="B284" s="34"/>
      <c r="C284" s="34"/>
      <c r="D284" s="34"/>
      <c r="E284" s="34"/>
      <c r="AU284" s="35"/>
      <c r="AV284" s="35"/>
      <c r="AW284" s="35"/>
      <c r="AX284" s="35"/>
      <c r="AY284" s="35"/>
      <c r="AZ284" s="35"/>
      <c r="BA284" s="35"/>
      <c r="BB284" s="35"/>
      <c r="BC284" s="35"/>
    </row>
    <row r="285" spans="1:55" ht="15.75" customHeight="1" x14ac:dyDescent="0.2">
      <c r="A285" s="34"/>
      <c r="B285" s="34"/>
      <c r="C285" s="34"/>
      <c r="D285" s="34"/>
      <c r="E285" s="34"/>
      <c r="AU285" s="35"/>
      <c r="AV285" s="35"/>
      <c r="AW285" s="35"/>
      <c r="AX285" s="35"/>
      <c r="AY285" s="35"/>
      <c r="AZ285" s="35"/>
      <c r="BA285" s="35"/>
      <c r="BB285" s="35"/>
      <c r="BC285" s="35"/>
    </row>
    <row r="286" spans="1:55" ht="15.75" customHeight="1" x14ac:dyDescent="0.2">
      <c r="A286" s="34"/>
      <c r="B286" s="34"/>
      <c r="C286" s="34"/>
      <c r="D286" s="34"/>
      <c r="E286" s="34"/>
      <c r="AU286" s="35"/>
      <c r="AV286" s="35"/>
      <c r="AW286" s="35"/>
      <c r="AX286" s="35"/>
      <c r="AY286" s="35"/>
      <c r="AZ286" s="35"/>
      <c r="BA286" s="35"/>
      <c r="BB286" s="35"/>
      <c r="BC286" s="35"/>
    </row>
    <row r="287" spans="1:55" ht="15.75" customHeight="1" x14ac:dyDescent="0.2">
      <c r="A287" s="34"/>
      <c r="B287" s="34"/>
      <c r="C287" s="34"/>
      <c r="D287" s="34"/>
      <c r="E287" s="34"/>
      <c r="AU287" s="35"/>
      <c r="AV287" s="35"/>
      <c r="AW287" s="35"/>
      <c r="AX287" s="35"/>
      <c r="AY287" s="35"/>
      <c r="AZ287" s="35"/>
      <c r="BA287" s="35"/>
      <c r="BB287" s="35"/>
      <c r="BC287" s="35"/>
    </row>
    <row r="288" spans="1:55" ht="15.75" customHeight="1" x14ac:dyDescent="0.2">
      <c r="A288" s="34"/>
      <c r="B288" s="34"/>
      <c r="C288" s="34"/>
      <c r="D288" s="34"/>
      <c r="E288" s="34"/>
      <c r="AU288" s="35"/>
      <c r="AV288" s="35"/>
      <c r="AW288" s="35"/>
      <c r="AX288" s="35"/>
      <c r="AY288" s="35"/>
      <c r="AZ288" s="35"/>
      <c r="BA288" s="35"/>
      <c r="BB288" s="35"/>
      <c r="BC288" s="35"/>
    </row>
    <row r="289" spans="1:55" ht="15.75" customHeight="1" x14ac:dyDescent="0.2">
      <c r="A289" s="34"/>
      <c r="B289" s="34"/>
      <c r="C289" s="34"/>
      <c r="D289" s="34"/>
      <c r="E289" s="34"/>
      <c r="AU289" s="35"/>
      <c r="AV289" s="35"/>
      <c r="AW289" s="35"/>
      <c r="AX289" s="35"/>
      <c r="AY289" s="35"/>
      <c r="AZ289" s="35"/>
      <c r="BA289" s="35"/>
      <c r="BB289" s="35"/>
      <c r="BC289" s="35"/>
    </row>
    <row r="290" spans="1:55" ht="15.75" customHeight="1" x14ac:dyDescent="0.2">
      <c r="A290" s="34"/>
      <c r="B290" s="34"/>
      <c r="C290" s="34"/>
      <c r="D290" s="34"/>
      <c r="E290" s="34"/>
      <c r="AU290" s="35"/>
      <c r="AV290" s="35"/>
      <c r="AW290" s="35"/>
      <c r="AX290" s="35"/>
      <c r="AY290" s="35"/>
      <c r="AZ290" s="35"/>
      <c r="BA290" s="35"/>
      <c r="BB290" s="35"/>
      <c r="BC290" s="35"/>
    </row>
    <row r="291" spans="1:55" ht="15.75" customHeight="1" x14ac:dyDescent="0.2">
      <c r="A291" s="34"/>
      <c r="B291" s="34"/>
      <c r="C291" s="34"/>
      <c r="D291" s="34"/>
      <c r="E291" s="34"/>
      <c r="AU291" s="35"/>
      <c r="AV291" s="35"/>
      <c r="AW291" s="35"/>
      <c r="AX291" s="35"/>
      <c r="AY291" s="35"/>
      <c r="AZ291" s="35"/>
      <c r="BA291" s="35"/>
      <c r="BB291" s="35"/>
      <c r="BC291" s="35"/>
    </row>
    <row r="292" spans="1:55" ht="15.75" customHeight="1" x14ac:dyDescent="0.2">
      <c r="A292" s="34"/>
      <c r="B292" s="34"/>
      <c r="C292" s="34"/>
      <c r="D292" s="34"/>
      <c r="E292" s="34"/>
      <c r="AU292" s="35"/>
      <c r="AV292" s="35"/>
      <c r="AW292" s="35"/>
      <c r="AX292" s="35"/>
      <c r="AY292" s="35"/>
      <c r="AZ292" s="35"/>
      <c r="BA292" s="35"/>
      <c r="BB292" s="35"/>
      <c r="BC292" s="35"/>
    </row>
    <row r="293" spans="1:55" ht="15.75" customHeight="1" x14ac:dyDescent="0.2">
      <c r="A293" s="34"/>
      <c r="B293" s="34"/>
      <c r="C293" s="34"/>
      <c r="D293" s="34"/>
      <c r="E293" s="34"/>
      <c r="AU293" s="35"/>
      <c r="AV293" s="35"/>
      <c r="AW293" s="35"/>
      <c r="AX293" s="35"/>
      <c r="AY293" s="35"/>
      <c r="AZ293" s="35"/>
      <c r="BA293" s="35"/>
      <c r="BB293" s="35"/>
      <c r="BC293" s="35"/>
    </row>
    <row r="294" spans="1:55" ht="15.75" customHeight="1" x14ac:dyDescent="0.2">
      <c r="A294" s="34"/>
      <c r="B294" s="34"/>
      <c r="C294" s="34"/>
      <c r="D294" s="34"/>
      <c r="E294" s="34"/>
      <c r="AU294" s="35"/>
      <c r="AV294" s="35"/>
      <c r="AW294" s="35"/>
      <c r="AX294" s="35"/>
      <c r="AY294" s="35"/>
      <c r="AZ294" s="35"/>
      <c r="BA294" s="35"/>
      <c r="BB294" s="35"/>
      <c r="BC294" s="35"/>
    </row>
    <row r="295" spans="1:55" ht="15.75" customHeight="1" x14ac:dyDescent="0.2">
      <c r="A295" s="34"/>
      <c r="B295" s="34"/>
      <c r="C295" s="34"/>
      <c r="D295" s="34"/>
      <c r="E295" s="34"/>
      <c r="AU295" s="35"/>
      <c r="AV295" s="35"/>
      <c r="AW295" s="35"/>
      <c r="AX295" s="35"/>
      <c r="AY295" s="35"/>
      <c r="AZ295" s="35"/>
      <c r="BA295" s="35"/>
      <c r="BB295" s="35"/>
      <c r="BC295" s="35"/>
    </row>
    <row r="296" spans="1:55" ht="15.75" customHeight="1" x14ac:dyDescent="0.2">
      <c r="A296" s="34"/>
      <c r="B296" s="34"/>
      <c r="C296" s="34"/>
      <c r="D296" s="34"/>
      <c r="E296" s="34"/>
      <c r="AU296" s="35"/>
      <c r="AV296" s="35"/>
      <c r="AW296" s="35"/>
      <c r="AX296" s="35"/>
      <c r="AY296" s="35"/>
      <c r="AZ296" s="35"/>
      <c r="BA296" s="35"/>
      <c r="BB296" s="35"/>
      <c r="BC296" s="35"/>
    </row>
    <row r="297" spans="1:55" ht="15.75" customHeight="1" x14ac:dyDescent="0.2">
      <c r="A297" s="34"/>
      <c r="B297" s="34"/>
      <c r="C297" s="34"/>
      <c r="D297" s="34"/>
      <c r="E297" s="34"/>
      <c r="AU297" s="35"/>
      <c r="AV297" s="35"/>
      <c r="AW297" s="35"/>
      <c r="AX297" s="35"/>
      <c r="AY297" s="35"/>
      <c r="AZ297" s="35"/>
      <c r="BA297" s="35"/>
      <c r="BB297" s="35"/>
      <c r="BC297" s="35"/>
    </row>
    <row r="298" spans="1:55" ht="15.75" customHeight="1" x14ac:dyDescent="0.2">
      <c r="A298" s="34"/>
      <c r="B298" s="34"/>
      <c r="C298" s="34"/>
      <c r="D298" s="34"/>
      <c r="E298" s="34"/>
      <c r="AU298" s="35"/>
      <c r="AV298" s="35"/>
      <c r="AW298" s="35"/>
      <c r="AX298" s="35"/>
      <c r="AY298" s="35"/>
      <c r="AZ298" s="35"/>
      <c r="BA298" s="35"/>
      <c r="BB298" s="35"/>
      <c r="BC298" s="35"/>
    </row>
    <row r="299" spans="1:55" ht="15.75" customHeight="1" x14ac:dyDescent="0.2">
      <c r="A299" s="34"/>
      <c r="B299" s="34"/>
      <c r="C299" s="34"/>
      <c r="D299" s="34"/>
      <c r="E299" s="34"/>
      <c r="AU299" s="35"/>
      <c r="AV299" s="35"/>
      <c r="AW299" s="35"/>
      <c r="AX299" s="35"/>
      <c r="AY299" s="35"/>
      <c r="AZ299" s="35"/>
      <c r="BA299" s="35"/>
      <c r="BB299" s="35"/>
      <c r="BC299" s="35"/>
    </row>
    <row r="300" spans="1:55" ht="15.75" customHeight="1" x14ac:dyDescent="0.2">
      <c r="A300" s="34"/>
      <c r="B300" s="34"/>
      <c r="C300" s="34"/>
      <c r="D300" s="34"/>
      <c r="E300" s="34"/>
      <c r="AU300" s="35"/>
      <c r="AV300" s="35"/>
      <c r="AW300" s="35"/>
      <c r="AX300" s="35"/>
      <c r="AY300" s="35"/>
      <c r="AZ300" s="35"/>
      <c r="BA300" s="35"/>
      <c r="BB300" s="35"/>
      <c r="BC300" s="35"/>
    </row>
    <row r="301" spans="1:55" ht="15.75" customHeight="1" x14ac:dyDescent="0.2">
      <c r="A301" s="34"/>
      <c r="B301" s="34"/>
      <c r="C301" s="34"/>
      <c r="D301" s="34"/>
      <c r="E301" s="34"/>
      <c r="AU301" s="35"/>
      <c r="AV301" s="35"/>
      <c r="AW301" s="35"/>
      <c r="AX301" s="35"/>
      <c r="AY301" s="35"/>
      <c r="AZ301" s="35"/>
      <c r="BA301" s="35"/>
      <c r="BB301" s="35"/>
      <c r="BC301" s="35"/>
    </row>
    <row r="302" spans="1:55" ht="15.75" customHeight="1" x14ac:dyDescent="0.2">
      <c r="A302" s="34"/>
      <c r="B302" s="34"/>
      <c r="C302" s="34"/>
      <c r="D302" s="34"/>
      <c r="E302" s="34"/>
      <c r="AU302" s="35"/>
      <c r="AV302" s="35"/>
      <c r="AW302" s="35"/>
      <c r="AX302" s="35"/>
      <c r="AY302" s="35"/>
      <c r="AZ302" s="35"/>
      <c r="BA302" s="35"/>
      <c r="BB302" s="35"/>
      <c r="BC302" s="35"/>
    </row>
    <row r="303" spans="1:55" ht="15.75" customHeight="1" x14ac:dyDescent="0.2">
      <c r="A303" s="34"/>
      <c r="B303" s="34"/>
      <c r="C303" s="34"/>
      <c r="D303" s="34"/>
      <c r="E303" s="34"/>
      <c r="AU303" s="35"/>
      <c r="AV303" s="35"/>
      <c r="AW303" s="35"/>
      <c r="AX303" s="35"/>
      <c r="AY303" s="35"/>
      <c r="AZ303" s="35"/>
      <c r="BA303" s="35"/>
      <c r="BB303" s="35"/>
      <c r="BC303" s="35"/>
    </row>
    <row r="304" spans="1:55" ht="15.75" customHeight="1" x14ac:dyDescent="0.2">
      <c r="A304" s="34"/>
      <c r="B304" s="34"/>
      <c r="C304" s="34"/>
      <c r="D304" s="34"/>
      <c r="E304" s="34"/>
      <c r="AU304" s="35"/>
      <c r="AV304" s="35"/>
      <c r="AW304" s="35"/>
      <c r="AX304" s="35"/>
      <c r="AY304" s="35"/>
      <c r="AZ304" s="35"/>
      <c r="BA304" s="35"/>
      <c r="BB304" s="35"/>
      <c r="BC304" s="35"/>
    </row>
    <row r="305" spans="1:55" ht="15.75" customHeight="1" x14ac:dyDescent="0.2">
      <c r="A305" s="34"/>
      <c r="B305" s="34"/>
      <c r="C305" s="34"/>
      <c r="D305" s="34"/>
      <c r="E305" s="34"/>
      <c r="AU305" s="35"/>
      <c r="AV305" s="35"/>
      <c r="AW305" s="35"/>
      <c r="AX305" s="35"/>
      <c r="AY305" s="35"/>
      <c r="AZ305" s="35"/>
      <c r="BA305" s="35"/>
      <c r="BB305" s="35"/>
      <c r="BC305" s="35"/>
    </row>
    <row r="306" spans="1:55" ht="15.75" customHeight="1" x14ac:dyDescent="0.2">
      <c r="A306" s="34"/>
      <c r="B306" s="34"/>
      <c r="C306" s="34"/>
      <c r="D306" s="34"/>
      <c r="E306" s="34"/>
      <c r="AU306" s="35"/>
      <c r="AV306" s="35"/>
      <c r="AW306" s="35"/>
      <c r="AX306" s="35"/>
      <c r="AY306" s="35"/>
      <c r="AZ306" s="35"/>
      <c r="BA306" s="35"/>
      <c r="BB306" s="35"/>
      <c r="BC306" s="35"/>
    </row>
    <row r="307" spans="1:55" ht="15.75" customHeight="1" x14ac:dyDescent="0.2">
      <c r="A307" s="34"/>
      <c r="B307" s="34"/>
      <c r="C307" s="34"/>
      <c r="D307" s="34"/>
      <c r="E307" s="34"/>
      <c r="AU307" s="35"/>
      <c r="AV307" s="35"/>
      <c r="AW307" s="35"/>
      <c r="AX307" s="35"/>
      <c r="AY307" s="35"/>
      <c r="AZ307" s="35"/>
      <c r="BA307" s="35"/>
      <c r="BB307" s="35"/>
      <c r="BC307" s="35"/>
    </row>
    <row r="308" spans="1:55" ht="15.75" customHeight="1" x14ac:dyDescent="0.2">
      <c r="A308" s="34"/>
      <c r="B308" s="34"/>
      <c r="C308" s="34"/>
      <c r="D308" s="34"/>
      <c r="E308" s="34"/>
      <c r="AU308" s="35"/>
      <c r="AV308" s="35"/>
      <c r="AW308" s="35"/>
      <c r="AX308" s="35"/>
      <c r="AY308" s="35"/>
      <c r="AZ308" s="35"/>
      <c r="BA308" s="35"/>
      <c r="BB308" s="35"/>
      <c r="BC308" s="35"/>
    </row>
    <row r="309" spans="1:55" ht="15.75" customHeight="1" x14ac:dyDescent="0.2">
      <c r="A309" s="34"/>
      <c r="B309" s="34"/>
      <c r="C309" s="34"/>
      <c r="D309" s="34"/>
      <c r="E309" s="34"/>
      <c r="AU309" s="35"/>
      <c r="AV309" s="35"/>
      <c r="AW309" s="35"/>
      <c r="AX309" s="35"/>
      <c r="AY309" s="35"/>
      <c r="AZ309" s="35"/>
      <c r="BA309" s="35"/>
      <c r="BB309" s="35"/>
      <c r="BC309" s="35"/>
    </row>
    <row r="310" spans="1:55" ht="15.75" customHeight="1" x14ac:dyDescent="0.2">
      <c r="A310" s="34"/>
      <c r="B310" s="34"/>
      <c r="C310" s="34"/>
      <c r="D310" s="34"/>
      <c r="E310" s="34"/>
      <c r="AU310" s="35"/>
      <c r="AV310" s="35"/>
      <c r="AW310" s="35"/>
      <c r="AX310" s="35"/>
      <c r="AY310" s="35"/>
      <c r="AZ310" s="35"/>
      <c r="BA310" s="35"/>
      <c r="BB310" s="35"/>
      <c r="BC310" s="35"/>
    </row>
    <row r="311" spans="1:55" ht="15.75" customHeight="1" x14ac:dyDescent="0.2">
      <c r="A311" s="34"/>
      <c r="B311" s="34"/>
      <c r="C311" s="34"/>
      <c r="D311" s="34"/>
      <c r="E311" s="34"/>
      <c r="AU311" s="35"/>
      <c r="AV311" s="35"/>
      <c r="AW311" s="35"/>
      <c r="AX311" s="35"/>
      <c r="AY311" s="35"/>
      <c r="AZ311" s="35"/>
      <c r="BA311" s="35"/>
      <c r="BB311" s="35"/>
      <c r="BC311" s="35"/>
    </row>
    <row r="312" spans="1:55" ht="15.75" customHeight="1" x14ac:dyDescent="0.2">
      <c r="A312" s="34"/>
      <c r="B312" s="34"/>
      <c r="C312" s="34"/>
      <c r="D312" s="34"/>
      <c r="E312" s="34"/>
      <c r="AU312" s="35"/>
      <c r="AV312" s="35"/>
      <c r="AW312" s="35"/>
      <c r="AX312" s="35"/>
      <c r="AY312" s="35"/>
      <c r="AZ312" s="35"/>
      <c r="BA312" s="35"/>
      <c r="BB312" s="35"/>
      <c r="BC312" s="35"/>
    </row>
    <row r="313" spans="1:55" ht="15.75" customHeight="1" x14ac:dyDescent="0.2">
      <c r="A313" s="34"/>
      <c r="B313" s="34"/>
      <c r="C313" s="34"/>
      <c r="D313" s="34"/>
      <c r="E313" s="34"/>
      <c r="AU313" s="35"/>
      <c r="AV313" s="35"/>
      <c r="AW313" s="35"/>
      <c r="AX313" s="35"/>
      <c r="AY313" s="35"/>
      <c r="AZ313" s="35"/>
      <c r="BA313" s="35"/>
      <c r="BB313" s="35"/>
      <c r="BC313" s="35"/>
    </row>
    <row r="314" spans="1:55" ht="15.75" customHeight="1" x14ac:dyDescent="0.2">
      <c r="A314" s="34"/>
      <c r="B314" s="34"/>
      <c r="C314" s="34"/>
      <c r="D314" s="34"/>
      <c r="E314" s="34"/>
      <c r="AU314" s="35"/>
      <c r="AV314" s="35"/>
      <c r="AW314" s="35"/>
      <c r="AX314" s="35"/>
      <c r="AY314" s="35"/>
      <c r="AZ314" s="35"/>
      <c r="BA314" s="35"/>
      <c r="BB314" s="35"/>
      <c r="BC314" s="35"/>
    </row>
    <row r="315" spans="1:55" ht="15.75" customHeight="1" x14ac:dyDescent="0.2">
      <c r="A315" s="34"/>
      <c r="B315" s="34"/>
      <c r="C315" s="34"/>
      <c r="D315" s="34"/>
      <c r="E315" s="34"/>
      <c r="AU315" s="35"/>
      <c r="AV315" s="35"/>
      <c r="AW315" s="35"/>
      <c r="AX315" s="35"/>
      <c r="AY315" s="35"/>
      <c r="AZ315" s="35"/>
      <c r="BA315" s="35"/>
      <c r="BB315" s="35"/>
      <c r="BC315" s="35"/>
    </row>
    <row r="316" spans="1:55" ht="15.75" customHeight="1" x14ac:dyDescent="0.2">
      <c r="A316" s="34"/>
      <c r="B316" s="34"/>
      <c r="C316" s="34"/>
      <c r="D316" s="34"/>
      <c r="E316" s="34"/>
      <c r="AU316" s="35"/>
      <c r="AV316" s="35"/>
      <c r="AW316" s="35"/>
      <c r="AX316" s="35"/>
      <c r="AY316" s="35"/>
      <c r="AZ316" s="35"/>
      <c r="BA316" s="35"/>
      <c r="BB316" s="35"/>
      <c r="BC316" s="35"/>
    </row>
    <row r="317" spans="1:55" ht="15.75" customHeight="1" x14ac:dyDescent="0.2">
      <c r="A317" s="34"/>
      <c r="B317" s="34"/>
      <c r="C317" s="34"/>
      <c r="D317" s="34"/>
      <c r="E317" s="34"/>
      <c r="AU317" s="35"/>
      <c r="AV317" s="35"/>
      <c r="AW317" s="35"/>
      <c r="AX317" s="35"/>
      <c r="AY317" s="35"/>
      <c r="AZ317" s="35"/>
      <c r="BA317" s="35"/>
      <c r="BB317" s="35"/>
      <c r="BC317" s="35"/>
    </row>
    <row r="318" spans="1:55" ht="15.75" customHeight="1" x14ac:dyDescent="0.2">
      <c r="A318" s="34"/>
      <c r="B318" s="34"/>
      <c r="C318" s="34"/>
      <c r="D318" s="34"/>
      <c r="E318" s="34"/>
      <c r="AU318" s="35"/>
      <c r="AV318" s="35"/>
      <c r="AW318" s="35"/>
      <c r="AX318" s="35"/>
      <c r="AY318" s="35"/>
      <c r="AZ318" s="35"/>
      <c r="BA318" s="35"/>
      <c r="BB318" s="35"/>
      <c r="BC318" s="35"/>
    </row>
    <row r="319" spans="1:55" ht="15.75" customHeight="1" x14ac:dyDescent="0.2">
      <c r="A319" s="34"/>
      <c r="B319" s="34"/>
      <c r="C319" s="34"/>
      <c r="D319" s="34"/>
      <c r="E319" s="34"/>
      <c r="AU319" s="35"/>
      <c r="AV319" s="35"/>
      <c r="AW319" s="35"/>
      <c r="AX319" s="35"/>
      <c r="AY319" s="35"/>
      <c r="AZ319" s="35"/>
      <c r="BA319" s="35"/>
      <c r="BB319" s="35"/>
      <c r="BC319" s="35"/>
    </row>
    <row r="320" spans="1:55" ht="15.75" customHeight="1" x14ac:dyDescent="0.2">
      <c r="A320" s="34"/>
      <c r="B320" s="34"/>
      <c r="C320" s="34"/>
      <c r="D320" s="34"/>
      <c r="E320" s="34"/>
      <c r="AU320" s="35"/>
      <c r="AV320" s="35"/>
      <c r="AW320" s="35"/>
      <c r="AX320" s="35"/>
      <c r="AY320" s="35"/>
      <c r="AZ320" s="35"/>
      <c r="BA320" s="35"/>
      <c r="BB320" s="35"/>
      <c r="BC320" s="35"/>
    </row>
    <row r="321" spans="1:55" ht="15.75" customHeight="1" x14ac:dyDescent="0.2">
      <c r="A321" s="34"/>
      <c r="B321" s="34"/>
      <c r="C321" s="34"/>
      <c r="D321" s="34"/>
      <c r="E321" s="34"/>
      <c r="AU321" s="35"/>
      <c r="AV321" s="35"/>
      <c r="AW321" s="35"/>
      <c r="AX321" s="35"/>
      <c r="AY321" s="35"/>
      <c r="AZ321" s="35"/>
      <c r="BA321" s="35"/>
      <c r="BB321" s="35"/>
      <c r="BC321" s="35"/>
    </row>
    <row r="322" spans="1:55" ht="15.75" customHeight="1" x14ac:dyDescent="0.2">
      <c r="A322" s="34"/>
      <c r="B322" s="34"/>
      <c r="C322" s="34"/>
      <c r="D322" s="34"/>
      <c r="E322" s="34"/>
      <c r="AU322" s="35"/>
      <c r="AV322" s="35"/>
      <c r="AW322" s="35"/>
      <c r="AX322" s="35"/>
      <c r="AY322" s="35"/>
      <c r="AZ322" s="35"/>
      <c r="BA322" s="35"/>
      <c r="BB322" s="35"/>
      <c r="BC322" s="35"/>
    </row>
    <row r="323" spans="1:55" ht="15.75" customHeight="1" x14ac:dyDescent="0.2">
      <c r="A323" s="34"/>
      <c r="B323" s="34"/>
      <c r="C323" s="34"/>
      <c r="D323" s="34"/>
      <c r="E323" s="34"/>
      <c r="AU323" s="35"/>
      <c r="AV323" s="35"/>
      <c r="AW323" s="35"/>
      <c r="AX323" s="35"/>
      <c r="AY323" s="35"/>
      <c r="AZ323" s="35"/>
      <c r="BA323" s="35"/>
      <c r="BB323" s="35"/>
      <c r="BC323" s="35"/>
    </row>
    <row r="324" spans="1:55" ht="15.75" customHeight="1" x14ac:dyDescent="0.2">
      <c r="A324" s="34"/>
      <c r="B324" s="34"/>
      <c r="C324" s="34"/>
      <c r="D324" s="34"/>
      <c r="E324" s="34"/>
      <c r="AU324" s="35"/>
      <c r="AV324" s="35"/>
      <c r="AW324" s="35"/>
      <c r="AX324" s="35"/>
      <c r="AY324" s="35"/>
      <c r="AZ324" s="35"/>
      <c r="BA324" s="35"/>
      <c r="BB324" s="35"/>
      <c r="BC324" s="35"/>
    </row>
    <row r="325" spans="1:55" ht="15.75" customHeight="1" x14ac:dyDescent="0.2">
      <c r="A325" s="34"/>
      <c r="B325" s="34"/>
      <c r="C325" s="34"/>
      <c r="D325" s="34"/>
      <c r="E325" s="34"/>
      <c r="AU325" s="35"/>
      <c r="AV325" s="35"/>
      <c r="AW325" s="35"/>
      <c r="AX325" s="35"/>
      <c r="AY325" s="35"/>
      <c r="AZ325" s="35"/>
      <c r="BA325" s="35"/>
      <c r="BB325" s="35"/>
      <c r="BC325" s="35"/>
    </row>
    <row r="326" spans="1:55" ht="15.75" customHeight="1" x14ac:dyDescent="0.2">
      <c r="A326" s="34"/>
      <c r="B326" s="34"/>
      <c r="C326" s="34"/>
      <c r="D326" s="34"/>
      <c r="E326" s="34"/>
      <c r="AU326" s="35"/>
      <c r="AV326" s="35"/>
      <c r="AW326" s="35"/>
      <c r="AX326" s="35"/>
      <c r="AY326" s="35"/>
      <c r="AZ326" s="35"/>
      <c r="BA326" s="35"/>
      <c r="BB326" s="35"/>
      <c r="BC326" s="35"/>
    </row>
    <row r="327" spans="1:55" ht="15.75" customHeight="1" x14ac:dyDescent="0.2">
      <c r="A327" s="34"/>
      <c r="B327" s="34"/>
      <c r="C327" s="34"/>
      <c r="D327" s="34"/>
      <c r="E327" s="34"/>
      <c r="AU327" s="35"/>
      <c r="AV327" s="35"/>
      <c r="AW327" s="35"/>
      <c r="AX327" s="35"/>
      <c r="AY327" s="35"/>
      <c r="AZ327" s="35"/>
      <c r="BA327" s="35"/>
      <c r="BB327" s="35"/>
      <c r="BC327" s="35"/>
    </row>
    <row r="328" spans="1:55" ht="15.75" customHeight="1" x14ac:dyDescent="0.2">
      <c r="A328" s="34"/>
      <c r="B328" s="34"/>
      <c r="C328" s="34"/>
      <c r="D328" s="34"/>
      <c r="E328" s="34"/>
      <c r="AU328" s="35"/>
      <c r="AV328" s="35"/>
      <c r="AW328" s="35"/>
      <c r="AX328" s="35"/>
      <c r="AY328" s="35"/>
      <c r="AZ328" s="35"/>
      <c r="BA328" s="35"/>
      <c r="BB328" s="35"/>
      <c r="BC328" s="35"/>
    </row>
    <row r="329" spans="1:55" ht="15.75" customHeight="1" x14ac:dyDescent="0.2">
      <c r="A329" s="34"/>
      <c r="B329" s="34"/>
      <c r="C329" s="34"/>
      <c r="D329" s="34"/>
      <c r="E329" s="34"/>
      <c r="AU329" s="35"/>
      <c r="AV329" s="35"/>
      <c r="AW329" s="35"/>
      <c r="AX329" s="35"/>
      <c r="AY329" s="35"/>
      <c r="AZ329" s="35"/>
      <c r="BA329" s="35"/>
      <c r="BB329" s="35"/>
      <c r="BC329" s="35"/>
    </row>
    <row r="330" spans="1:55" ht="15.75" customHeight="1" x14ac:dyDescent="0.2">
      <c r="A330" s="34"/>
      <c r="B330" s="34"/>
      <c r="C330" s="34"/>
      <c r="D330" s="34"/>
      <c r="E330" s="34"/>
      <c r="AU330" s="35"/>
      <c r="AV330" s="35"/>
      <c r="AW330" s="35"/>
      <c r="AX330" s="35"/>
      <c r="AY330" s="35"/>
      <c r="AZ330" s="35"/>
      <c r="BA330" s="35"/>
      <c r="BB330" s="35"/>
      <c r="BC330" s="35"/>
    </row>
    <row r="331" spans="1:55" ht="15.75" customHeight="1" x14ac:dyDescent="0.2">
      <c r="A331" s="34"/>
      <c r="B331" s="34"/>
      <c r="C331" s="34"/>
      <c r="D331" s="34"/>
      <c r="E331" s="34"/>
      <c r="AU331" s="35"/>
      <c r="AV331" s="35"/>
      <c r="AW331" s="35"/>
      <c r="AX331" s="35"/>
      <c r="AY331" s="35"/>
      <c r="AZ331" s="35"/>
      <c r="BA331" s="35"/>
      <c r="BB331" s="35"/>
      <c r="BC331" s="35"/>
    </row>
    <row r="332" spans="1:55" ht="15.75" customHeight="1" x14ac:dyDescent="0.2">
      <c r="A332" s="34"/>
      <c r="B332" s="34"/>
      <c r="C332" s="34"/>
      <c r="D332" s="34"/>
      <c r="E332" s="34"/>
      <c r="AU332" s="35"/>
      <c r="AV332" s="35"/>
      <c r="AW332" s="35"/>
      <c r="AX332" s="35"/>
      <c r="AY332" s="35"/>
      <c r="AZ332" s="35"/>
      <c r="BA332" s="35"/>
      <c r="BB332" s="35"/>
      <c r="BC332" s="35"/>
    </row>
    <row r="333" spans="1:55" ht="15.75" customHeight="1" x14ac:dyDescent="0.2">
      <c r="A333" s="34"/>
      <c r="B333" s="34"/>
      <c r="C333" s="34"/>
      <c r="D333" s="34"/>
      <c r="E333" s="34"/>
      <c r="AU333" s="35"/>
      <c r="AV333" s="35"/>
      <c r="AW333" s="35"/>
      <c r="AX333" s="35"/>
      <c r="AY333" s="35"/>
      <c r="AZ333" s="35"/>
      <c r="BA333" s="35"/>
      <c r="BB333" s="35"/>
      <c r="BC333" s="35"/>
    </row>
    <row r="334" spans="1:55" ht="15.75" customHeight="1" x14ac:dyDescent="0.2">
      <c r="A334" s="34"/>
      <c r="B334" s="34"/>
      <c r="C334" s="34"/>
      <c r="D334" s="34"/>
      <c r="E334" s="34"/>
      <c r="AU334" s="35"/>
      <c r="AV334" s="35"/>
      <c r="AW334" s="35"/>
      <c r="AX334" s="35"/>
      <c r="AY334" s="35"/>
      <c r="AZ334" s="35"/>
      <c r="BA334" s="35"/>
      <c r="BB334" s="35"/>
      <c r="BC334" s="35"/>
    </row>
    <row r="335" spans="1:55" ht="15.75" customHeight="1" x14ac:dyDescent="0.2">
      <c r="A335" s="34"/>
      <c r="B335" s="34"/>
      <c r="C335" s="34"/>
      <c r="D335" s="34"/>
      <c r="E335" s="34"/>
      <c r="AU335" s="35"/>
      <c r="AV335" s="35"/>
      <c r="AW335" s="35"/>
      <c r="AX335" s="35"/>
      <c r="AY335" s="35"/>
      <c r="AZ335" s="35"/>
      <c r="BA335" s="35"/>
      <c r="BB335" s="35"/>
      <c r="BC335" s="35"/>
    </row>
    <row r="336" spans="1:55" ht="15.75" customHeight="1" x14ac:dyDescent="0.2">
      <c r="A336" s="34"/>
      <c r="B336" s="34"/>
      <c r="C336" s="34"/>
      <c r="D336" s="34"/>
      <c r="E336" s="34"/>
      <c r="AU336" s="35"/>
      <c r="AV336" s="35"/>
      <c r="AW336" s="35"/>
      <c r="AX336" s="35"/>
      <c r="AY336" s="35"/>
      <c r="AZ336" s="35"/>
      <c r="BA336" s="35"/>
      <c r="BB336" s="35"/>
      <c r="BC336" s="35"/>
    </row>
    <row r="337" spans="1:55" ht="15.75" customHeight="1" x14ac:dyDescent="0.2">
      <c r="A337" s="34"/>
      <c r="B337" s="34"/>
      <c r="C337" s="34"/>
      <c r="D337" s="34"/>
      <c r="E337" s="34"/>
      <c r="AU337" s="35"/>
      <c r="AV337" s="35"/>
      <c r="AW337" s="35"/>
      <c r="AX337" s="35"/>
      <c r="AY337" s="35"/>
      <c r="AZ337" s="35"/>
      <c r="BA337" s="35"/>
      <c r="BB337" s="35"/>
      <c r="BC337" s="35"/>
    </row>
    <row r="338" spans="1:55" ht="15.75" customHeight="1" x14ac:dyDescent="0.2">
      <c r="A338" s="34"/>
      <c r="B338" s="34"/>
      <c r="C338" s="34"/>
      <c r="D338" s="34"/>
      <c r="E338" s="34"/>
      <c r="AU338" s="35"/>
      <c r="AV338" s="35"/>
      <c r="AW338" s="35"/>
      <c r="AX338" s="35"/>
      <c r="AY338" s="35"/>
      <c r="AZ338" s="35"/>
      <c r="BA338" s="35"/>
      <c r="BB338" s="35"/>
      <c r="BC338" s="35"/>
    </row>
    <row r="339" spans="1:55" ht="15.75" customHeight="1" x14ac:dyDescent="0.2">
      <c r="A339" s="34"/>
      <c r="B339" s="34"/>
      <c r="C339" s="34"/>
      <c r="D339" s="34"/>
      <c r="E339" s="34"/>
      <c r="AU339" s="35"/>
      <c r="AV339" s="35"/>
      <c r="AW339" s="35"/>
      <c r="AX339" s="35"/>
      <c r="AY339" s="35"/>
      <c r="AZ339" s="35"/>
      <c r="BA339" s="35"/>
      <c r="BB339" s="35"/>
      <c r="BC339" s="35"/>
    </row>
    <row r="340" spans="1:55" ht="15.75" customHeight="1" x14ac:dyDescent="0.2">
      <c r="A340" s="34"/>
      <c r="B340" s="34"/>
      <c r="C340" s="34"/>
      <c r="D340" s="34"/>
      <c r="E340" s="34"/>
      <c r="AU340" s="35"/>
      <c r="AV340" s="35"/>
      <c r="AW340" s="35"/>
      <c r="AX340" s="35"/>
      <c r="AY340" s="35"/>
      <c r="AZ340" s="35"/>
      <c r="BA340" s="35"/>
      <c r="BB340" s="35"/>
      <c r="BC340" s="35"/>
    </row>
    <row r="341" spans="1:55" ht="15.75" customHeight="1" x14ac:dyDescent="0.2">
      <c r="A341" s="34"/>
      <c r="B341" s="34"/>
      <c r="C341" s="34"/>
      <c r="D341" s="34"/>
      <c r="E341" s="34"/>
      <c r="AU341" s="35"/>
      <c r="AV341" s="35"/>
      <c r="AW341" s="35"/>
      <c r="AX341" s="35"/>
      <c r="AY341" s="35"/>
      <c r="AZ341" s="35"/>
      <c r="BA341" s="35"/>
      <c r="BB341" s="35"/>
      <c r="BC341" s="35"/>
    </row>
    <row r="342" spans="1:55" ht="15.75" customHeight="1" x14ac:dyDescent="0.2">
      <c r="A342" s="34"/>
      <c r="B342" s="34"/>
      <c r="C342" s="34"/>
      <c r="D342" s="34"/>
      <c r="E342" s="34"/>
      <c r="AU342" s="35"/>
      <c r="AV342" s="35"/>
      <c r="AW342" s="35"/>
      <c r="AX342" s="35"/>
      <c r="AY342" s="35"/>
      <c r="AZ342" s="35"/>
      <c r="BA342" s="35"/>
      <c r="BB342" s="35"/>
      <c r="BC342" s="35"/>
    </row>
    <row r="343" spans="1:55" ht="15.75" customHeight="1" x14ac:dyDescent="0.2">
      <c r="A343" s="34"/>
      <c r="B343" s="34"/>
      <c r="C343" s="34"/>
      <c r="D343" s="34"/>
      <c r="E343" s="34"/>
      <c r="AU343" s="35"/>
      <c r="AV343" s="35"/>
      <c r="AW343" s="35"/>
      <c r="AX343" s="35"/>
      <c r="AY343" s="35"/>
      <c r="AZ343" s="35"/>
      <c r="BA343" s="35"/>
      <c r="BB343" s="35"/>
      <c r="BC343" s="35"/>
    </row>
    <row r="344" spans="1:55" ht="15.75" customHeight="1" x14ac:dyDescent="0.2">
      <c r="A344" s="34"/>
      <c r="B344" s="34"/>
      <c r="C344" s="34"/>
      <c r="D344" s="34"/>
      <c r="E344" s="34"/>
      <c r="AU344" s="35"/>
      <c r="AV344" s="35"/>
      <c r="AW344" s="35"/>
      <c r="AX344" s="35"/>
      <c r="AY344" s="35"/>
      <c r="AZ344" s="35"/>
      <c r="BA344" s="35"/>
      <c r="BB344" s="35"/>
      <c r="BC344" s="35"/>
    </row>
    <row r="345" spans="1:55" ht="15.75" customHeight="1" x14ac:dyDescent="0.2">
      <c r="A345" s="34"/>
      <c r="B345" s="34"/>
      <c r="C345" s="34"/>
      <c r="D345" s="34"/>
      <c r="E345" s="34"/>
      <c r="AU345" s="35"/>
      <c r="AV345" s="35"/>
      <c r="AW345" s="35"/>
      <c r="AX345" s="35"/>
      <c r="AY345" s="35"/>
      <c r="AZ345" s="35"/>
      <c r="BA345" s="35"/>
      <c r="BB345" s="35"/>
      <c r="BC345" s="35"/>
    </row>
    <row r="346" spans="1:55" ht="15.75" customHeight="1" x14ac:dyDescent="0.2">
      <c r="A346" s="34"/>
      <c r="B346" s="34"/>
      <c r="C346" s="34"/>
      <c r="D346" s="34"/>
      <c r="E346" s="34"/>
      <c r="AU346" s="35"/>
      <c r="AV346" s="35"/>
      <c r="AW346" s="35"/>
      <c r="AX346" s="35"/>
      <c r="AY346" s="35"/>
      <c r="AZ346" s="35"/>
      <c r="BA346" s="35"/>
      <c r="BB346" s="35"/>
      <c r="BC346" s="35"/>
    </row>
    <row r="347" spans="1:55" ht="15.75" customHeight="1" x14ac:dyDescent="0.2">
      <c r="A347" s="34"/>
      <c r="B347" s="34"/>
      <c r="C347" s="34"/>
      <c r="D347" s="34"/>
      <c r="E347" s="34"/>
      <c r="AU347" s="35"/>
      <c r="AV347" s="35"/>
      <c r="AW347" s="35"/>
      <c r="AX347" s="35"/>
      <c r="AY347" s="35"/>
      <c r="AZ347" s="35"/>
      <c r="BA347" s="35"/>
      <c r="BB347" s="35"/>
      <c r="BC347" s="35"/>
    </row>
    <row r="348" spans="1:55" ht="15.75" customHeight="1" x14ac:dyDescent="0.2">
      <c r="A348" s="34"/>
      <c r="B348" s="34"/>
      <c r="C348" s="34"/>
      <c r="D348" s="34"/>
      <c r="E348" s="34"/>
      <c r="AU348" s="35"/>
      <c r="AV348" s="35"/>
      <c r="AW348" s="35"/>
      <c r="AX348" s="35"/>
      <c r="AY348" s="35"/>
      <c r="AZ348" s="35"/>
      <c r="BA348" s="35"/>
      <c r="BB348" s="35"/>
      <c r="BC348" s="35"/>
    </row>
    <row r="349" spans="1:55" ht="15.75" customHeight="1" x14ac:dyDescent="0.2">
      <c r="A349" s="34"/>
      <c r="B349" s="34"/>
      <c r="C349" s="34"/>
      <c r="D349" s="34"/>
      <c r="E349" s="34"/>
      <c r="AU349" s="35"/>
      <c r="AV349" s="35"/>
      <c r="AW349" s="35"/>
      <c r="AX349" s="35"/>
      <c r="AY349" s="35"/>
      <c r="AZ349" s="35"/>
      <c r="BA349" s="35"/>
      <c r="BB349" s="35"/>
      <c r="BC349" s="35"/>
    </row>
    <row r="350" spans="1:55" ht="15.75" customHeight="1" x14ac:dyDescent="0.2">
      <c r="A350" s="34"/>
      <c r="B350" s="34"/>
      <c r="C350" s="34"/>
      <c r="D350" s="34"/>
      <c r="E350" s="34"/>
      <c r="AU350" s="35"/>
      <c r="AV350" s="35"/>
      <c r="AW350" s="35"/>
      <c r="AX350" s="35"/>
      <c r="AY350" s="35"/>
      <c r="AZ350" s="35"/>
      <c r="BA350" s="35"/>
      <c r="BB350" s="35"/>
      <c r="BC350" s="35"/>
    </row>
    <row r="351" spans="1:55" ht="15.75" customHeight="1" x14ac:dyDescent="0.2">
      <c r="A351" s="34"/>
      <c r="B351" s="34"/>
      <c r="C351" s="34"/>
      <c r="D351" s="34"/>
      <c r="E351" s="34"/>
      <c r="AU351" s="35"/>
      <c r="AV351" s="35"/>
      <c r="AW351" s="35"/>
      <c r="AX351" s="35"/>
      <c r="AY351" s="35"/>
      <c r="AZ351" s="35"/>
      <c r="BA351" s="35"/>
      <c r="BB351" s="35"/>
      <c r="BC351" s="35"/>
    </row>
    <row r="352" spans="1:55" ht="15.75" customHeight="1" x14ac:dyDescent="0.2">
      <c r="A352" s="34"/>
      <c r="B352" s="34"/>
      <c r="C352" s="34"/>
      <c r="D352" s="34"/>
      <c r="E352" s="34"/>
      <c r="AU352" s="35"/>
      <c r="AV352" s="35"/>
      <c r="AW352" s="35"/>
      <c r="AX352" s="35"/>
      <c r="AY352" s="35"/>
      <c r="AZ352" s="35"/>
      <c r="BA352" s="35"/>
      <c r="BB352" s="35"/>
      <c r="BC352" s="35"/>
    </row>
    <row r="353" spans="1:55" ht="15.75" customHeight="1" x14ac:dyDescent="0.2">
      <c r="A353" s="34"/>
      <c r="B353" s="34"/>
      <c r="C353" s="34"/>
      <c r="D353" s="34"/>
      <c r="E353" s="34"/>
      <c r="AU353" s="35"/>
      <c r="AV353" s="35"/>
      <c r="AW353" s="35"/>
      <c r="AX353" s="35"/>
      <c r="AY353" s="35"/>
      <c r="AZ353" s="35"/>
      <c r="BA353" s="35"/>
      <c r="BB353" s="35"/>
      <c r="BC353" s="35"/>
    </row>
    <row r="354" spans="1:55" ht="15.75" customHeight="1" x14ac:dyDescent="0.2">
      <c r="A354" s="34"/>
      <c r="B354" s="34"/>
      <c r="C354" s="34"/>
      <c r="D354" s="34"/>
      <c r="E354" s="34"/>
      <c r="AU354" s="35"/>
      <c r="AV354" s="35"/>
      <c r="AW354" s="35"/>
      <c r="AX354" s="35"/>
      <c r="AY354" s="35"/>
      <c r="AZ354" s="35"/>
      <c r="BA354" s="35"/>
      <c r="BB354" s="35"/>
      <c r="BC354" s="35"/>
    </row>
    <row r="355" spans="1:55" ht="15.75" customHeight="1" x14ac:dyDescent="0.2">
      <c r="A355" s="34"/>
      <c r="B355" s="34"/>
      <c r="C355" s="34"/>
      <c r="D355" s="34"/>
      <c r="E355" s="34"/>
      <c r="AU355" s="35"/>
      <c r="AV355" s="35"/>
      <c r="AW355" s="35"/>
      <c r="AX355" s="35"/>
      <c r="AY355" s="35"/>
      <c r="AZ355" s="35"/>
      <c r="BA355" s="35"/>
      <c r="BB355" s="35"/>
      <c r="BC355" s="35"/>
    </row>
    <row r="356" spans="1:55" ht="15.75" customHeight="1" x14ac:dyDescent="0.2">
      <c r="A356" s="34"/>
      <c r="B356" s="34"/>
      <c r="C356" s="34"/>
      <c r="D356" s="34"/>
      <c r="E356" s="34"/>
      <c r="AU356" s="35"/>
      <c r="AV356" s="35"/>
      <c r="AW356" s="35"/>
      <c r="AX356" s="35"/>
      <c r="AY356" s="35"/>
      <c r="AZ356" s="35"/>
      <c r="BA356" s="35"/>
      <c r="BB356" s="35"/>
      <c r="BC356" s="35"/>
    </row>
    <row r="357" spans="1:55" ht="15.75" customHeight="1" x14ac:dyDescent="0.2">
      <c r="A357" s="34"/>
      <c r="B357" s="34"/>
      <c r="C357" s="34"/>
      <c r="D357" s="34"/>
      <c r="E357" s="34"/>
      <c r="AU357" s="35"/>
      <c r="AV357" s="35"/>
      <c r="AW357" s="35"/>
      <c r="AX357" s="35"/>
      <c r="AY357" s="35"/>
      <c r="AZ357" s="35"/>
      <c r="BA357" s="35"/>
      <c r="BB357" s="35"/>
      <c r="BC357" s="35"/>
    </row>
    <row r="358" spans="1:55" ht="15.75" customHeight="1" x14ac:dyDescent="0.2">
      <c r="A358" s="34"/>
      <c r="B358" s="34"/>
      <c r="C358" s="34"/>
      <c r="D358" s="34"/>
      <c r="E358" s="34"/>
      <c r="AU358" s="35"/>
      <c r="AV358" s="35"/>
      <c r="AW358" s="35"/>
      <c r="AX358" s="35"/>
      <c r="AY358" s="35"/>
      <c r="AZ358" s="35"/>
      <c r="BA358" s="35"/>
      <c r="BB358" s="35"/>
      <c r="BC358" s="35"/>
    </row>
    <row r="359" spans="1:55" ht="15.75" customHeight="1" x14ac:dyDescent="0.2">
      <c r="A359" s="34"/>
      <c r="B359" s="34"/>
      <c r="C359" s="34"/>
      <c r="D359" s="34"/>
      <c r="E359" s="34"/>
      <c r="AU359" s="35"/>
      <c r="AV359" s="35"/>
      <c r="AW359" s="35"/>
      <c r="AX359" s="35"/>
      <c r="AY359" s="35"/>
      <c r="AZ359" s="35"/>
      <c r="BA359" s="35"/>
      <c r="BB359" s="35"/>
      <c r="BC359" s="35"/>
    </row>
    <row r="360" spans="1:55" ht="15.75" customHeight="1" x14ac:dyDescent="0.2">
      <c r="A360" s="34"/>
      <c r="B360" s="34"/>
      <c r="C360" s="34"/>
      <c r="D360" s="34"/>
      <c r="E360" s="34"/>
      <c r="AU360" s="35"/>
      <c r="AV360" s="35"/>
      <c r="AW360" s="35"/>
      <c r="AX360" s="35"/>
      <c r="AY360" s="35"/>
      <c r="AZ360" s="35"/>
      <c r="BA360" s="35"/>
      <c r="BB360" s="35"/>
      <c r="BC360" s="35"/>
    </row>
    <row r="361" spans="1:55" ht="15.75" customHeight="1" x14ac:dyDescent="0.2">
      <c r="A361" s="34"/>
      <c r="B361" s="34"/>
      <c r="C361" s="34"/>
      <c r="D361" s="34"/>
      <c r="E361" s="34"/>
      <c r="AU361" s="35"/>
      <c r="AV361" s="35"/>
      <c r="AW361" s="35"/>
      <c r="AX361" s="35"/>
      <c r="AY361" s="35"/>
      <c r="AZ361" s="35"/>
      <c r="BA361" s="35"/>
      <c r="BB361" s="35"/>
      <c r="BC361" s="35"/>
    </row>
    <row r="362" spans="1:55" ht="15.75" customHeight="1" x14ac:dyDescent="0.2">
      <c r="A362" s="34"/>
      <c r="B362" s="34"/>
      <c r="C362" s="34"/>
      <c r="D362" s="34"/>
      <c r="E362" s="34"/>
      <c r="AU362" s="35"/>
      <c r="AV362" s="35"/>
      <c r="AW362" s="35"/>
      <c r="AX362" s="35"/>
      <c r="AY362" s="35"/>
      <c r="AZ362" s="35"/>
      <c r="BA362" s="35"/>
      <c r="BB362" s="35"/>
      <c r="BC362" s="35"/>
    </row>
    <row r="363" spans="1:55" ht="15.75" customHeight="1" x14ac:dyDescent="0.2">
      <c r="A363" s="34"/>
      <c r="B363" s="34"/>
      <c r="C363" s="34"/>
      <c r="D363" s="34"/>
      <c r="E363" s="34"/>
      <c r="AU363" s="35"/>
      <c r="AV363" s="35"/>
      <c r="AW363" s="35"/>
      <c r="AX363" s="35"/>
      <c r="AY363" s="35"/>
      <c r="AZ363" s="35"/>
      <c r="BA363" s="35"/>
      <c r="BB363" s="35"/>
      <c r="BC363" s="35"/>
    </row>
    <row r="364" spans="1:55" ht="15.75" customHeight="1" x14ac:dyDescent="0.2">
      <c r="A364" s="34"/>
      <c r="B364" s="34"/>
      <c r="C364" s="34"/>
      <c r="D364" s="34"/>
      <c r="E364" s="34"/>
      <c r="AU364" s="35"/>
      <c r="AV364" s="35"/>
      <c r="AW364" s="35"/>
      <c r="AX364" s="35"/>
      <c r="AY364" s="35"/>
      <c r="AZ364" s="35"/>
      <c r="BA364" s="35"/>
      <c r="BB364" s="35"/>
      <c r="BC364" s="35"/>
    </row>
    <row r="365" spans="1:55" ht="15.75" customHeight="1" x14ac:dyDescent="0.2">
      <c r="A365" s="34"/>
      <c r="B365" s="34"/>
      <c r="C365" s="34"/>
      <c r="D365" s="34"/>
      <c r="E365" s="34"/>
      <c r="AU365" s="35"/>
      <c r="AV365" s="35"/>
      <c r="AW365" s="35"/>
      <c r="AX365" s="35"/>
      <c r="AY365" s="35"/>
      <c r="AZ365" s="35"/>
      <c r="BA365" s="35"/>
      <c r="BB365" s="35"/>
      <c r="BC365" s="35"/>
    </row>
    <row r="366" spans="1:55" ht="15.75" customHeight="1" x14ac:dyDescent="0.2">
      <c r="A366" s="34"/>
      <c r="B366" s="34"/>
      <c r="C366" s="34"/>
      <c r="D366" s="34"/>
      <c r="E366" s="34"/>
      <c r="AU366" s="35"/>
      <c r="AV366" s="35"/>
      <c r="AW366" s="35"/>
      <c r="AX366" s="35"/>
      <c r="AY366" s="35"/>
      <c r="AZ366" s="35"/>
      <c r="BA366" s="35"/>
      <c r="BB366" s="35"/>
      <c r="BC366" s="35"/>
    </row>
    <row r="367" spans="1:55" ht="15.75" customHeight="1" x14ac:dyDescent="0.2">
      <c r="A367" s="34"/>
      <c r="B367" s="34"/>
      <c r="C367" s="34"/>
      <c r="D367" s="34"/>
      <c r="E367" s="34"/>
      <c r="AU367" s="35"/>
      <c r="AV367" s="35"/>
      <c r="AW367" s="35"/>
      <c r="AX367" s="35"/>
      <c r="AY367" s="35"/>
      <c r="AZ367" s="35"/>
      <c r="BA367" s="35"/>
      <c r="BB367" s="35"/>
      <c r="BC367" s="35"/>
    </row>
    <row r="368" spans="1:55" ht="15.75" customHeight="1" x14ac:dyDescent="0.2">
      <c r="A368" s="34"/>
      <c r="B368" s="34"/>
      <c r="C368" s="34"/>
      <c r="D368" s="34"/>
      <c r="E368" s="34"/>
      <c r="AU368" s="35"/>
      <c r="AV368" s="35"/>
      <c r="AW368" s="35"/>
      <c r="AX368" s="35"/>
      <c r="AY368" s="35"/>
      <c r="AZ368" s="35"/>
      <c r="BA368" s="35"/>
      <c r="BB368" s="35"/>
      <c r="BC368" s="35"/>
    </row>
    <row r="369" spans="1:55" ht="15.75" customHeight="1" x14ac:dyDescent="0.2">
      <c r="A369" s="34"/>
      <c r="B369" s="34"/>
      <c r="C369" s="34"/>
      <c r="D369" s="34"/>
      <c r="E369" s="34"/>
      <c r="AU369" s="35"/>
      <c r="AV369" s="35"/>
      <c r="AW369" s="35"/>
      <c r="AX369" s="35"/>
      <c r="AY369" s="35"/>
      <c r="AZ369" s="35"/>
      <c r="BA369" s="35"/>
      <c r="BB369" s="35"/>
      <c r="BC369" s="35"/>
    </row>
    <row r="370" spans="1:55" ht="15.75" customHeight="1" x14ac:dyDescent="0.2">
      <c r="A370" s="34"/>
      <c r="B370" s="34"/>
      <c r="C370" s="34"/>
      <c r="D370" s="34"/>
      <c r="E370" s="34"/>
      <c r="AU370" s="35"/>
      <c r="AV370" s="35"/>
      <c r="AW370" s="35"/>
      <c r="AX370" s="35"/>
      <c r="AY370" s="35"/>
      <c r="AZ370" s="35"/>
      <c r="BA370" s="35"/>
      <c r="BB370" s="35"/>
      <c r="BC370" s="35"/>
    </row>
    <row r="371" spans="1:55" ht="15.75" customHeight="1" x14ac:dyDescent="0.2">
      <c r="A371" s="34"/>
      <c r="B371" s="34"/>
      <c r="C371" s="34"/>
      <c r="D371" s="34"/>
      <c r="E371" s="34"/>
      <c r="AU371" s="35"/>
      <c r="AV371" s="35"/>
      <c r="AW371" s="35"/>
      <c r="AX371" s="35"/>
      <c r="AY371" s="35"/>
      <c r="AZ371" s="35"/>
      <c r="BA371" s="35"/>
      <c r="BB371" s="35"/>
      <c r="BC371" s="35"/>
    </row>
    <row r="372" spans="1:55" ht="15.75" customHeight="1" x14ac:dyDescent="0.2">
      <c r="A372" s="34"/>
      <c r="B372" s="34"/>
      <c r="C372" s="34"/>
      <c r="D372" s="34"/>
      <c r="E372" s="34"/>
      <c r="AU372" s="35"/>
      <c r="AV372" s="35"/>
      <c r="AW372" s="35"/>
      <c r="AX372" s="35"/>
      <c r="AY372" s="35"/>
      <c r="AZ372" s="35"/>
      <c r="BA372" s="35"/>
      <c r="BB372" s="35"/>
      <c r="BC372" s="35"/>
    </row>
    <row r="373" spans="1:55" ht="15.75" customHeight="1" x14ac:dyDescent="0.2">
      <c r="A373" s="34"/>
      <c r="B373" s="34"/>
      <c r="C373" s="34"/>
      <c r="D373" s="34"/>
      <c r="E373" s="34"/>
      <c r="AU373" s="35"/>
      <c r="AV373" s="35"/>
      <c r="AW373" s="35"/>
      <c r="AX373" s="35"/>
      <c r="AY373" s="35"/>
      <c r="AZ373" s="35"/>
      <c r="BA373" s="35"/>
      <c r="BB373" s="35"/>
      <c r="BC373" s="35"/>
    </row>
    <row r="374" spans="1:55" ht="15.75" customHeight="1" x14ac:dyDescent="0.2">
      <c r="A374" s="34"/>
      <c r="B374" s="34"/>
      <c r="C374" s="34"/>
      <c r="D374" s="34"/>
      <c r="E374" s="34"/>
      <c r="AU374" s="35"/>
      <c r="AV374" s="35"/>
      <c r="AW374" s="35"/>
      <c r="AX374" s="35"/>
      <c r="AY374" s="35"/>
      <c r="AZ374" s="35"/>
      <c r="BA374" s="35"/>
      <c r="BB374" s="35"/>
      <c r="BC374" s="35"/>
    </row>
    <row r="375" spans="1:55" ht="15.75" customHeight="1" x14ac:dyDescent="0.2">
      <c r="A375" s="34"/>
      <c r="B375" s="34"/>
      <c r="C375" s="34"/>
      <c r="D375" s="34"/>
      <c r="E375" s="34"/>
      <c r="AU375" s="35"/>
      <c r="AV375" s="35"/>
      <c r="AW375" s="35"/>
      <c r="AX375" s="35"/>
      <c r="AY375" s="35"/>
      <c r="AZ375" s="35"/>
      <c r="BA375" s="35"/>
      <c r="BB375" s="35"/>
      <c r="BC375" s="35"/>
    </row>
    <row r="376" spans="1:55" ht="15.75" customHeight="1" x14ac:dyDescent="0.2">
      <c r="A376" s="34"/>
      <c r="B376" s="34"/>
      <c r="C376" s="34"/>
      <c r="D376" s="34"/>
      <c r="E376" s="34"/>
      <c r="AU376" s="35"/>
      <c r="AV376" s="35"/>
      <c r="AW376" s="35"/>
      <c r="AX376" s="35"/>
      <c r="AY376" s="35"/>
      <c r="AZ376" s="35"/>
      <c r="BA376" s="35"/>
      <c r="BB376" s="35"/>
      <c r="BC376" s="35"/>
    </row>
    <row r="377" spans="1:55" ht="15.75" customHeight="1" x14ac:dyDescent="0.2">
      <c r="A377" s="34"/>
      <c r="B377" s="34"/>
      <c r="C377" s="34"/>
      <c r="D377" s="34"/>
      <c r="E377" s="34"/>
      <c r="AU377" s="35"/>
      <c r="AV377" s="35"/>
      <c r="AW377" s="35"/>
      <c r="AX377" s="35"/>
      <c r="AY377" s="35"/>
      <c r="AZ377" s="35"/>
      <c r="BA377" s="35"/>
      <c r="BB377" s="35"/>
      <c r="BC377" s="35"/>
    </row>
    <row r="378" spans="1:55" ht="15.75" customHeight="1" x14ac:dyDescent="0.2">
      <c r="A378" s="34"/>
      <c r="B378" s="34"/>
      <c r="C378" s="34"/>
      <c r="D378" s="34"/>
      <c r="E378" s="34"/>
      <c r="AU378" s="35"/>
      <c r="AV378" s="35"/>
      <c r="AW378" s="35"/>
      <c r="AX378" s="35"/>
      <c r="AY378" s="35"/>
      <c r="AZ378" s="35"/>
      <c r="BA378" s="35"/>
      <c r="BB378" s="35"/>
      <c r="BC378" s="35"/>
    </row>
    <row r="379" spans="1:55" ht="15.75" customHeight="1" x14ac:dyDescent="0.2">
      <c r="A379" s="34"/>
      <c r="B379" s="34"/>
      <c r="C379" s="34"/>
      <c r="D379" s="34"/>
      <c r="E379" s="34"/>
      <c r="AU379" s="35"/>
      <c r="AV379" s="35"/>
      <c r="AW379" s="35"/>
      <c r="AX379" s="35"/>
      <c r="AY379" s="35"/>
      <c r="AZ379" s="35"/>
      <c r="BA379" s="35"/>
      <c r="BB379" s="35"/>
      <c r="BC379" s="35"/>
    </row>
    <row r="380" spans="1:55" ht="15.75" customHeight="1" x14ac:dyDescent="0.2">
      <c r="A380" s="34"/>
      <c r="B380" s="34"/>
      <c r="C380" s="34"/>
      <c r="D380" s="34"/>
      <c r="E380" s="34"/>
      <c r="AU380" s="35"/>
      <c r="AV380" s="35"/>
      <c r="AW380" s="35"/>
      <c r="AX380" s="35"/>
      <c r="AY380" s="35"/>
      <c r="AZ380" s="35"/>
      <c r="BA380" s="35"/>
      <c r="BB380" s="35"/>
      <c r="BC380" s="35"/>
    </row>
    <row r="381" spans="1:55" ht="15.75" customHeight="1" x14ac:dyDescent="0.2">
      <c r="A381" s="34"/>
      <c r="B381" s="34"/>
      <c r="C381" s="34"/>
      <c r="D381" s="34"/>
      <c r="E381" s="34"/>
      <c r="AU381" s="35"/>
      <c r="AV381" s="35"/>
      <c r="AW381" s="35"/>
      <c r="AX381" s="35"/>
      <c r="AY381" s="35"/>
      <c r="AZ381" s="35"/>
      <c r="BA381" s="35"/>
      <c r="BB381" s="35"/>
      <c r="BC381" s="35"/>
    </row>
    <row r="382" spans="1:55" ht="15.75" customHeight="1" x14ac:dyDescent="0.2">
      <c r="A382" s="34"/>
      <c r="B382" s="34"/>
      <c r="C382" s="34"/>
      <c r="D382" s="34"/>
      <c r="E382" s="34"/>
      <c r="AU382" s="35"/>
      <c r="AV382" s="35"/>
      <c r="AW382" s="35"/>
      <c r="AX382" s="35"/>
      <c r="AY382" s="35"/>
      <c r="AZ382" s="35"/>
      <c r="BA382" s="35"/>
      <c r="BB382" s="35"/>
      <c r="BC382" s="35"/>
    </row>
    <row r="383" spans="1:55" ht="15.75" customHeight="1" x14ac:dyDescent="0.2">
      <c r="A383" s="34"/>
      <c r="B383" s="34"/>
      <c r="C383" s="34"/>
      <c r="D383" s="34"/>
      <c r="E383" s="34"/>
      <c r="AU383" s="35"/>
      <c r="AV383" s="35"/>
      <c r="AW383" s="35"/>
      <c r="AX383" s="35"/>
      <c r="AY383" s="35"/>
      <c r="AZ383" s="35"/>
      <c r="BA383" s="35"/>
      <c r="BB383" s="35"/>
      <c r="BC383" s="35"/>
    </row>
    <row r="384" spans="1:55" ht="15.75" customHeight="1" x14ac:dyDescent="0.2">
      <c r="A384" s="34"/>
      <c r="B384" s="34"/>
      <c r="C384" s="34"/>
      <c r="D384" s="34"/>
      <c r="E384" s="34"/>
      <c r="AU384" s="35"/>
      <c r="AV384" s="35"/>
      <c r="AW384" s="35"/>
      <c r="AX384" s="35"/>
      <c r="AY384" s="35"/>
      <c r="AZ384" s="35"/>
      <c r="BA384" s="35"/>
      <c r="BB384" s="35"/>
      <c r="BC384" s="35"/>
    </row>
    <row r="385" spans="1:55" ht="15.75" customHeight="1" x14ac:dyDescent="0.2">
      <c r="A385" s="34"/>
      <c r="B385" s="34"/>
      <c r="C385" s="34"/>
      <c r="D385" s="34"/>
      <c r="E385" s="34"/>
      <c r="AU385" s="35"/>
      <c r="AV385" s="35"/>
      <c r="AW385" s="35"/>
      <c r="AX385" s="35"/>
      <c r="AY385" s="35"/>
      <c r="AZ385" s="35"/>
      <c r="BA385" s="35"/>
      <c r="BB385" s="35"/>
      <c r="BC385" s="35"/>
    </row>
    <row r="386" spans="1:55" ht="15.75" customHeight="1" x14ac:dyDescent="0.2">
      <c r="A386" s="34"/>
      <c r="B386" s="34"/>
      <c r="C386" s="34"/>
      <c r="D386" s="34"/>
      <c r="E386" s="34"/>
      <c r="AU386" s="35"/>
      <c r="AV386" s="35"/>
      <c r="AW386" s="35"/>
      <c r="AX386" s="35"/>
      <c r="AY386" s="35"/>
      <c r="AZ386" s="35"/>
      <c r="BA386" s="35"/>
      <c r="BB386" s="35"/>
      <c r="BC386" s="35"/>
    </row>
    <row r="387" spans="1:55" ht="15.75" customHeight="1" x14ac:dyDescent="0.2">
      <c r="A387" s="34"/>
      <c r="B387" s="34"/>
      <c r="C387" s="34"/>
      <c r="D387" s="34"/>
      <c r="E387" s="34"/>
      <c r="AU387" s="35"/>
      <c r="AV387" s="35"/>
      <c r="AW387" s="35"/>
      <c r="AX387" s="35"/>
      <c r="AY387" s="35"/>
      <c r="AZ387" s="35"/>
      <c r="BA387" s="35"/>
      <c r="BB387" s="35"/>
      <c r="BC387" s="35"/>
    </row>
    <row r="388" spans="1:55" ht="15.75" customHeight="1" x14ac:dyDescent="0.2">
      <c r="A388" s="34"/>
      <c r="B388" s="34"/>
      <c r="C388" s="34"/>
      <c r="D388" s="34"/>
      <c r="E388" s="34"/>
      <c r="AU388" s="35"/>
      <c r="AV388" s="35"/>
      <c r="AW388" s="35"/>
      <c r="AX388" s="35"/>
      <c r="AY388" s="35"/>
      <c r="AZ388" s="35"/>
      <c r="BA388" s="35"/>
      <c r="BB388" s="35"/>
      <c r="BC388" s="35"/>
    </row>
    <row r="389" spans="1:55" ht="15.75" customHeight="1" x14ac:dyDescent="0.2">
      <c r="A389" s="34"/>
      <c r="B389" s="34"/>
      <c r="C389" s="34"/>
      <c r="D389" s="34"/>
      <c r="E389" s="34"/>
      <c r="AU389" s="35"/>
      <c r="AV389" s="35"/>
      <c r="AW389" s="35"/>
      <c r="AX389" s="35"/>
      <c r="AY389" s="35"/>
      <c r="AZ389" s="35"/>
      <c r="BA389" s="35"/>
      <c r="BB389" s="35"/>
      <c r="BC389" s="35"/>
    </row>
    <row r="390" spans="1:55" ht="15.75" customHeight="1" x14ac:dyDescent="0.2">
      <c r="A390" s="34"/>
      <c r="B390" s="34"/>
      <c r="C390" s="34"/>
      <c r="D390" s="34"/>
      <c r="E390" s="34"/>
      <c r="AU390" s="35"/>
      <c r="AV390" s="35"/>
      <c r="AW390" s="35"/>
      <c r="AX390" s="35"/>
      <c r="AY390" s="35"/>
      <c r="AZ390" s="35"/>
      <c r="BA390" s="35"/>
      <c r="BB390" s="35"/>
      <c r="BC390" s="35"/>
    </row>
    <row r="391" spans="1:55" ht="15.75" customHeight="1" x14ac:dyDescent="0.2">
      <c r="A391" s="34"/>
      <c r="B391" s="34"/>
      <c r="C391" s="34"/>
      <c r="D391" s="34"/>
      <c r="E391" s="34"/>
      <c r="AU391" s="35"/>
      <c r="AV391" s="35"/>
      <c r="AW391" s="35"/>
      <c r="AX391" s="35"/>
      <c r="AY391" s="35"/>
      <c r="AZ391" s="35"/>
      <c r="BA391" s="35"/>
      <c r="BB391" s="35"/>
      <c r="BC391" s="35"/>
    </row>
    <row r="392" spans="1:55" ht="15.75" customHeight="1" x14ac:dyDescent="0.2">
      <c r="A392" s="34"/>
      <c r="B392" s="34"/>
      <c r="C392" s="34"/>
      <c r="D392" s="34"/>
      <c r="E392" s="34"/>
      <c r="AU392" s="35"/>
      <c r="AV392" s="35"/>
      <c r="AW392" s="35"/>
      <c r="AX392" s="35"/>
      <c r="AY392" s="35"/>
      <c r="AZ392" s="35"/>
      <c r="BA392" s="35"/>
      <c r="BB392" s="35"/>
      <c r="BC392" s="35"/>
    </row>
    <row r="393" spans="1:55" ht="15.75" customHeight="1" x14ac:dyDescent="0.2">
      <c r="A393" s="34"/>
      <c r="B393" s="34"/>
      <c r="C393" s="34"/>
      <c r="D393" s="34"/>
      <c r="E393" s="34"/>
      <c r="AU393" s="35"/>
      <c r="AV393" s="35"/>
      <c r="AW393" s="35"/>
      <c r="AX393" s="35"/>
      <c r="AY393" s="35"/>
      <c r="AZ393" s="35"/>
      <c r="BA393" s="35"/>
      <c r="BB393" s="35"/>
      <c r="BC393" s="35"/>
    </row>
    <row r="394" spans="1:55" ht="15.75" customHeight="1" x14ac:dyDescent="0.2">
      <c r="A394" s="34"/>
      <c r="B394" s="34"/>
      <c r="C394" s="34"/>
      <c r="D394" s="34"/>
      <c r="E394" s="34"/>
      <c r="AU394" s="35"/>
      <c r="AV394" s="35"/>
      <c r="AW394" s="35"/>
      <c r="AX394" s="35"/>
      <c r="AY394" s="35"/>
      <c r="AZ394" s="35"/>
      <c r="BA394" s="35"/>
      <c r="BB394" s="35"/>
      <c r="BC394" s="35"/>
    </row>
    <row r="395" spans="1:55" ht="15.75" customHeight="1" x14ac:dyDescent="0.2">
      <c r="A395" s="34"/>
      <c r="B395" s="34"/>
      <c r="C395" s="34"/>
      <c r="D395" s="34"/>
      <c r="E395" s="34"/>
      <c r="AU395" s="35"/>
      <c r="AV395" s="35"/>
      <c r="AW395" s="35"/>
      <c r="AX395" s="35"/>
      <c r="AY395" s="35"/>
      <c r="AZ395" s="35"/>
      <c r="BA395" s="35"/>
      <c r="BB395" s="35"/>
      <c r="BC395" s="35"/>
    </row>
    <row r="396" spans="1:55" ht="15.75" customHeight="1" x14ac:dyDescent="0.2">
      <c r="A396" s="34"/>
      <c r="B396" s="34"/>
      <c r="C396" s="34"/>
      <c r="D396" s="34"/>
      <c r="E396" s="34"/>
      <c r="AU396" s="35"/>
      <c r="AV396" s="35"/>
      <c r="AW396" s="35"/>
      <c r="AX396" s="35"/>
      <c r="AY396" s="35"/>
      <c r="AZ396" s="35"/>
      <c r="BA396" s="35"/>
      <c r="BB396" s="35"/>
      <c r="BC396" s="35"/>
    </row>
    <row r="397" spans="1:55" ht="15.75" customHeight="1" x14ac:dyDescent="0.2">
      <c r="A397" s="34"/>
      <c r="B397" s="34"/>
      <c r="C397" s="34"/>
      <c r="D397" s="34"/>
      <c r="E397" s="34"/>
      <c r="AU397" s="35"/>
      <c r="AV397" s="35"/>
      <c r="AW397" s="35"/>
      <c r="AX397" s="35"/>
      <c r="AY397" s="35"/>
      <c r="AZ397" s="35"/>
      <c r="BA397" s="35"/>
      <c r="BB397" s="35"/>
      <c r="BC397" s="35"/>
    </row>
    <row r="398" spans="1:55" ht="15.75" customHeight="1" x14ac:dyDescent="0.2">
      <c r="A398" s="34"/>
      <c r="B398" s="34"/>
      <c r="C398" s="34"/>
      <c r="D398" s="34"/>
      <c r="E398" s="34"/>
      <c r="AU398" s="35"/>
      <c r="AV398" s="35"/>
      <c r="AW398" s="35"/>
      <c r="AX398" s="35"/>
      <c r="AY398" s="35"/>
      <c r="AZ398" s="35"/>
      <c r="BA398" s="35"/>
      <c r="BB398" s="35"/>
      <c r="BC398" s="35"/>
    </row>
    <row r="399" spans="1:55" ht="15.75" customHeight="1" x14ac:dyDescent="0.2">
      <c r="A399" s="34"/>
      <c r="B399" s="34"/>
      <c r="C399" s="34"/>
      <c r="D399" s="34"/>
      <c r="E399" s="34"/>
      <c r="AU399" s="35"/>
      <c r="AV399" s="35"/>
      <c r="AW399" s="35"/>
      <c r="AX399" s="35"/>
      <c r="AY399" s="35"/>
      <c r="AZ399" s="35"/>
      <c r="BA399" s="35"/>
      <c r="BB399" s="35"/>
      <c r="BC399" s="35"/>
    </row>
    <row r="400" spans="1:55" ht="15.75" customHeight="1" x14ac:dyDescent="0.2">
      <c r="A400" s="34"/>
      <c r="B400" s="34"/>
      <c r="C400" s="34"/>
      <c r="D400" s="34"/>
      <c r="E400" s="34"/>
      <c r="AU400" s="35"/>
      <c r="AV400" s="35"/>
      <c r="AW400" s="35"/>
      <c r="AX400" s="35"/>
      <c r="AY400" s="35"/>
      <c r="AZ400" s="35"/>
      <c r="BA400" s="35"/>
      <c r="BB400" s="35"/>
      <c r="BC400" s="35"/>
    </row>
    <row r="401" spans="1:55" ht="15.75" customHeight="1" x14ac:dyDescent="0.2">
      <c r="A401" s="34"/>
      <c r="B401" s="34"/>
      <c r="C401" s="34"/>
      <c r="D401" s="34"/>
      <c r="E401" s="34"/>
      <c r="AU401" s="35"/>
      <c r="AV401" s="35"/>
      <c r="AW401" s="35"/>
      <c r="AX401" s="35"/>
      <c r="AY401" s="35"/>
      <c r="AZ401" s="35"/>
      <c r="BA401" s="35"/>
      <c r="BB401" s="35"/>
      <c r="BC401" s="35"/>
    </row>
    <row r="402" spans="1:55" ht="15.75" customHeight="1" x14ac:dyDescent="0.2">
      <c r="A402" s="34"/>
      <c r="B402" s="34"/>
      <c r="C402" s="34"/>
      <c r="D402" s="34"/>
      <c r="E402" s="34"/>
      <c r="AU402" s="35"/>
      <c r="AV402" s="35"/>
      <c r="AW402" s="35"/>
      <c r="AX402" s="35"/>
      <c r="AY402" s="35"/>
      <c r="AZ402" s="35"/>
      <c r="BA402" s="35"/>
      <c r="BB402" s="35"/>
      <c r="BC402" s="35"/>
    </row>
    <row r="403" spans="1:55" ht="15.75" customHeight="1" x14ac:dyDescent="0.2">
      <c r="A403" s="34"/>
      <c r="B403" s="34"/>
      <c r="C403" s="34"/>
      <c r="D403" s="34"/>
      <c r="E403" s="34"/>
      <c r="AU403" s="35"/>
      <c r="AV403" s="35"/>
      <c r="AW403" s="35"/>
      <c r="AX403" s="35"/>
      <c r="AY403" s="35"/>
      <c r="AZ403" s="35"/>
      <c r="BA403" s="35"/>
      <c r="BB403" s="35"/>
      <c r="BC403" s="35"/>
    </row>
    <row r="404" spans="1:55" ht="15.75" customHeight="1" x14ac:dyDescent="0.2">
      <c r="A404" s="34"/>
      <c r="B404" s="34"/>
      <c r="C404" s="34"/>
      <c r="D404" s="34"/>
      <c r="E404" s="34"/>
      <c r="AU404" s="35"/>
      <c r="AV404" s="35"/>
      <c r="AW404" s="35"/>
      <c r="AX404" s="35"/>
      <c r="AY404" s="35"/>
      <c r="AZ404" s="35"/>
      <c r="BA404" s="35"/>
      <c r="BB404" s="35"/>
      <c r="BC404" s="35"/>
    </row>
    <row r="405" spans="1:55" ht="15.75" customHeight="1" x14ac:dyDescent="0.2">
      <c r="A405" s="34"/>
      <c r="B405" s="34"/>
      <c r="C405" s="34"/>
      <c r="D405" s="34"/>
      <c r="E405" s="34"/>
      <c r="AU405" s="35"/>
      <c r="AV405" s="35"/>
      <c r="AW405" s="35"/>
      <c r="AX405" s="35"/>
      <c r="AY405" s="35"/>
      <c r="AZ405" s="35"/>
      <c r="BA405" s="35"/>
      <c r="BB405" s="35"/>
      <c r="BC405" s="35"/>
    </row>
    <row r="406" spans="1:55" ht="15.75" customHeight="1" x14ac:dyDescent="0.2">
      <c r="A406" s="34"/>
      <c r="B406" s="34"/>
      <c r="C406" s="34"/>
      <c r="D406" s="34"/>
      <c r="E406" s="34"/>
      <c r="AU406" s="35"/>
      <c r="AV406" s="35"/>
      <c r="AW406" s="35"/>
      <c r="AX406" s="35"/>
      <c r="AY406" s="35"/>
      <c r="AZ406" s="35"/>
      <c r="BA406" s="35"/>
      <c r="BB406" s="35"/>
      <c r="BC406" s="35"/>
    </row>
    <row r="407" spans="1:55" ht="15.75" customHeight="1" x14ac:dyDescent="0.2">
      <c r="A407" s="34"/>
      <c r="B407" s="34"/>
      <c r="C407" s="34"/>
      <c r="D407" s="34"/>
      <c r="E407" s="34"/>
      <c r="AU407" s="35"/>
      <c r="AV407" s="35"/>
      <c r="AW407" s="35"/>
      <c r="AX407" s="35"/>
      <c r="AY407" s="35"/>
      <c r="AZ407" s="35"/>
      <c r="BA407" s="35"/>
      <c r="BB407" s="35"/>
      <c r="BC407" s="35"/>
    </row>
    <row r="408" spans="1:55" ht="15.75" customHeight="1" x14ac:dyDescent="0.2">
      <c r="A408" s="34"/>
      <c r="B408" s="34"/>
      <c r="C408" s="34"/>
      <c r="D408" s="34"/>
      <c r="E408" s="34"/>
      <c r="AU408" s="35"/>
      <c r="AV408" s="35"/>
      <c r="AW408" s="35"/>
      <c r="AX408" s="35"/>
      <c r="AY408" s="35"/>
      <c r="AZ408" s="35"/>
      <c r="BA408" s="35"/>
      <c r="BB408" s="35"/>
      <c r="BC408" s="35"/>
    </row>
    <row r="409" spans="1:55" ht="15.75" customHeight="1" x14ac:dyDescent="0.2">
      <c r="A409" s="34"/>
      <c r="B409" s="34"/>
      <c r="C409" s="34"/>
      <c r="D409" s="34"/>
      <c r="E409" s="34"/>
      <c r="AU409" s="35"/>
      <c r="AV409" s="35"/>
      <c r="AW409" s="35"/>
      <c r="AX409" s="35"/>
      <c r="AY409" s="35"/>
      <c r="AZ409" s="35"/>
      <c r="BA409" s="35"/>
      <c r="BB409" s="35"/>
      <c r="BC409" s="35"/>
    </row>
    <row r="410" spans="1:55" ht="15.75" customHeight="1" x14ac:dyDescent="0.2">
      <c r="A410" s="34"/>
      <c r="B410" s="34"/>
      <c r="C410" s="34"/>
      <c r="D410" s="34"/>
      <c r="E410" s="34"/>
      <c r="AU410" s="35"/>
      <c r="AV410" s="35"/>
      <c r="AW410" s="35"/>
      <c r="AX410" s="35"/>
      <c r="AY410" s="35"/>
      <c r="AZ410" s="35"/>
      <c r="BA410" s="35"/>
      <c r="BB410" s="35"/>
      <c r="BC410" s="35"/>
    </row>
    <row r="411" spans="1:55" ht="15.75" customHeight="1" x14ac:dyDescent="0.2">
      <c r="A411" s="34"/>
      <c r="B411" s="34"/>
      <c r="C411" s="34"/>
      <c r="D411" s="34"/>
      <c r="E411" s="34"/>
      <c r="AU411" s="35"/>
      <c r="AV411" s="35"/>
      <c r="AW411" s="35"/>
      <c r="AX411" s="35"/>
      <c r="AY411" s="35"/>
      <c r="AZ411" s="35"/>
      <c r="BA411" s="35"/>
      <c r="BB411" s="35"/>
      <c r="BC411" s="35"/>
    </row>
    <row r="412" spans="1:55" ht="15.75" customHeight="1" x14ac:dyDescent="0.2">
      <c r="A412" s="34"/>
      <c r="B412" s="34"/>
      <c r="C412" s="34"/>
      <c r="D412" s="34"/>
      <c r="E412" s="34"/>
      <c r="AU412" s="35"/>
      <c r="AV412" s="35"/>
      <c r="AW412" s="35"/>
      <c r="AX412" s="35"/>
      <c r="AY412" s="35"/>
      <c r="AZ412" s="35"/>
      <c r="BA412" s="35"/>
      <c r="BB412" s="35"/>
      <c r="BC412" s="35"/>
    </row>
    <row r="413" spans="1:55" ht="15.75" customHeight="1" x14ac:dyDescent="0.2">
      <c r="A413" s="34"/>
      <c r="B413" s="34"/>
      <c r="C413" s="34"/>
      <c r="D413" s="34"/>
      <c r="E413" s="34"/>
      <c r="AU413" s="35"/>
      <c r="AV413" s="35"/>
      <c r="AW413" s="35"/>
      <c r="AX413" s="35"/>
      <c r="AY413" s="35"/>
      <c r="AZ413" s="35"/>
      <c r="BA413" s="35"/>
      <c r="BB413" s="35"/>
      <c r="BC413" s="35"/>
    </row>
    <row r="414" spans="1:55" ht="15.75" customHeight="1" x14ac:dyDescent="0.2">
      <c r="A414" s="34"/>
      <c r="B414" s="34"/>
      <c r="C414" s="34"/>
      <c r="D414" s="34"/>
      <c r="E414" s="34"/>
      <c r="AU414" s="35"/>
      <c r="AV414" s="35"/>
      <c r="AW414" s="35"/>
      <c r="AX414" s="35"/>
      <c r="AY414" s="35"/>
      <c r="AZ414" s="35"/>
      <c r="BA414" s="35"/>
      <c r="BB414" s="35"/>
      <c r="BC414" s="35"/>
    </row>
    <row r="415" spans="1:55" ht="15.75" customHeight="1" x14ac:dyDescent="0.2">
      <c r="A415" s="34"/>
      <c r="B415" s="34"/>
      <c r="C415" s="34"/>
      <c r="D415" s="34"/>
      <c r="E415" s="34"/>
      <c r="AU415" s="35"/>
      <c r="AV415" s="35"/>
      <c r="AW415" s="35"/>
      <c r="AX415" s="35"/>
      <c r="AY415" s="35"/>
      <c r="AZ415" s="35"/>
      <c r="BA415" s="35"/>
      <c r="BB415" s="35"/>
      <c r="BC415" s="35"/>
    </row>
    <row r="416" spans="1:55" ht="15.75" customHeight="1" x14ac:dyDescent="0.2">
      <c r="A416" s="34"/>
      <c r="B416" s="34"/>
      <c r="C416" s="34"/>
      <c r="D416" s="34"/>
      <c r="E416" s="34"/>
      <c r="AU416" s="35"/>
      <c r="AV416" s="35"/>
      <c r="AW416" s="35"/>
      <c r="AX416" s="35"/>
      <c r="AY416" s="35"/>
      <c r="AZ416" s="35"/>
      <c r="BA416" s="35"/>
      <c r="BB416" s="35"/>
      <c r="BC416" s="35"/>
    </row>
    <row r="417" spans="1:55" ht="15.75" customHeight="1" x14ac:dyDescent="0.2">
      <c r="A417" s="34"/>
      <c r="B417" s="34"/>
      <c r="C417" s="34"/>
      <c r="D417" s="34"/>
      <c r="E417" s="34"/>
      <c r="AU417" s="35"/>
      <c r="AV417" s="35"/>
      <c r="AW417" s="35"/>
      <c r="AX417" s="35"/>
      <c r="AY417" s="35"/>
      <c r="AZ417" s="35"/>
      <c r="BA417" s="35"/>
      <c r="BB417" s="35"/>
      <c r="BC417" s="35"/>
    </row>
    <row r="418" spans="1:55" ht="15.75" customHeight="1" x14ac:dyDescent="0.2">
      <c r="A418" s="34"/>
      <c r="B418" s="34"/>
      <c r="C418" s="34"/>
      <c r="D418" s="34"/>
      <c r="E418" s="34"/>
      <c r="AU418" s="35"/>
      <c r="AV418" s="35"/>
      <c r="AW418" s="35"/>
      <c r="AX418" s="35"/>
      <c r="AY418" s="35"/>
      <c r="AZ418" s="35"/>
      <c r="BA418" s="35"/>
      <c r="BB418" s="35"/>
      <c r="BC418" s="35"/>
    </row>
    <row r="419" spans="1:55" ht="15.75" customHeight="1" x14ac:dyDescent="0.2">
      <c r="A419" s="34"/>
      <c r="B419" s="34"/>
      <c r="C419" s="34"/>
      <c r="D419" s="34"/>
      <c r="E419" s="34"/>
      <c r="AU419" s="35"/>
      <c r="AV419" s="35"/>
      <c r="AW419" s="35"/>
      <c r="AX419" s="35"/>
      <c r="AY419" s="35"/>
      <c r="AZ419" s="35"/>
      <c r="BA419" s="35"/>
      <c r="BB419" s="35"/>
      <c r="BC419" s="35"/>
    </row>
    <row r="420" spans="1:55" ht="15.75" customHeight="1" x14ac:dyDescent="0.2">
      <c r="A420" s="34"/>
      <c r="B420" s="34"/>
      <c r="C420" s="34"/>
      <c r="D420" s="34"/>
      <c r="E420" s="34"/>
      <c r="AU420" s="35"/>
      <c r="AV420" s="35"/>
      <c r="AW420" s="35"/>
      <c r="AX420" s="35"/>
      <c r="AY420" s="35"/>
      <c r="AZ420" s="35"/>
      <c r="BA420" s="35"/>
      <c r="BB420" s="35"/>
      <c r="BC420" s="35"/>
    </row>
    <row r="421" spans="1:55" ht="15.75" customHeight="1" x14ac:dyDescent="0.2">
      <c r="A421" s="34"/>
      <c r="B421" s="34"/>
      <c r="C421" s="34"/>
      <c r="D421" s="34"/>
      <c r="E421" s="34"/>
      <c r="AU421" s="35"/>
      <c r="AV421" s="35"/>
      <c r="AW421" s="35"/>
      <c r="AX421" s="35"/>
      <c r="AY421" s="35"/>
      <c r="AZ421" s="35"/>
      <c r="BA421" s="35"/>
      <c r="BB421" s="35"/>
      <c r="BC421" s="35"/>
    </row>
    <row r="422" spans="1:55" ht="15.75" customHeight="1" x14ac:dyDescent="0.2">
      <c r="A422" s="34"/>
      <c r="B422" s="34"/>
      <c r="C422" s="34"/>
      <c r="D422" s="34"/>
      <c r="E422" s="34"/>
      <c r="AU422" s="35"/>
      <c r="AV422" s="35"/>
      <c r="AW422" s="35"/>
      <c r="AX422" s="35"/>
      <c r="AY422" s="35"/>
      <c r="AZ422" s="35"/>
      <c r="BA422" s="35"/>
      <c r="BB422" s="35"/>
      <c r="BC422" s="35"/>
    </row>
    <row r="423" spans="1:55" ht="15.75" customHeight="1" x14ac:dyDescent="0.2">
      <c r="A423" s="34"/>
      <c r="B423" s="34"/>
      <c r="C423" s="34"/>
      <c r="D423" s="34"/>
      <c r="E423" s="34"/>
      <c r="AU423" s="35"/>
      <c r="AV423" s="35"/>
      <c r="AW423" s="35"/>
      <c r="AX423" s="35"/>
      <c r="AY423" s="35"/>
      <c r="AZ423" s="35"/>
      <c r="BA423" s="35"/>
      <c r="BB423" s="35"/>
      <c r="BC423" s="35"/>
    </row>
    <row r="424" spans="1:55" ht="15.75" customHeight="1" x14ac:dyDescent="0.2">
      <c r="A424" s="34"/>
      <c r="B424" s="34"/>
      <c r="C424" s="34"/>
      <c r="D424" s="34"/>
      <c r="E424" s="34"/>
      <c r="AU424" s="35"/>
      <c r="AV424" s="35"/>
      <c r="AW424" s="35"/>
      <c r="AX424" s="35"/>
      <c r="AY424" s="35"/>
      <c r="AZ424" s="35"/>
      <c r="BA424" s="35"/>
      <c r="BB424" s="35"/>
      <c r="BC424" s="35"/>
    </row>
    <row r="425" spans="1:55" ht="15.75" customHeight="1" x14ac:dyDescent="0.2">
      <c r="A425" s="34"/>
      <c r="B425" s="34"/>
      <c r="C425" s="34"/>
      <c r="D425" s="34"/>
      <c r="E425" s="34"/>
      <c r="AU425" s="35"/>
      <c r="AV425" s="35"/>
      <c r="AW425" s="35"/>
      <c r="AX425" s="35"/>
      <c r="AY425" s="35"/>
      <c r="AZ425" s="35"/>
      <c r="BA425" s="35"/>
      <c r="BB425" s="35"/>
      <c r="BC425" s="35"/>
    </row>
    <row r="426" spans="1:55" ht="15.75" customHeight="1" x14ac:dyDescent="0.2">
      <c r="A426" s="34"/>
      <c r="B426" s="34"/>
      <c r="C426" s="34"/>
      <c r="D426" s="34"/>
      <c r="E426" s="34"/>
      <c r="AU426" s="35"/>
      <c r="AV426" s="35"/>
      <c r="AW426" s="35"/>
      <c r="AX426" s="35"/>
      <c r="AY426" s="35"/>
      <c r="AZ426" s="35"/>
      <c r="BA426" s="35"/>
      <c r="BB426" s="35"/>
      <c r="BC426" s="35"/>
    </row>
    <row r="427" spans="1:55" ht="15.75" customHeight="1" x14ac:dyDescent="0.2">
      <c r="A427" s="34"/>
      <c r="B427" s="34"/>
      <c r="C427" s="34"/>
      <c r="D427" s="34"/>
      <c r="E427" s="34"/>
      <c r="AU427" s="35"/>
      <c r="AV427" s="35"/>
      <c r="AW427" s="35"/>
      <c r="AX427" s="35"/>
      <c r="AY427" s="35"/>
      <c r="AZ427" s="35"/>
      <c r="BA427" s="35"/>
      <c r="BB427" s="35"/>
      <c r="BC427" s="35"/>
    </row>
    <row r="428" spans="1:55" ht="15.75" customHeight="1" x14ac:dyDescent="0.2">
      <c r="A428" s="34"/>
      <c r="B428" s="34"/>
      <c r="C428" s="34"/>
      <c r="D428" s="34"/>
      <c r="E428" s="34"/>
      <c r="AU428" s="35"/>
      <c r="AV428" s="35"/>
      <c r="AW428" s="35"/>
      <c r="AX428" s="35"/>
      <c r="AY428" s="35"/>
      <c r="AZ428" s="35"/>
      <c r="BA428" s="35"/>
      <c r="BB428" s="35"/>
      <c r="BC428" s="35"/>
    </row>
    <row r="429" spans="1:55" ht="15.75" customHeight="1" x14ac:dyDescent="0.2">
      <c r="A429" s="34"/>
      <c r="B429" s="34"/>
      <c r="C429" s="34"/>
      <c r="D429" s="34"/>
      <c r="E429" s="34"/>
      <c r="AU429" s="35"/>
      <c r="AV429" s="35"/>
      <c r="AW429" s="35"/>
      <c r="AX429" s="35"/>
      <c r="AY429" s="35"/>
      <c r="AZ429" s="35"/>
      <c r="BA429" s="35"/>
      <c r="BB429" s="35"/>
      <c r="BC429" s="35"/>
    </row>
    <row r="430" spans="1:55" ht="15.75" customHeight="1" x14ac:dyDescent="0.2">
      <c r="A430" s="34"/>
      <c r="B430" s="34"/>
      <c r="C430" s="34"/>
      <c r="D430" s="34"/>
      <c r="E430" s="34"/>
      <c r="AU430" s="35"/>
      <c r="AV430" s="35"/>
      <c r="AW430" s="35"/>
      <c r="AX430" s="35"/>
      <c r="AY430" s="35"/>
      <c r="AZ430" s="35"/>
      <c r="BA430" s="35"/>
      <c r="BB430" s="35"/>
      <c r="BC430" s="35"/>
    </row>
    <row r="431" spans="1:55" ht="15.75" customHeight="1" x14ac:dyDescent="0.2">
      <c r="A431" s="34"/>
      <c r="B431" s="34"/>
      <c r="C431" s="34"/>
      <c r="D431" s="34"/>
      <c r="E431" s="34"/>
      <c r="AU431" s="35"/>
      <c r="AV431" s="35"/>
      <c r="AW431" s="35"/>
      <c r="AX431" s="35"/>
      <c r="AY431" s="35"/>
      <c r="AZ431" s="35"/>
      <c r="BA431" s="35"/>
      <c r="BB431" s="35"/>
      <c r="BC431" s="35"/>
    </row>
    <row r="432" spans="1:55" ht="15.75" customHeight="1" x14ac:dyDescent="0.2">
      <c r="A432" s="34"/>
      <c r="B432" s="34"/>
      <c r="C432" s="34"/>
      <c r="D432" s="34"/>
      <c r="E432" s="34"/>
      <c r="AU432" s="35"/>
      <c r="AV432" s="35"/>
      <c r="AW432" s="35"/>
      <c r="AX432" s="35"/>
      <c r="AY432" s="35"/>
      <c r="AZ432" s="35"/>
      <c r="BA432" s="35"/>
      <c r="BB432" s="35"/>
      <c r="BC432" s="35"/>
    </row>
    <row r="433" spans="1:55" ht="15.75" customHeight="1" x14ac:dyDescent="0.2">
      <c r="A433" s="34"/>
      <c r="B433" s="34"/>
      <c r="C433" s="34"/>
      <c r="D433" s="34"/>
      <c r="E433" s="34"/>
      <c r="AU433" s="35"/>
      <c r="AV433" s="35"/>
      <c r="AW433" s="35"/>
      <c r="AX433" s="35"/>
      <c r="AY433" s="35"/>
      <c r="AZ433" s="35"/>
      <c r="BA433" s="35"/>
      <c r="BB433" s="35"/>
      <c r="BC433" s="35"/>
    </row>
    <row r="434" spans="1:55" ht="15.75" customHeight="1" x14ac:dyDescent="0.2">
      <c r="A434" s="34"/>
      <c r="B434" s="34"/>
      <c r="C434" s="34"/>
      <c r="D434" s="34"/>
      <c r="E434" s="34"/>
      <c r="AU434" s="35"/>
      <c r="AV434" s="35"/>
      <c r="AW434" s="35"/>
      <c r="AX434" s="35"/>
      <c r="AY434" s="35"/>
      <c r="AZ434" s="35"/>
      <c r="BA434" s="35"/>
      <c r="BB434" s="35"/>
      <c r="BC434" s="35"/>
    </row>
    <row r="435" spans="1:55" ht="15.75" customHeight="1" x14ac:dyDescent="0.2">
      <c r="A435" s="34"/>
      <c r="B435" s="34"/>
      <c r="C435" s="34"/>
      <c r="D435" s="34"/>
      <c r="E435" s="34"/>
      <c r="AU435" s="35"/>
      <c r="AV435" s="35"/>
      <c r="AW435" s="35"/>
      <c r="AX435" s="35"/>
      <c r="AY435" s="35"/>
      <c r="AZ435" s="35"/>
      <c r="BA435" s="35"/>
      <c r="BB435" s="35"/>
      <c r="BC435" s="35"/>
    </row>
    <row r="436" spans="1:55" ht="15.75" customHeight="1" x14ac:dyDescent="0.2">
      <c r="A436" s="34"/>
      <c r="B436" s="34"/>
      <c r="C436" s="34"/>
      <c r="D436" s="34"/>
      <c r="E436" s="34"/>
      <c r="AU436" s="35"/>
      <c r="AV436" s="35"/>
      <c r="AW436" s="35"/>
      <c r="AX436" s="35"/>
      <c r="AY436" s="35"/>
      <c r="AZ436" s="35"/>
      <c r="BA436" s="35"/>
      <c r="BB436" s="35"/>
      <c r="BC436" s="35"/>
    </row>
    <row r="437" spans="1:55" ht="15.75" customHeight="1" x14ac:dyDescent="0.2">
      <c r="A437" s="34"/>
      <c r="B437" s="34"/>
      <c r="C437" s="34"/>
      <c r="D437" s="34"/>
      <c r="E437" s="34"/>
      <c r="AU437" s="35"/>
      <c r="AV437" s="35"/>
      <c r="AW437" s="35"/>
      <c r="AX437" s="35"/>
      <c r="AY437" s="35"/>
      <c r="AZ437" s="35"/>
      <c r="BA437" s="35"/>
      <c r="BB437" s="35"/>
      <c r="BC437" s="35"/>
    </row>
    <row r="438" spans="1:55" ht="15.75" customHeight="1" x14ac:dyDescent="0.2">
      <c r="A438" s="34"/>
      <c r="B438" s="34"/>
      <c r="C438" s="34"/>
      <c r="D438" s="34"/>
      <c r="E438" s="34"/>
      <c r="AU438" s="35"/>
      <c r="AV438" s="35"/>
      <c r="AW438" s="35"/>
      <c r="AX438" s="35"/>
      <c r="AY438" s="35"/>
      <c r="AZ438" s="35"/>
      <c r="BA438" s="35"/>
      <c r="BB438" s="35"/>
      <c r="BC438" s="35"/>
    </row>
    <row r="439" spans="1:55" ht="15.75" customHeight="1" x14ac:dyDescent="0.2">
      <c r="A439" s="34"/>
      <c r="B439" s="34"/>
      <c r="C439" s="34"/>
      <c r="D439" s="34"/>
      <c r="E439" s="34"/>
      <c r="AU439" s="35"/>
      <c r="AV439" s="35"/>
      <c r="AW439" s="35"/>
      <c r="AX439" s="35"/>
      <c r="AY439" s="35"/>
      <c r="AZ439" s="35"/>
      <c r="BA439" s="35"/>
      <c r="BB439" s="35"/>
      <c r="BC439" s="35"/>
    </row>
    <row r="440" spans="1:55" ht="15.75" customHeight="1" x14ac:dyDescent="0.2">
      <c r="A440" s="34"/>
      <c r="B440" s="34"/>
      <c r="C440" s="34"/>
      <c r="D440" s="34"/>
      <c r="E440" s="34"/>
      <c r="AU440" s="35"/>
      <c r="AV440" s="35"/>
      <c r="AW440" s="35"/>
      <c r="AX440" s="35"/>
      <c r="AY440" s="35"/>
      <c r="AZ440" s="35"/>
      <c r="BA440" s="35"/>
      <c r="BB440" s="35"/>
      <c r="BC440" s="35"/>
    </row>
    <row r="441" spans="1:55" ht="15.75" customHeight="1" x14ac:dyDescent="0.2">
      <c r="A441" s="34"/>
      <c r="B441" s="34"/>
      <c r="C441" s="34"/>
      <c r="D441" s="34"/>
      <c r="E441" s="34"/>
      <c r="AU441" s="35"/>
      <c r="AV441" s="35"/>
      <c r="AW441" s="35"/>
      <c r="AX441" s="35"/>
      <c r="AY441" s="35"/>
      <c r="AZ441" s="35"/>
      <c r="BA441" s="35"/>
      <c r="BB441" s="35"/>
      <c r="BC441" s="35"/>
    </row>
    <row r="442" spans="1:55" ht="15.75" customHeight="1" x14ac:dyDescent="0.2">
      <c r="A442" s="34"/>
      <c r="B442" s="34"/>
      <c r="C442" s="34"/>
      <c r="D442" s="34"/>
      <c r="E442" s="34"/>
      <c r="AU442" s="35"/>
      <c r="AV442" s="35"/>
      <c r="AW442" s="35"/>
      <c r="AX442" s="35"/>
      <c r="AY442" s="35"/>
      <c r="AZ442" s="35"/>
      <c r="BA442" s="35"/>
      <c r="BB442" s="35"/>
      <c r="BC442" s="35"/>
    </row>
    <row r="443" spans="1:55" ht="15.75" customHeight="1" x14ac:dyDescent="0.2">
      <c r="A443" s="34"/>
      <c r="B443" s="34"/>
      <c r="C443" s="34"/>
      <c r="D443" s="34"/>
      <c r="E443" s="34"/>
      <c r="AU443" s="35"/>
      <c r="AV443" s="35"/>
      <c r="AW443" s="35"/>
      <c r="AX443" s="35"/>
      <c r="AY443" s="35"/>
      <c r="AZ443" s="35"/>
      <c r="BA443" s="35"/>
      <c r="BB443" s="35"/>
      <c r="BC443" s="35"/>
    </row>
    <row r="444" spans="1:55" ht="15.75" customHeight="1" x14ac:dyDescent="0.2">
      <c r="A444" s="34"/>
      <c r="B444" s="34"/>
      <c r="C444" s="34"/>
      <c r="D444" s="34"/>
      <c r="E444" s="34"/>
      <c r="AU444" s="35"/>
      <c r="AV444" s="35"/>
      <c r="AW444" s="35"/>
      <c r="AX444" s="35"/>
      <c r="AY444" s="35"/>
      <c r="AZ444" s="35"/>
      <c r="BA444" s="35"/>
      <c r="BB444" s="35"/>
      <c r="BC444" s="35"/>
    </row>
    <row r="445" spans="1:55" ht="15.75" customHeight="1" x14ac:dyDescent="0.2">
      <c r="A445" s="34"/>
      <c r="B445" s="34"/>
      <c r="C445" s="34"/>
      <c r="D445" s="34"/>
      <c r="E445" s="34"/>
      <c r="AU445" s="35"/>
      <c r="AV445" s="35"/>
      <c r="AW445" s="35"/>
      <c r="AX445" s="35"/>
      <c r="AY445" s="35"/>
      <c r="AZ445" s="35"/>
      <c r="BA445" s="35"/>
      <c r="BB445" s="35"/>
      <c r="BC445" s="35"/>
    </row>
    <row r="446" spans="1:55" ht="15.75" customHeight="1" x14ac:dyDescent="0.2">
      <c r="A446" s="34"/>
      <c r="B446" s="34"/>
      <c r="C446" s="34"/>
      <c r="D446" s="34"/>
      <c r="E446" s="34"/>
      <c r="AU446" s="35"/>
      <c r="AV446" s="35"/>
      <c r="AW446" s="35"/>
      <c r="AX446" s="35"/>
      <c r="AY446" s="35"/>
      <c r="AZ446" s="35"/>
      <c r="BA446" s="35"/>
      <c r="BB446" s="35"/>
      <c r="BC446" s="35"/>
    </row>
    <row r="447" spans="1:55" ht="15.75" customHeight="1" x14ac:dyDescent="0.2">
      <c r="A447" s="34"/>
      <c r="B447" s="34"/>
      <c r="C447" s="34"/>
      <c r="D447" s="34"/>
      <c r="E447" s="34"/>
      <c r="AU447" s="35"/>
      <c r="AV447" s="35"/>
      <c r="AW447" s="35"/>
      <c r="AX447" s="35"/>
      <c r="AY447" s="35"/>
      <c r="AZ447" s="35"/>
      <c r="BA447" s="35"/>
      <c r="BB447" s="35"/>
      <c r="BC447" s="35"/>
    </row>
    <row r="448" spans="1:55" ht="15.75" customHeight="1" x14ac:dyDescent="0.2">
      <c r="A448" s="34"/>
      <c r="B448" s="34"/>
      <c r="C448" s="34"/>
      <c r="D448" s="34"/>
      <c r="E448" s="34"/>
      <c r="AU448" s="35"/>
      <c r="AV448" s="35"/>
      <c r="AW448" s="35"/>
      <c r="AX448" s="35"/>
      <c r="AY448" s="35"/>
      <c r="AZ448" s="35"/>
      <c r="BA448" s="35"/>
      <c r="BB448" s="35"/>
      <c r="BC448" s="35"/>
    </row>
    <row r="449" spans="1:55" ht="15.75" customHeight="1" x14ac:dyDescent="0.2">
      <c r="A449" s="34"/>
      <c r="B449" s="34"/>
      <c r="C449" s="34"/>
      <c r="D449" s="34"/>
      <c r="E449" s="34"/>
      <c r="AU449" s="35"/>
      <c r="AV449" s="35"/>
      <c r="AW449" s="35"/>
      <c r="AX449" s="35"/>
      <c r="AY449" s="35"/>
      <c r="AZ449" s="35"/>
      <c r="BA449" s="35"/>
      <c r="BB449" s="35"/>
      <c r="BC449" s="35"/>
    </row>
    <row r="450" spans="1:55" ht="15.75" customHeight="1" x14ac:dyDescent="0.2">
      <c r="A450" s="34"/>
      <c r="B450" s="34"/>
      <c r="C450" s="34"/>
      <c r="D450" s="34"/>
      <c r="E450" s="34"/>
      <c r="AU450" s="35"/>
      <c r="AV450" s="35"/>
      <c r="AW450" s="35"/>
      <c r="AX450" s="35"/>
      <c r="AY450" s="35"/>
      <c r="AZ450" s="35"/>
      <c r="BA450" s="35"/>
      <c r="BB450" s="35"/>
      <c r="BC450" s="35"/>
    </row>
    <row r="451" spans="1:55" ht="15.75" customHeight="1" x14ac:dyDescent="0.2">
      <c r="A451" s="34"/>
      <c r="B451" s="34"/>
      <c r="C451" s="34"/>
      <c r="D451" s="34"/>
      <c r="E451" s="34"/>
      <c r="AU451" s="35"/>
      <c r="AV451" s="35"/>
      <c r="AW451" s="35"/>
      <c r="AX451" s="35"/>
      <c r="AY451" s="35"/>
      <c r="AZ451" s="35"/>
      <c r="BA451" s="35"/>
      <c r="BB451" s="35"/>
      <c r="BC451" s="35"/>
    </row>
    <row r="452" spans="1:55" ht="15.75" customHeight="1" x14ac:dyDescent="0.2">
      <c r="A452" s="34"/>
      <c r="B452" s="34"/>
      <c r="C452" s="34"/>
      <c r="D452" s="34"/>
      <c r="E452" s="34"/>
      <c r="AU452" s="35"/>
      <c r="AV452" s="35"/>
      <c r="AW452" s="35"/>
      <c r="AX452" s="35"/>
      <c r="AY452" s="35"/>
      <c r="AZ452" s="35"/>
      <c r="BA452" s="35"/>
      <c r="BB452" s="35"/>
      <c r="BC452" s="35"/>
    </row>
    <row r="453" spans="1:55" ht="15.75" customHeight="1" x14ac:dyDescent="0.2">
      <c r="A453" s="34"/>
      <c r="B453" s="34"/>
      <c r="C453" s="34"/>
      <c r="D453" s="34"/>
      <c r="E453" s="34"/>
      <c r="AU453" s="35"/>
      <c r="AV453" s="35"/>
      <c r="AW453" s="35"/>
      <c r="AX453" s="35"/>
      <c r="AY453" s="35"/>
      <c r="AZ453" s="35"/>
      <c r="BA453" s="35"/>
      <c r="BB453" s="35"/>
      <c r="BC453" s="35"/>
    </row>
    <row r="454" spans="1:55" ht="15.75" customHeight="1" x14ac:dyDescent="0.2">
      <c r="A454" s="34"/>
      <c r="B454" s="34"/>
      <c r="C454" s="34"/>
      <c r="D454" s="34"/>
      <c r="E454" s="34"/>
      <c r="AU454" s="35"/>
      <c r="AV454" s="35"/>
      <c r="AW454" s="35"/>
      <c r="AX454" s="35"/>
      <c r="AY454" s="35"/>
      <c r="AZ454" s="35"/>
      <c r="BA454" s="35"/>
      <c r="BB454" s="35"/>
      <c r="BC454" s="35"/>
    </row>
    <row r="455" spans="1:55" ht="15.75" customHeight="1" x14ac:dyDescent="0.2">
      <c r="A455" s="34"/>
      <c r="B455" s="34"/>
      <c r="C455" s="34"/>
      <c r="D455" s="34"/>
      <c r="E455" s="34"/>
      <c r="AU455" s="35"/>
      <c r="AV455" s="35"/>
      <c r="AW455" s="35"/>
      <c r="AX455" s="35"/>
      <c r="AY455" s="35"/>
      <c r="AZ455" s="35"/>
      <c r="BA455" s="35"/>
      <c r="BB455" s="35"/>
      <c r="BC455" s="35"/>
    </row>
    <row r="456" spans="1:55" ht="15.75" customHeight="1" x14ac:dyDescent="0.2">
      <c r="A456" s="34"/>
      <c r="B456" s="34"/>
      <c r="C456" s="34"/>
      <c r="D456" s="34"/>
      <c r="E456" s="34"/>
      <c r="AU456" s="35"/>
      <c r="AV456" s="35"/>
      <c r="AW456" s="35"/>
      <c r="AX456" s="35"/>
      <c r="AY456" s="35"/>
      <c r="AZ456" s="35"/>
      <c r="BA456" s="35"/>
      <c r="BB456" s="35"/>
      <c r="BC456" s="35"/>
    </row>
    <row r="457" spans="1:55" ht="15.75" customHeight="1" x14ac:dyDescent="0.2">
      <c r="A457" s="34"/>
      <c r="B457" s="34"/>
      <c r="C457" s="34"/>
      <c r="D457" s="34"/>
      <c r="E457" s="34"/>
      <c r="AU457" s="35"/>
      <c r="AV457" s="35"/>
      <c r="AW457" s="35"/>
      <c r="AX457" s="35"/>
      <c r="AY457" s="35"/>
      <c r="AZ457" s="35"/>
      <c r="BA457" s="35"/>
      <c r="BB457" s="35"/>
      <c r="BC457" s="35"/>
    </row>
    <row r="458" spans="1:55" ht="15.75" customHeight="1" x14ac:dyDescent="0.2">
      <c r="A458" s="34"/>
      <c r="B458" s="34"/>
      <c r="C458" s="34"/>
      <c r="D458" s="34"/>
      <c r="E458" s="34"/>
      <c r="AU458" s="35"/>
      <c r="AV458" s="35"/>
      <c r="AW458" s="35"/>
      <c r="AX458" s="35"/>
      <c r="AY458" s="35"/>
      <c r="AZ458" s="35"/>
      <c r="BA458" s="35"/>
      <c r="BB458" s="35"/>
      <c r="BC458" s="35"/>
    </row>
    <row r="459" spans="1:55" ht="15.75" customHeight="1" x14ac:dyDescent="0.2">
      <c r="A459" s="34"/>
      <c r="B459" s="34"/>
      <c r="C459" s="34"/>
      <c r="D459" s="34"/>
      <c r="E459" s="34"/>
      <c r="AU459" s="35"/>
      <c r="AV459" s="35"/>
      <c r="AW459" s="35"/>
      <c r="AX459" s="35"/>
      <c r="AY459" s="35"/>
      <c r="AZ459" s="35"/>
      <c r="BA459" s="35"/>
      <c r="BB459" s="35"/>
      <c r="BC459" s="35"/>
    </row>
    <row r="460" spans="1:55" ht="15.75" customHeight="1" x14ac:dyDescent="0.2">
      <c r="A460" s="34"/>
      <c r="B460" s="34"/>
      <c r="C460" s="34"/>
      <c r="D460" s="34"/>
      <c r="E460" s="34"/>
      <c r="AU460" s="35"/>
      <c r="AV460" s="35"/>
      <c r="AW460" s="35"/>
      <c r="AX460" s="35"/>
      <c r="AY460" s="35"/>
      <c r="AZ460" s="35"/>
      <c r="BA460" s="35"/>
      <c r="BB460" s="35"/>
      <c r="BC460" s="35"/>
    </row>
    <row r="461" spans="1:55" ht="15.75" customHeight="1" x14ac:dyDescent="0.2">
      <c r="A461" s="34"/>
      <c r="B461" s="34"/>
      <c r="C461" s="34"/>
      <c r="D461" s="34"/>
      <c r="E461" s="34"/>
      <c r="AU461" s="35"/>
      <c r="AV461" s="35"/>
      <c r="AW461" s="35"/>
      <c r="AX461" s="35"/>
      <c r="AY461" s="35"/>
      <c r="AZ461" s="35"/>
      <c r="BA461" s="35"/>
      <c r="BB461" s="35"/>
      <c r="BC461" s="35"/>
    </row>
    <row r="462" spans="1:55" ht="15.75" customHeight="1" x14ac:dyDescent="0.2">
      <c r="A462" s="34"/>
      <c r="B462" s="34"/>
      <c r="C462" s="34"/>
      <c r="D462" s="34"/>
      <c r="E462" s="34"/>
      <c r="AU462" s="35"/>
      <c r="AV462" s="35"/>
      <c r="AW462" s="35"/>
      <c r="AX462" s="35"/>
      <c r="AY462" s="35"/>
      <c r="AZ462" s="35"/>
      <c r="BA462" s="35"/>
      <c r="BB462" s="35"/>
      <c r="BC462" s="35"/>
    </row>
    <row r="463" spans="1:55" ht="15.75" customHeight="1" x14ac:dyDescent="0.2">
      <c r="A463" s="34"/>
      <c r="B463" s="34"/>
      <c r="C463" s="34"/>
      <c r="D463" s="34"/>
      <c r="E463" s="34"/>
      <c r="AU463" s="35"/>
      <c r="AV463" s="35"/>
      <c r="AW463" s="35"/>
      <c r="AX463" s="35"/>
      <c r="AY463" s="35"/>
      <c r="AZ463" s="35"/>
      <c r="BA463" s="35"/>
      <c r="BB463" s="35"/>
      <c r="BC463" s="35"/>
    </row>
    <row r="464" spans="1:55" ht="15.75" customHeight="1" x14ac:dyDescent="0.2">
      <c r="A464" s="34"/>
      <c r="B464" s="34"/>
      <c r="C464" s="34"/>
      <c r="D464" s="34"/>
      <c r="E464" s="34"/>
      <c r="AU464" s="35"/>
      <c r="AV464" s="35"/>
      <c r="AW464" s="35"/>
      <c r="AX464" s="35"/>
      <c r="AY464" s="35"/>
      <c r="AZ464" s="35"/>
      <c r="BA464" s="35"/>
      <c r="BB464" s="35"/>
      <c r="BC464" s="35"/>
    </row>
    <row r="465" spans="1:55" ht="15.75" customHeight="1" x14ac:dyDescent="0.2">
      <c r="A465" s="34"/>
      <c r="B465" s="34"/>
      <c r="C465" s="34"/>
      <c r="D465" s="34"/>
      <c r="E465" s="34"/>
      <c r="AU465" s="35"/>
      <c r="AV465" s="35"/>
      <c r="AW465" s="35"/>
      <c r="AX465" s="35"/>
      <c r="AY465" s="35"/>
      <c r="AZ465" s="35"/>
      <c r="BA465" s="35"/>
      <c r="BB465" s="35"/>
      <c r="BC465" s="35"/>
    </row>
    <row r="466" spans="1:55" ht="15.75" customHeight="1" x14ac:dyDescent="0.2">
      <c r="A466" s="34"/>
      <c r="B466" s="34"/>
      <c r="C466" s="34"/>
      <c r="D466" s="34"/>
      <c r="E466" s="34"/>
      <c r="AU466" s="35"/>
      <c r="AV466" s="35"/>
      <c r="AW466" s="35"/>
      <c r="AX466" s="35"/>
      <c r="AY466" s="35"/>
      <c r="AZ466" s="35"/>
      <c r="BA466" s="35"/>
      <c r="BB466" s="35"/>
      <c r="BC466" s="35"/>
    </row>
    <row r="467" spans="1:55" ht="15.75" customHeight="1" x14ac:dyDescent="0.2">
      <c r="A467" s="34"/>
      <c r="B467" s="34"/>
      <c r="C467" s="34"/>
      <c r="D467" s="34"/>
      <c r="E467" s="34"/>
      <c r="AU467" s="35"/>
      <c r="AV467" s="35"/>
      <c r="AW467" s="35"/>
      <c r="AX467" s="35"/>
      <c r="AY467" s="35"/>
      <c r="AZ467" s="35"/>
      <c r="BA467" s="35"/>
      <c r="BB467" s="35"/>
      <c r="BC467" s="35"/>
    </row>
    <row r="468" spans="1:55" ht="15.75" customHeight="1" x14ac:dyDescent="0.2">
      <c r="A468" s="34"/>
      <c r="B468" s="34"/>
      <c r="C468" s="34"/>
      <c r="D468" s="34"/>
      <c r="E468" s="34"/>
      <c r="AU468" s="35"/>
      <c r="AV468" s="35"/>
      <c r="AW468" s="35"/>
      <c r="AX468" s="35"/>
      <c r="AY468" s="35"/>
      <c r="AZ468" s="35"/>
      <c r="BA468" s="35"/>
      <c r="BB468" s="35"/>
      <c r="BC468" s="35"/>
    </row>
    <row r="469" spans="1:55" ht="15.75" customHeight="1" x14ac:dyDescent="0.2">
      <c r="A469" s="34"/>
      <c r="B469" s="34"/>
      <c r="C469" s="34"/>
      <c r="D469" s="34"/>
      <c r="E469" s="34"/>
      <c r="AU469" s="35"/>
      <c r="AV469" s="35"/>
      <c r="AW469" s="35"/>
      <c r="AX469" s="35"/>
      <c r="AY469" s="35"/>
      <c r="AZ469" s="35"/>
      <c r="BA469" s="35"/>
      <c r="BB469" s="35"/>
      <c r="BC469" s="35"/>
    </row>
    <row r="470" spans="1:55" ht="15.75" customHeight="1" x14ac:dyDescent="0.2">
      <c r="A470" s="34"/>
      <c r="B470" s="34"/>
      <c r="C470" s="34"/>
      <c r="D470" s="34"/>
      <c r="E470" s="34"/>
      <c r="AU470" s="35"/>
      <c r="AV470" s="35"/>
      <c r="AW470" s="35"/>
      <c r="AX470" s="35"/>
      <c r="AY470" s="35"/>
      <c r="AZ470" s="35"/>
      <c r="BA470" s="35"/>
      <c r="BB470" s="35"/>
      <c r="BC470" s="35"/>
    </row>
    <row r="471" spans="1:55" ht="15.75" customHeight="1" x14ac:dyDescent="0.2">
      <c r="A471" s="34"/>
      <c r="B471" s="34"/>
      <c r="C471" s="34"/>
      <c r="D471" s="34"/>
      <c r="E471" s="34"/>
      <c r="AU471" s="35"/>
      <c r="AV471" s="35"/>
      <c r="AW471" s="35"/>
      <c r="AX471" s="35"/>
      <c r="AY471" s="35"/>
      <c r="AZ471" s="35"/>
      <c r="BA471" s="35"/>
      <c r="BB471" s="35"/>
      <c r="BC471" s="35"/>
    </row>
    <row r="472" spans="1:55" ht="15.75" customHeight="1" x14ac:dyDescent="0.2">
      <c r="A472" s="34"/>
      <c r="B472" s="34"/>
      <c r="C472" s="34"/>
      <c r="D472" s="34"/>
      <c r="E472" s="34"/>
      <c r="AU472" s="35"/>
      <c r="AV472" s="35"/>
      <c r="AW472" s="35"/>
      <c r="AX472" s="35"/>
      <c r="AY472" s="35"/>
      <c r="AZ472" s="35"/>
      <c r="BA472" s="35"/>
      <c r="BB472" s="35"/>
      <c r="BC472" s="35"/>
    </row>
    <row r="473" spans="1:55" ht="15.75" customHeight="1" x14ac:dyDescent="0.2">
      <c r="A473" s="34"/>
      <c r="B473" s="34"/>
      <c r="C473" s="34"/>
      <c r="D473" s="34"/>
      <c r="E473" s="34"/>
      <c r="AU473" s="35"/>
      <c r="AV473" s="35"/>
      <c r="AW473" s="35"/>
      <c r="AX473" s="35"/>
      <c r="AY473" s="35"/>
      <c r="AZ473" s="35"/>
      <c r="BA473" s="35"/>
      <c r="BB473" s="35"/>
      <c r="BC473" s="35"/>
    </row>
    <row r="474" spans="1:55" ht="15.75" customHeight="1" x14ac:dyDescent="0.2">
      <c r="A474" s="34"/>
      <c r="B474" s="34"/>
      <c r="C474" s="34"/>
      <c r="D474" s="34"/>
      <c r="E474" s="34"/>
      <c r="AU474" s="35"/>
      <c r="AV474" s="35"/>
      <c r="AW474" s="35"/>
      <c r="AX474" s="35"/>
      <c r="AY474" s="35"/>
      <c r="AZ474" s="35"/>
      <c r="BA474" s="35"/>
      <c r="BB474" s="35"/>
      <c r="BC474" s="35"/>
    </row>
    <row r="475" spans="1:55" ht="15.75" customHeight="1" x14ac:dyDescent="0.2">
      <c r="A475" s="34"/>
      <c r="B475" s="34"/>
      <c r="C475" s="34"/>
      <c r="D475" s="34"/>
      <c r="E475" s="34"/>
      <c r="AU475" s="35"/>
      <c r="AV475" s="35"/>
      <c r="AW475" s="35"/>
      <c r="AX475" s="35"/>
      <c r="AY475" s="35"/>
      <c r="AZ475" s="35"/>
      <c r="BA475" s="35"/>
      <c r="BB475" s="35"/>
      <c r="BC475" s="35"/>
    </row>
    <row r="476" spans="1:55" ht="15.75" customHeight="1" x14ac:dyDescent="0.2">
      <c r="A476" s="34"/>
      <c r="B476" s="34"/>
      <c r="C476" s="34"/>
      <c r="D476" s="34"/>
      <c r="E476" s="34"/>
      <c r="AU476" s="35"/>
      <c r="AV476" s="35"/>
      <c r="AW476" s="35"/>
      <c r="AX476" s="35"/>
      <c r="AY476" s="35"/>
      <c r="AZ476" s="35"/>
      <c r="BA476" s="35"/>
      <c r="BB476" s="35"/>
      <c r="BC476" s="35"/>
    </row>
    <row r="477" spans="1:55" ht="15.75" customHeight="1" x14ac:dyDescent="0.2">
      <c r="A477" s="34"/>
      <c r="B477" s="34"/>
      <c r="C477" s="34"/>
      <c r="D477" s="34"/>
      <c r="E477" s="34"/>
      <c r="AU477" s="35"/>
      <c r="AV477" s="35"/>
      <c r="AW477" s="35"/>
      <c r="AX477" s="35"/>
      <c r="AY477" s="35"/>
      <c r="AZ477" s="35"/>
      <c r="BA477" s="35"/>
      <c r="BB477" s="35"/>
      <c r="BC477" s="35"/>
    </row>
    <row r="478" spans="1:55" ht="15.75" customHeight="1" x14ac:dyDescent="0.2">
      <c r="A478" s="34"/>
      <c r="B478" s="34"/>
      <c r="C478" s="34"/>
      <c r="D478" s="34"/>
      <c r="E478" s="34"/>
      <c r="AU478" s="35"/>
      <c r="AV478" s="35"/>
      <c r="AW478" s="35"/>
      <c r="AX478" s="35"/>
      <c r="AY478" s="35"/>
      <c r="AZ478" s="35"/>
      <c r="BA478" s="35"/>
      <c r="BB478" s="35"/>
      <c r="BC478" s="35"/>
    </row>
    <row r="479" spans="1:55" ht="15.75" customHeight="1" x14ac:dyDescent="0.2">
      <c r="A479" s="34"/>
      <c r="B479" s="34"/>
      <c r="C479" s="34"/>
      <c r="D479" s="34"/>
      <c r="E479" s="34"/>
      <c r="AU479" s="35"/>
      <c r="AV479" s="35"/>
      <c r="AW479" s="35"/>
      <c r="AX479" s="35"/>
      <c r="AY479" s="35"/>
      <c r="AZ479" s="35"/>
      <c r="BA479" s="35"/>
      <c r="BB479" s="35"/>
      <c r="BC479" s="35"/>
    </row>
    <row r="480" spans="1:55" ht="15.75" customHeight="1" x14ac:dyDescent="0.2">
      <c r="A480" s="34"/>
      <c r="B480" s="34"/>
      <c r="C480" s="34"/>
      <c r="D480" s="34"/>
      <c r="E480" s="34"/>
      <c r="AU480" s="35"/>
      <c r="AV480" s="35"/>
      <c r="AW480" s="35"/>
      <c r="AX480" s="35"/>
      <c r="AY480" s="35"/>
      <c r="AZ480" s="35"/>
      <c r="BA480" s="35"/>
      <c r="BB480" s="35"/>
      <c r="BC480" s="35"/>
    </row>
    <row r="481" spans="1:55" ht="15.75" customHeight="1" x14ac:dyDescent="0.2">
      <c r="A481" s="34"/>
      <c r="B481" s="34"/>
      <c r="C481" s="34"/>
      <c r="D481" s="34"/>
      <c r="E481" s="34"/>
      <c r="AU481" s="35"/>
      <c r="AV481" s="35"/>
      <c r="AW481" s="35"/>
      <c r="AX481" s="35"/>
      <c r="AY481" s="35"/>
      <c r="AZ481" s="35"/>
      <c r="BA481" s="35"/>
      <c r="BB481" s="35"/>
      <c r="BC481" s="35"/>
    </row>
    <row r="482" spans="1:55" ht="15.75" customHeight="1" x14ac:dyDescent="0.2">
      <c r="A482" s="34"/>
      <c r="B482" s="34"/>
      <c r="C482" s="34"/>
      <c r="D482" s="34"/>
      <c r="E482" s="34"/>
      <c r="AU482" s="35"/>
      <c r="AV482" s="35"/>
      <c r="AW482" s="35"/>
      <c r="AX482" s="35"/>
      <c r="AY482" s="35"/>
      <c r="AZ482" s="35"/>
      <c r="BA482" s="35"/>
      <c r="BB482" s="35"/>
      <c r="BC482" s="35"/>
    </row>
    <row r="483" spans="1:55" ht="15.75" customHeight="1" x14ac:dyDescent="0.2">
      <c r="A483" s="34"/>
      <c r="B483" s="34"/>
      <c r="C483" s="34"/>
      <c r="D483" s="34"/>
      <c r="E483" s="34"/>
      <c r="AU483" s="35"/>
      <c r="AV483" s="35"/>
      <c r="AW483" s="35"/>
      <c r="AX483" s="35"/>
      <c r="AY483" s="35"/>
      <c r="AZ483" s="35"/>
      <c r="BA483" s="35"/>
      <c r="BB483" s="35"/>
      <c r="BC483" s="35"/>
    </row>
    <row r="484" spans="1:55" ht="15.75" customHeight="1" x14ac:dyDescent="0.2">
      <c r="A484" s="34"/>
      <c r="B484" s="34"/>
      <c r="C484" s="34"/>
      <c r="D484" s="34"/>
      <c r="E484" s="34"/>
      <c r="AU484" s="35"/>
      <c r="AV484" s="35"/>
      <c r="AW484" s="35"/>
      <c r="AX484" s="35"/>
      <c r="AY484" s="35"/>
      <c r="AZ484" s="35"/>
      <c r="BA484" s="35"/>
      <c r="BB484" s="35"/>
      <c r="BC484" s="35"/>
    </row>
    <row r="485" spans="1:55" ht="15.75" customHeight="1" x14ac:dyDescent="0.2">
      <c r="A485" s="34"/>
      <c r="B485" s="34"/>
      <c r="C485" s="34"/>
      <c r="D485" s="34"/>
      <c r="E485" s="34"/>
      <c r="AU485" s="35"/>
      <c r="AV485" s="35"/>
      <c r="AW485" s="35"/>
      <c r="AX485" s="35"/>
      <c r="AY485" s="35"/>
      <c r="AZ485" s="35"/>
      <c r="BA485" s="35"/>
      <c r="BB485" s="35"/>
      <c r="BC485" s="35"/>
    </row>
    <row r="486" spans="1:55" ht="15.75" customHeight="1" x14ac:dyDescent="0.2">
      <c r="A486" s="34"/>
      <c r="B486" s="34"/>
      <c r="C486" s="34"/>
      <c r="D486" s="34"/>
      <c r="E486" s="34"/>
      <c r="AU486" s="35"/>
      <c r="AV486" s="35"/>
      <c r="AW486" s="35"/>
      <c r="AX486" s="35"/>
      <c r="AY486" s="35"/>
      <c r="AZ486" s="35"/>
      <c r="BA486" s="35"/>
      <c r="BB486" s="35"/>
      <c r="BC486" s="35"/>
    </row>
    <row r="487" spans="1:55" ht="15.75" customHeight="1" x14ac:dyDescent="0.2">
      <c r="A487" s="34"/>
      <c r="B487" s="34"/>
      <c r="C487" s="34"/>
      <c r="D487" s="34"/>
      <c r="E487" s="34"/>
      <c r="AU487" s="35"/>
      <c r="AV487" s="35"/>
      <c r="AW487" s="35"/>
      <c r="AX487" s="35"/>
      <c r="AY487" s="35"/>
      <c r="AZ487" s="35"/>
      <c r="BA487" s="35"/>
      <c r="BB487" s="35"/>
      <c r="BC487" s="35"/>
    </row>
    <row r="488" spans="1:55" ht="15.75" customHeight="1" x14ac:dyDescent="0.2">
      <c r="A488" s="34"/>
      <c r="B488" s="34"/>
      <c r="C488" s="34"/>
      <c r="D488" s="34"/>
      <c r="E488" s="34"/>
      <c r="AU488" s="35"/>
      <c r="AV488" s="35"/>
      <c r="AW488" s="35"/>
      <c r="AX488" s="35"/>
      <c r="AY488" s="35"/>
      <c r="AZ488" s="35"/>
      <c r="BA488" s="35"/>
      <c r="BB488" s="35"/>
      <c r="BC488" s="35"/>
    </row>
    <row r="489" spans="1:55" ht="15.75" customHeight="1" x14ac:dyDescent="0.2">
      <c r="A489" s="34"/>
      <c r="B489" s="34"/>
      <c r="C489" s="34"/>
      <c r="D489" s="34"/>
      <c r="E489" s="34"/>
      <c r="AU489" s="35"/>
      <c r="AV489" s="35"/>
      <c r="AW489" s="35"/>
      <c r="AX489" s="35"/>
      <c r="AY489" s="35"/>
      <c r="AZ489" s="35"/>
      <c r="BA489" s="35"/>
      <c r="BB489" s="35"/>
      <c r="BC489" s="35"/>
    </row>
    <row r="490" spans="1:55" ht="15.75" customHeight="1" x14ac:dyDescent="0.2">
      <c r="A490" s="34"/>
      <c r="B490" s="34"/>
      <c r="C490" s="34"/>
      <c r="D490" s="34"/>
      <c r="E490" s="34"/>
      <c r="AU490" s="35"/>
      <c r="AV490" s="35"/>
      <c r="AW490" s="35"/>
      <c r="AX490" s="35"/>
      <c r="AY490" s="35"/>
      <c r="AZ490" s="35"/>
      <c r="BA490" s="35"/>
      <c r="BB490" s="35"/>
      <c r="BC490" s="35"/>
    </row>
    <row r="491" spans="1:55" ht="15.75" customHeight="1" x14ac:dyDescent="0.2">
      <c r="A491" s="34"/>
      <c r="B491" s="34"/>
      <c r="C491" s="34"/>
      <c r="D491" s="34"/>
      <c r="E491" s="34"/>
      <c r="AU491" s="35"/>
      <c r="AV491" s="35"/>
      <c r="AW491" s="35"/>
      <c r="AX491" s="35"/>
      <c r="AY491" s="35"/>
      <c r="AZ491" s="35"/>
      <c r="BA491" s="35"/>
      <c r="BB491" s="35"/>
      <c r="BC491" s="35"/>
    </row>
    <row r="492" spans="1:55" ht="15.75" customHeight="1" x14ac:dyDescent="0.2">
      <c r="A492" s="34"/>
      <c r="B492" s="34"/>
      <c r="C492" s="34"/>
      <c r="D492" s="34"/>
      <c r="E492" s="34"/>
      <c r="AU492" s="35"/>
      <c r="AV492" s="35"/>
      <c r="AW492" s="35"/>
      <c r="AX492" s="35"/>
      <c r="AY492" s="35"/>
      <c r="AZ492" s="35"/>
      <c r="BA492" s="35"/>
      <c r="BB492" s="35"/>
      <c r="BC492" s="35"/>
    </row>
    <row r="493" spans="1:55" ht="15.75" customHeight="1" x14ac:dyDescent="0.2">
      <c r="A493" s="34"/>
      <c r="B493" s="34"/>
      <c r="C493" s="34"/>
      <c r="D493" s="34"/>
      <c r="E493" s="34"/>
      <c r="AU493" s="35"/>
      <c r="AV493" s="35"/>
      <c r="AW493" s="35"/>
      <c r="AX493" s="35"/>
      <c r="AY493" s="35"/>
      <c r="AZ493" s="35"/>
      <c r="BA493" s="35"/>
      <c r="BB493" s="35"/>
      <c r="BC493" s="35"/>
    </row>
    <row r="494" spans="1:55" ht="15.75" customHeight="1" x14ac:dyDescent="0.2">
      <c r="A494" s="34"/>
      <c r="B494" s="34"/>
      <c r="C494" s="34"/>
      <c r="D494" s="34"/>
      <c r="E494" s="34"/>
      <c r="AU494" s="35"/>
      <c r="AV494" s="35"/>
      <c r="AW494" s="35"/>
      <c r="AX494" s="35"/>
      <c r="AY494" s="35"/>
      <c r="AZ494" s="35"/>
      <c r="BA494" s="35"/>
      <c r="BB494" s="35"/>
      <c r="BC494" s="35"/>
    </row>
    <row r="495" spans="1:55" ht="15.75" customHeight="1" x14ac:dyDescent="0.2">
      <c r="A495" s="34"/>
      <c r="B495" s="34"/>
      <c r="C495" s="34"/>
      <c r="D495" s="34"/>
      <c r="E495" s="34"/>
      <c r="AU495" s="35"/>
      <c r="AV495" s="35"/>
      <c r="AW495" s="35"/>
      <c r="AX495" s="35"/>
      <c r="AY495" s="35"/>
      <c r="AZ495" s="35"/>
      <c r="BA495" s="35"/>
      <c r="BB495" s="35"/>
      <c r="BC495" s="35"/>
    </row>
    <row r="496" spans="1:55" ht="15.75" customHeight="1" x14ac:dyDescent="0.2">
      <c r="A496" s="34"/>
      <c r="B496" s="34"/>
      <c r="C496" s="34"/>
      <c r="D496" s="34"/>
      <c r="E496" s="34"/>
      <c r="AU496" s="35"/>
      <c r="AV496" s="35"/>
      <c r="AW496" s="35"/>
      <c r="AX496" s="35"/>
      <c r="AY496" s="35"/>
      <c r="AZ496" s="35"/>
      <c r="BA496" s="35"/>
      <c r="BB496" s="35"/>
      <c r="BC496" s="35"/>
    </row>
    <row r="497" spans="1:55" ht="15.75" customHeight="1" x14ac:dyDescent="0.2">
      <c r="A497" s="34"/>
      <c r="B497" s="34"/>
      <c r="C497" s="34"/>
      <c r="D497" s="34"/>
      <c r="E497" s="34"/>
      <c r="AU497" s="35"/>
      <c r="AV497" s="35"/>
      <c r="AW497" s="35"/>
      <c r="AX497" s="35"/>
      <c r="AY497" s="35"/>
      <c r="AZ497" s="35"/>
      <c r="BA497" s="35"/>
      <c r="BB497" s="35"/>
      <c r="BC497" s="35"/>
    </row>
    <row r="498" spans="1:55" ht="15.75" customHeight="1" x14ac:dyDescent="0.2">
      <c r="A498" s="34"/>
      <c r="B498" s="34"/>
      <c r="C498" s="34"/>
      <c r="D498" s="34"/>
      <c r="E498" s="34"/>
      <c r="AU498" s="35"/>
      <c r="AV498" s="35"/>
      <c r="AW498" s="35"/>
      <c r="AX498" s="35"/>
      <c r="AY498" s="35"/>
      <c r="AZ498" s="35"/>
      <c r="BA498" s="35"/>
      <c r="BB498" s="35"/>
      <c r="BC498" s="35"/>
    </row>
    <row r="499" spans="1:55" ht="15.75" customHeight="1" x14ac:dyDescent="0.2">
      <c r="A499" s="34"/>
      <c r="B499" s="34"/>
      <c r="C499" s="34"/>
      <c r="D499" s="34"/>
      <c r="E499" s="34"/>
      <c r="AU499" s="35"/>
      <c r="AV499" s="35"/>
      <c r="AW499" s="35"/>
      <c r="AX499" s="35"/>
      <c r="AY499" s="35"/>
      <c r="AZ499" s="35"/>
      <c r="BA499" s="35"/>
      <c r="BB499" s="35"/>
      <c r="BC499" s="35"/>
    </row>
    <row r="500" spans="1:55" ht="15.75" customHeight="1" x14ac:dyDescent="0.2">
      <c r="A500" s="34"/>
      <c r="B500" s="34"/>
      <c r="C500" s="34"/>
      <c r="D500" s="34"/>
      <c r="E500" s="34"/>
      <c r="AU500" s="35"/>
      <c r="AV500" s="35"/>
      <c r="AW500" s="35"/>
      <c r="AX500" s="35"/>
      <c r="AY500" s="35"/>
      <c r="AZ500" s="35"/>
      <c r="BA500" s="35"/>
      <c r="BB500" s="35"/>
      <c r="BC500" s="35"/>
    </row>
    <row r="501" spans="1:55" ht="15.75" customHeight="1" x14ac:dyDescent="0.2">
      <c r="A501" s="34"/>
      <c r="B501" s="34"/>
      <c r="C501" s="34"/>
      <c r="D501" s="34"/>
      <c r="E501" s="34"/>
      <c r="AU501" s="35"/>
      <c r="AV501" s="35"/>
      <c r="AW501" s="35"/>
      <c r="AX501" s="35"/>
      <c r="AY501" s="35"/>
      <c r="AZ501" s="35"/>
      <c r="BA501" s="35"/>
      <c r="BB501" s="35"/>
      <c r="BC501" s="35"/>
    </row>
    <row r="502" spans="1:55" ht="15.75" customHeight="1" x14ac:dyDescent="0.2">
      <c r="A502" s="34"/>
      <c r="B502" s="34"/>
      <c r="C502" s="34"/>
      <c r="D502" s="34"/>
      <c r="E502" s="34"/>
      <c r="AU502" s="35"/>
      <c r="AV502" s="35"/>
      <c r="AW502" s="35"/>
      <c r="AX502" s="35"/>
      <c r="AY502" s="35"/>
      <c r="AZ502" s="35"/>
      <c r="BA502" s="35"/>
      <c r="BB502" s="35"/>
      <c r="BC502" s="35"/>
    </row>
    <row r="503" spans="1:55" ht="15.75" customHeight="1" x14ac:dyDescent="0.2">
      <c r="A503" s="34"/>
      <c r="B503" s="34"/>
      <c r="C503" s="34"/>
      <c r="D503" s="34"/>
      <c r="E503" s="34"/>
      <c r="AU503" s="35"/>
      <c r="AV503" s="35"/>
      <c r="AW503" s="35"/>
      <c r="AX503" s="35"/>
      <c r="AY503" s="35"/>
      <c r="AZ503" s="35"/>
      <c r="BA503" s="35"/>
      <c r="BB503" s="35"/>
      <c r="BC503" s="35"/>
    </row>
    <row r="504" spans="1:55" ht="15.75" customHeight="1" x14ac:dyDescent="0.2">
      <c r="A504" s="34"/>
      <c r="B504" s="34"/>
      <c r="C504" s="34"/>
      <c r="D504" s="34"/>
      <c r="E504" s="34"/>
      <c r="AU504" s="35"/>
      <c r="AV504" s="35"/>
      <c r="AW504" s="35"/>
      <c r="AX504" s="35"/>
      <c r="AY504" s="35"/>
      <c r="AZ504" s="35"/>
      <c r="BA504" s="35"/>
      <c r="BB504" s="35"/>
      <c r="BC504" s="35"/>
    </row>
    <row r="505" spans="1:55" ht="15.75" customHeight="1" x14ac:dyDescent="0.2">
      <c r="A505" s="34"/>
      <c r="B505" s="34"/>
      <c r="C505" s="34"/>
      <c r="D505" s="34"/>
      <c r="E505" s="34"/>
      <c r="AU505" s="35"/>
      <c r="AV505" s="35"/>
      <c r="AW505" s="35"/>
      <c r="AX505" s="35"/>
      <c r="AY505" s="35"/>
      <c r="AZ505" s="35"/>
      <c r="BA505" s="35"/>
      <c r="BB505" s="35"/>
      <c r="BC505" s="35"/>
    </row>
    <row r="506" spans="1:55" ht="15.75" customHeight="1" x14ac:dyDescent="0.2">
      <c r="A506" s="34"/>
      <c r="B506" s="34"/>
      <c r="C506" s="34"/>
      <c r="D506" s="34"/>
      <c r="E506" s="34"/>
      <c r="AU506" s="35"/>
      <c r="AV506" s="35"/>
      <c r="AW506" s="35"/>
      <c r="AX506" s="35"/>
      <c r="AY506" s="35"/>
      <c r="AZ506" s="35"/>
      <c r="BA506" s="35"/>
      <c r="BB506" s="35"/>
      <c r="BC506" s="35"/>
    </row>
    <row r="507" spans="1:55" ht="15.75" customHeight="1" x14ac:dyDescent="0.2">
      <c r="A507" s="34"/>
      <c r="B507" s="34"/>
      <c r="C507" s="34"/>
      <c r="D507" s="34"/>
      <c r="E507" s="34"/>
      <c r="AU507" s="35"/>
      <c r="AV507" s="35"/>
      <c r="AW507" s="35"/>
      <c r="AX507" s="35"/>
      <c r="AY507" s="35"/>
      <c r="AZ507" s="35"/>
      <c r="BA507" s="35"/>
      <c r="BB507" s="35"/>
      <c r="BC507" s="35"/>
    </row>
    <row r="508" spans="1:55" ht="15.75" customHeight="1" x14ac:dyDescent="0.2">
      <c r="A508" s="34"/>
      <c r="B508" s="34"/>
      <c r="C508" s="34"/>
      <c r="D508" s="34"/>
      <c r="E508" s="34"/>
      <c r="AU508" s="35"/>
      <c r="AV508" s="35"/>
      <c r="AW508" s="35"/>
      <c r="AX508" s="35"/>
      <c r="AY508" s="35"/>
      <c r="AZ508" s="35"/>
      <c r="BA508" s="35"/>
      <c r="BB508" s="35"/>
      <c r="BC508" s="35"/>
    </row>
    <row r="509" spans="1:55" ht="15.75" customHeight="1" x14ac:dyDescent="0.2">
      <c r="A509" s="34"/>
      <c r="B509" s="34"/>
      <c r="C509" s="34"/>
      <c r="D509" s="34"/>
      <c r="E509" s="34"/>
      <c r="AU509" s="35"/>
      <c r="AV509" s="35"/>
      <c r="AW509" s="35"/>
      <c r="AX509" s="35"/>
      <c r="AY509" s="35"/>
      <c r="AZ509" s="35"/>
      <c r="BA509" s="35"/>
      <c r="BB509" s="35"/>
      <c r="BC509" s="35"/>
    </row>
    <row r="510" spans="1:55" ht="15.75" customHeight="1" x14ac:dyDescent="0.2">
      <c r="A510" s="34"/>
      <c r="B510" s="34"/>
      <c r="C510" s="34"/>
      <c r="D510" s="34"/>
      <c r="E510" s="34"/>
      <c r="AU510" s="35"/>
      <c r="AV510" s="35"/>
      <c r="AW510" s="35"/>
      <c r="AX510" s="35"/>
      <c r="AY510" s="35"/>
      <c r="AZ510" s="35"/>
      <c r="BA510" s="35"/>
      <c r="BB510" s="35"/>
      <c r="BC510" s="35"/>
    </row>
    <row r="511" spans="1:55" ht="15.75" customHeight="1" x14ac:dyDescent="0.2">
      <c r="A511" s="34"/>
      <c r="B511" s="34"/>
      <c r="C511" s="34"/>
      <c r="D511" s="34"/>
      <c r="E511" s="34"/>
      <c r="AU511" s="35"/>
      <c r="AV511" s="35"/>
      <c r="AW511" s="35"/>
      <c r="AX511" s="35"/>
      <c r="AY511" s="35"/>
      <c r="AZ511" s="35"/>
      <c r="BA511" s="35"/>
      <c r="BB511" s="35"/>
      <c r="BC511" s="35"/>
    </row>
    <row r="512" spans="1:55" ht="15.75" customHeight="1" x14ac:dyDescent="0.2">
      <c r="A512" s="34"/>
      <c r="B512" s="34"/>
      <c r="C512" s="34"/>
      <c r="D512" s="34"/>
      <c r="E512" s="34"/>
      <c r="AU512" s="35"/>
      <c r="AV512" s="35"/>
      <c r="AW512" s="35"/>
      <c r="AX512" s="35"/>
      <c r="AY512" s="35"/>
      <c r="AZ512" s="35"/>
      <c r="BA512" s="35"/>
      <c r="BB512" s="35"/>
      <c r="BC512" s="35"/>
    </row>
    <row r="513" spans="1:55" ht="15.75" customHeight="1" x14ac:dyDescent="0.2">
      <c r="A513" s="34"/>
      <c r="B513" s="34"/>
      <c r="C513" s="34"/>
      <c r="D513" s="34"/>
      <c r="E513" s="34"/>
      <c r="AU513" s="35"/>
      <c r="AV513" s="35"/>
      <c r="AW513" s="35"/>
      <c r="AX513" s="35"/>
      <c r="AY513" s="35"/>
      <c r="AZ513" s="35"/>
      <c r="BA513" s="35"/>
      <c r="BB513" s="35"/>
      <c r="BC513" s="35"/>
    </row>
    <row r="514" spans="1:55" ht="15.75" customHeight="1" x14ac:dyDescent="0.2">
      <c r="A514" s="34"/>
      <c r="B514" s="34"/>
      <c r="C514" s="34"/>
      <c r="D514" s="34"/>
      <c r="E514" s="34"/>
      <c r="AU514" s="35"/>
      <c r="AV514" s="35"/>
      <c r="AW514" s="35"/>
      <c r="AX514" s="35"/>
      <c r="AY514" s="35"/>
      <c r="AZ514" s="35"/>
      <c r="BA514" s="35"/>
      <c r="BB514" s="35"/>
      <c r="BC514" s="35"/>
    </row>
    <row r="515" spans="1:55" ht="15.75" customHeight="1" x14ac:dyDescent="0.2">
      <c r="A515" s="34"/>
      <c r="B515" s="34"/>
      <c r="C515" s="34"/>
      <c r="D515" s="34"/>
      <c r="E515" s="34"/>
      <c r="AU515" s="35"/>
      <c r="AV515" s="35"/>
      <c r="AW515" s="35"/>
      <c r="AX515" s="35"/>
      <c r="AY515" s="35"/>
      <c r="AZ515" s="35"/>
      <c r="BA515" s="35"/>
      <c r="BB515" s="35"/>
      <c r="BC515" s="35"/>
    </row>
    <row r="516" spans="1:55" ht="15.75" customHeight="1" x14ac:dyDescent="0.2">
      <c r="A516" s="34"/>
      <c r="B516" s="34"/>
      <c r="C516" s="34"/>
      <c r="D516" s="34"/>
      <c r="E516" s="34"/>
      <c r="AU516" s="35"/>
      <c r="AV516" s="35"/>
      <c r="AW516" s="35"/>
      <c r="AX516" s="35"/>
      <c r="AY516" s="35"/>
      <c r="AZ516" s="35"/>
      <c r="BA516" s="35"/>
      <c r="BB516" s="35"/>
      <c r="BC516" s="35"/>
    </row>
    <row r="517" spans="1:55" ht="15.75" customHeight="1" x14ac:dyDescent="0.2">
      <c r="A517" s="34"/>
      <c r="B517" s="34"/>
      <c r="C517" s="34"/>
      <c r="D517" s="34"/>
      <c r="E517" s="34"/>
      <c r="AU517" s="35"/>
      <c r="AV517" s="35"/>
      <c r="AW517" s="35"/>
      <c r="AX517" s="35"/>
      <c r="AY517" s="35"/>
      <c r="AZ517" s="35"/>
      <c r="BA517" s="35"/>
      <c r="BB517" s="35"/>
      <c r="BC517" s="35"/>
    </row>
    <row r="518" spans="1:55" ht="15.75" customHeight="1" x14ac:dyDescent="0.2">
      <c r="A518" s="34"/>
      <c r="B518" s="34"/>
      <c r="C518" s="34"/>
      <c r="D518" s="34"/>
      <c r="E518" s="34"/>
      <c r="AU518" s="35"/>
      <c r="AV518" s="35"/>
      <c r="AW518" s="35"/>
      <c r="AX518" s="35"/>
      <c r="AY518" s="35"/>
      <c r="AZ518" s="35"/>
      <c r="BA518" s="35"/>
      <c r="BB518" s="35"/>
      <c r="BC518" s="35"/>
    </row>
    <row r="519" spans="1:55" ht="15.75" customHeight="1" x14ac:dyDescent="0.2">
      <c r="A519" s="34"/>
      <c r="B519" s="34"/>
      <c r="C519" s="34"/>
      <c r="D519" s="34"/>
      <c r="E519" s="34"/>
      <c r="AU519" s="35"/>
      <c r="AV519" s="35"/>
      <c r="AW519" s="35"/>
      <c r="AX519" s="35"/>
      <c r="AY519" s="35"/>
      <c r="AZ519" s="35"/>
      <c r="BA519" s="35"/>
      <c r="BB519" s="35"/>
      <c r="BC519" s="35"/>
    </row>
    <row r="520" spans="1:55" ht="15.75" customHeight="1" x14ac:dyDescent="0.2">
      <c r="A520" s="34"/>
      <c r="B520" s="34"/>
      <c r="C520" s="34"/>
      <c r="D520" s="34"/>
      <c r="E520" s="34"/>
      <c r="AU520" s="35"/>
      <c r="AV520" s="35"/>
      <c r="AW520" s="35"/>
      <c r="AX520" s="35"/>
      <c r="AY520" s="35"/>
      <c r="AZ520" s="35"/>
      <c r="BA520" s="35"/>
      <c r="BB520" s="35"/>
      <c r="BC520" s="35"/>
    </row>
    <row r="521" spans="1:55" ht="15.75" customHeight="1" x14ac:dyDescent="0.2">
      <c r="A521" s="34"/>
      <c r="B521" s="34"/>
      <c r="C521" s="34"/>
      <c r="D521" s="34"/>
      <c r="E521" s="34"/>
      <c r="AU521" s="35"/>
      <c r="AV521" s="35"/>
      <c r="AW521" s="35"/>
      <c r="AX521" s="35"/>
      <c r="AY521" s="35"/>
      <c r="AZ521" s="35"/>
      <c r="BA521" s="35"/>
      <c r="BB521" s="35"/>
      <c r="BC521" s="35"/>
    </row>
    <row r="522" spans="1:55" ht="15.75" customHeight="1" x14ac:dyDescent="0.2">
      <c r="A522" s="34"/>
      <c r="B522" s="34"/>
      <c r="C522" s="34"/>
      <c r="D522" s="34"/>
      <c r="E522" s="34"/>
      <c r="AU522" s="35"/>
      <c r="AV522" s="35"/>
      <c r="AW522" s="35"/>
      <c r="AX522" s="35"/>
      <c r="AY522" s="35"/>
      <c r="AZ522" s="35"/>
      <c r="BA522" s="35"/>
      <c r="BB522" s="35"/>
      <c r="BC522" s="35"/>
    </row>
    <row r="523" spans="1:55" ht="15.75" customHeight="1" x14ac:dyDescent="0.2">
      <c r="A523" s="34"/>
      <c r="B523" s="34"/>
      <c r="C523" s="34"/>
      <c r="D523" s="34"/>
      <c r="E523" s="34"/>
      <c r="AU523" s="35"/>
      <c r="AV523" s="35"/>
      <c r="AW523" s="35"/>
      <c r="AX523" s="35"/>
      <c r="AY523" s="35"/>
      <c r="AZ523" s="35"/>
      <c r="BA523" s="35"/>
      <c r="BB523" s="35"/>
      <c r="BC523" s="35"/>
    </row>
    <row r="524" spans="1:55" ht="15.75" customHeight="1" x14ac:dyDescent="0.2">
      <c r="A524" s="34"/>
      <c r="B524" s="34"/>
      <c r="C524" s="34"/>
      <c r="D524" s="34"/>
      <c r="E524" s="34"/>
      <c r="AU524" s="35"/>
      <c r="AV524" s="35"/>
      <c r="AW524" s="35"/>
      <c r="AX524" s="35"/>
      <c r="AY524" s="35"/>
      <c r="AZ524" s="35"/>
      <c r="BA524" s="35"/>
      <c r="BB524" s="35"/>
      <c r="BC524" s="35"/>
    </row>
    <row r="525" spans="1:55" ht="15.75" customHeight="1" x14ac:dyDescent="0.2">
      <c r="A525" s="34"/>
      <c r="B525" s="34"/>
      <c r="C525" s="34"/>
      <c r="D525" s="34"/>
      <c r="E525" s="34"/>
      <c r="AU525" s="35"/>
      <c r="AV525" s="35"/>
      <c r="AW525" s="35"/>
      <c r="AX525" s="35"/>
      <c r="AY525" s="35"/>
      <c r="AZ525" s="35"/>
      <c r="BA525" s="35"/>
      <c r="BB525" s="35"/>
      <c r="BC525" s="35"/>
    </row>
    <row r="526" spans="1:55" ht="15.75" customHeight="1" x14ac:dyDescent="0.2">
      <c r="A526" s="34"/>
      <c r="B526" s="34"/>
      <c r="C526" s="34"/>
      <c r="D526" s="34"/>
      <c r="E526" s="34"/>
      <c r="AU526" s="35"/>
      <c r="AV526" s="35"/>
      <c r="AW526" s="35"/>
      <c r="AX526" s="35"/>
      <c r="AY526" s="35"/>
      <c r="AZ526" s="35"/>
      <c r="BA526" s="35"/>
      <c r="BB526" s="35"/>
      <c r="BC526" s="35"/>
    </row>
    <row r="527" spans="1:55" ht="15.75" customHeight="1" x14ac:dyDescent="0.2">
      <c r="A527" s="34"/>
      <c r="B527" s="34"/>
      <c r="C527" s="34"/>
      <c r="D527" s="34"/>
      <c r="E527" s="34"/>
      <c r="AU527" s="35"/>
      <c r="AV527" s="35"/>
      <c r="AW527" s="35"/>
      <c r="AX527" s="35"/>
      <c r="AY527" s="35"/>
      <c r="AZ527" s="35"/>
      <c r="BA527" s="35"/>
      <c r="BB527" s="35"/>
      <c r="BC527" s="35"/>
    </row>
    <row r="528" spans="1:55" ht="15.75" customHeight="1" x14ac:dyDescent="0.2">
      <c r="A528" s="34"/>
      <c r="B528" s="34"/>
      <c r="C528" s="34"/>
      <c r="D528" s="34"/>
      <c r="E528" s="34"/>
      <c r="AU528" s="35"/>
      <c r="AV528" s="35"/>
      <c r="AW528" s="35"/>
      <c r="AX528" s="35"/>
      <c r="AY528" s="35"/>
      <c r="AZ528" s="35"/>
      <c r="BA528" s="35"/>
      <c r="BB528" s="35"/>
      <c r="BC528" s="35"/>
    </row>
    <row r="529" spans="1:55" ht="15.75" customHeight="1" x14ac:dyDescent="0.2">
      <c r="A529" s="34"/>
      <c r="B529" s="34"/>
      <c r="C529" s="34"/>
      <c r="D529" s="34"/>
      <c r="E529" s="34"/>
      <c r="AU529" s="35"/>
      <c r="AV529" s="35"/>
      <c r="AW529" s="35"/>
      <c r="AX529" s="35"/>
      <c r="AY529" s="35"/>
      <c r="AZ529" s="35"/>
      <c r="BA529" s="35"/>
      <c r="BB529" s="35"/>
      <c r="BC529" s="35"/>
    </row>
    <row r="530" spans="1:55" ht="15.75" customHeight="1" x14ac:dyDescent="0.2">
      <c r="A530" s="34"/>
      <c r="B530" s="34"/>
      <c r="C530" s="34"/>
      <c r="D530" s="34"/>
      <c r="E530" s="34"/>
      <c r="AU530" s="35"/>
      <c r="AV530" s="35"/>
      <c r="AW530" s="35"/>
      <c r="AX530" s="35"/>
      <c r="AY530" s="35"/>
      <c r="AZ530" s="35"/>
      <c r="BA530" s="35"/>
      <c r="BB530" s="35"/>
      <c r="BC530" s="35"/>
    </row>
    <row r="531" spans="1:55" ht="15.75" customHeight="1" x14ac:dyDescent="0.2">
      <c r="A531" s="34"/>
      <c r="B531" s="34"/>
      <c r="C531" s="34"/>
      <c r="D531" s="34"/>
      <c r="E531" s="34"/>
      <c r="AU531" s="35"/>
      <c r="AV531" s="35"/>
      <c r="AW531" s="35"/>
      <c r="AX531" s="35"/>
      <c r="AY531" s="35"/>
      <c r="AZ531" s="35"/>
      <c r="BA531" s="35"/>
      <c r="BB531" s="35"/>
      <c r="BC531" s="35"/>
    </row>
    <row r="532" spans="1:55" ht="15.75" customHeight="1" x14ac:dyDescent="0.2">
      <c r="A532" s="34"/>
      <c r="B532" s="34"/>
      <c r="C532" s="34"/>
      <c r="D532" s="34"/>
      <c r="E532" s="34"/>
      <c r="AU532" s="35"/>
      <c r="AV532" s="35"/>
      <c r="AW532" s="35"/>
      <c r="AX532" s="35"/>
      <c r="AY532" s="35"/>
      <c r="AZ532" s="35"/>
      <c r="BA532" s="35"/>
      <c r="BB532" s="35"/>
      <c r="BC532" s="35"/>
    </row>
    <row r="533" spans="1:55" ht="15.75" customHeight="1" x14ac:dyDescent="0.2">
      <c r="A533" s="34"/>
      <c r="B533" s="34"/>
      <c r="C533" s="34"/>
      <c r="D533" s="34"/>
      <c r="E533" s="34"/>
      <c r="AU533" s="35"/>
      <c r="AV533" s="35"/>
      <c r="AW533" s="35"/>
      <c r="AX533" s="35"/>
      <c r="AY533" s="35"/>
      <c r="AZ533" s="35"/>
      <c r="BA533" s="35"/>
      <c r="BB533" s="35"/>
      <c r="BC533" s="35"/>
    </row>
    <row r="534" spans="1:55" ht="15.75" customHeight="1" x14ac:dyDescent="0.2">
      <c r="A534" s="34"/>
      <c r="B534" s="34"/>
      <c r="C534" s="34"/>
      <c r="D534" s="34"/>
      <c r="E534" s="34"/>
      <c r="AU534" s="35"/>
      <c r="AV534" s="35"/>
      <c r="AW534" s="35"/>
      <c r="AX534" s="35"/>
      <c r="AY534" s="35"/>
      <c r="AZ534" s="35"/>
      <c r="BA534" s="35"/>
      <c r="BB534" s="35"/>
      <c r="BC534" s="35"/>
    </row>
    <row r="535" spans="1:55" ht="15.75" customHeight="1" x14ac:dyDescent="0.2">
      <c r="A535" s="34"/>
      <c r="B535" s="34"/>
      <c r="C535" s="34"/>
      <c r="D535" s="34"/>
      <c r="E535" s="34"/>
      <c r="AU535" s="35"/>
      <c r="AV535" s="35"/>
      <c r="AW535" s="35"/>
      <c r="AX535" s="35"/>
      <c r="AY535" s="35"/>
      <c r="AZ535" s="35"/>
      <c r="BA535" s="35"/>
      <c r="BB535" s="35"/>
      <c r="BC535" s="35"/>
    </row>
    <row r="536" spans="1:55" ht="15.75" customHeight="1" x14ac:dyDescent="0.2">
      <c r="A536" s="34"/>
      <c r="B536" s="34"/>
      <c r="C536" s="34"/>
      <c r="D536" s="34"/>
      <c r="E536" s="34"/>
      <c r="AU536" s="35"/>
      <c r="AV536" s="35"/>
      <c r="AW536" s="35"/>
      <c r="AX536" s="35"/>
      <c r="AY536" s="35"/>
      <c r="AZ536" s="35"/>
      <c r="BA536" s="35"/>
      <c r="BB536" s="35"/>
      <c r="BC536" s="35"/>
    </row>
    <row r="537" spans="1:55" ht="15.75" customHeight="1" x14ac:dyDescent="0.2">
      <c r="A537" s="34"/>
      <c r="B537" s="34"/>
      <c r="C537" s="34"/>
      <c r="D537" s="34"/>
      <c r="E537" s="34"/>
      <c r="AU537" s="35"/>
      <c r="AV537" s="35"/>
      <c r="AW537" s="35"/>
      <c r="AX537" s="35"/>
      <c r="AY537" s="35"/>
      <c r="AZ537" s="35"/>
      <c r="BA537" s="35"/>
      <c r="BB537" s="35"/>
      <c r="BC537" s="35"/>
    </row>
    <row r="538" spans="1:55" ht="15.75" customHeight="1" x14ac:dyDescent="0.2">
      <c r="A538" s="34"/>
      <c r="B538" s="34"/>
      <c r="C538" s="34"/>
      <c r="D538" s="34"/>
      <c r="E538" s="34"/>
      <c r="AU538" s="35"/>
      <c r="AV538" s="35"/>
      <c r="AW538" s="35"/>
      <c r="AX538" s="35"/>
      <c r="AY538" s="35"/>
      <c r="AZ538" s="35"/>
      <c r="BA538" s="35"/>
      <c r="BB538" s="35"/>
      <c r="BC538" s="35"/>
    </row>
    <row r="539" spans="1:55" ht="15.75" customHeight="1" x14ac:dyDescent="0.2">
      <c r="A539" s="34"/>
      <c r="B539" s="34"/>
      <c r="C539" s="34"/>
      <c r="D539" s="34"/>
      <c r="E539" s="34"/>
      <c r="AU539" s="35"/>
      <c r="AV539" s="35"/>
      <c r="AW539" s="35"/>
      <c r="AX539" s="35"/>
      <c r="AY539" s="35"/>
      <c r="AZ539" s="35"/>
      <c r="BA539" s="35"/>
      <c r="BB539" s="35"/>
      <c r="BC539" s="35"/>
    </row>
    <row r="540" spans="1:55" ht="15.75" customHeight="1" x14ac:dyDescent="0.2">
      <c r="A540" s="34"/>
      <c r="B540" s="34"/>
      <c r="C540" s="34"/>
      <c r="D540" s="34"/>
      <c r="E540" s="34"/>
      <c r="AU540" s="35"/>
      <c r="AV540" s="35"/>
      <c r="AW540" s="35"/>
      <c r="AX540" s="35"/>
      <c r="AY540" s="35"/>
      <c r="AZ540" s="35"/>
      <c r="BA540" s="35"/>
      <c r="BB540" s="35"/>
      <c r="BC540" s="35"/>
    </row>
    <row r="541" spans="1:55" ht="15.75" customHeight="1" x14ac:dyDescent="0.2">
      <c r="A541" s="34"/>
      <c r="B541" s="34"/>
      <c r="C541" s="34"/>
      <c r="D541" s="34"/>
      <c r="E541" s="34"/>
      <c r="AU541" s="35"/>
      <c r="AV541" s="35"/>
      <c r="AW541" s="35"/>
      <c r="AX541" s="35"/>
      <c r="AY541" s="35"/>
      <c r="AZ541" s="35"/>
      <c r="BA541" s="35"/>
      <c r="BB541" s="35"/>
      <c r="BC541" s="35"/>
    </row>
    <row r="542" spans="1:55" ht="15.75" customHeight="1" x14ac:dyDescent="0.2">
      <c r="A542" s="34"/>
      <c r="B542" s="34"/>
      <c r="C542" s="34"/>
      <c r="D542" s="34"/>
      <c r="E542" s="34"/>
      <c r="AU542" s="35"/>
      <c r="AV542" s="35"/>
      <c r="AW542" s="35"/>
      <c r="AX542" s="35"/>
      <c r="AY542" s="35"/>
      <c r="AZ542" s="35"/>
      <c r="BA542" s="35"/>
      <c r="BB542" s="35"/>
      <c r="BC542" s="35"/>
    </row>
    <row r="543" spans="1:55" ht="15.75" customHeight="1" x14ac:dyDescent="0.2">
      <c r="A543" s="34"/>
      <c r="B543" s="34"/>
      <c r="C543" s="34"/>
      <c r="D543" s="34"/>
      <c r="E543" s="34"/>
      <c r="AU543" s="35"/>
      <c r="AV543" s="35"/>
      <c r="AW543" s="35"/>
      <c r="AX543" s="35"/>
      <c r="AY543" s="35"/>
      <c r="AZ543" s="35"/>
      <c r="BA543" s="35"/>
      <c r="BB543" s="35"/>
      <c r="BC543" s="35"/>
    </row>
    <row r="544" spans="1:55" ht="15.75" customHeight="1" x14ac:dyDescent="0.2">
      <c r="A544" s="34"/>
      <c r="B544" s="34"/>
      <c r="C544" s="34"/>
      <c r="D544" s="34"/>
      <c r="E544" s="34"/>
      <c r="AU544" s="35"/>
      <c r="AV544" s="35"/>
      <c r="AW544" s="35"/>
      <c r="AX544" s="35"/>
      <c r="AY544" s="35"/>
      <c r="AZ544" s="35"/>
      <c r="BA544" s="35"/>
      <c r="BB544" s="35"/>
      <c r="BC544" s="35"/>
    </row>
    <row r="545" spans="1:55" ht="15.75" customHeight="1" x14ac:dyDescent="0.2">
      <c r="A545" s="34"/>
      <c r="B545" s="34"/>
      <c r="C545" s="34"/>
      <c r="D545" s="34"/>
      <c r="E545" s="34"/>
      <c r="AU545" s="35"/>
      <c r="AV545" s="35"/>
      <c r="AW545" s="35"/>
      <c r="AX545" s="35"/>
      <c r="AY545" s="35"/>
      <c r="AZ545" s="35"/>
      <c r="BA545" s="35"/>
      <c r="BB545" s="35"/>
      <c r="BC545" s="35"/>
    </row>
    <row r="546" spans="1:55" ht="15.75" customHeight="1" x14ac:dyDescent="0.2">
      <c r="A546" s="34"/>
      <c r="B546" s="34"/>
      <c r="C546" s="34"/>
      <c r="D546" s="34"/>
      <c r="E546" s="34"/>
      <c r="AU546" s="35"/>
      <c r="AV546" s="35"/>
      <c r="AW546" s="35"/>
      <c r="AX546" s="35"/>
      <c r="AY546" s="35"/>
      <c r="AZ546" s="35"/>
      <c r="BA546" s="35"/>
      <c r="BB546" s="35"/>
      <c r="BC546" s="35"/>
    </row>
    <row r="547" spans="1:55" ht="15.75" customHeight="1" x14ac:dyDescent="0.2">
      <c r="A547" s="34"/>
      <c r="B547" s="34"/>
      <c r="C547" s="34"/>
      <c r="D547" s="34"/>
      <c r="E547" s="34"/>
      <c r="AU547" s="35"/>
      <c r="AV547" s="35"/>
      <c r="AW547" s="35"/>
      <c r="AX547" s="35"/>
      <c r="AY547" s="35"/>
      <c r="AZ547" s="35"/>
      <c r="BA547" s="35"/>
      <c r="BB547" s="35"/>
      <c r="BC547" s="35"/>
    </row>
    <row r="548" spans="1:55" ht="15.75" customHeight="1" x14ac:dyDescent="0.2">
      <c r="A548" s="34"/>
      <c r="B548" s="34"/>
      <c r="C548" s="34"/>
      <c r="D548" s="34"/>
      <c r="E548" s="34"/>
      <c r="AU548" s="35"/>
      <c r="AV548" s="35"/>
      <c r="AW548" s="35"/>
      <c r="AX548" s="35"/>
      <c r="AY548" s="35"/>
      <c r="AZ548" s="35"/>
      <c r="BA548" s="35"/>
      <c r="BB548" s="35"/>
      <c r="BC548" s="35"/>
    </row>
    <row r="549" spans="1:55" ht="15.75" customHeight="1" x14ac:dyDescent="0.2">
      <c r="A549" s="34"/>
      <c r="B549" s="34"/>
      <c r="C549" s="34"/>
      <c r="D549" s="34"/>
      <c r="E549" s="34"/>
      <c r="AU549" s="35"/>
      <c r="AV549" s="35"/>
      <c r="AW549" s="35"/>
      <c r="AX549" s="35"/>
      <c r="AY549" s="35"/>
      <c r="AZ549" s="35"/>
      <c r="BA549" s="35"/>
      <c r="BB549" s="35"/>
      <c r="BC549" s="35"/>
    </row>
    <row r="550" spans="1:55" ht="15.75" customHeight="1" x14ac:dyDescent="0.2">
      <c r="A550" s="34"/>
      <c r="B550" s="34"/>
      <c r="C550" s="34"/>
      <c r="D550" s="34"/>
      <c r="E550" s="34"/>
      <c r="AU550" s="35"/>
      <c r="AV550" s="35"/>
      <c r="AW550" s="35"/>
      <c r="AX550" s="35"/>
      <c r="AY550" s="35"/>
      <c r="AZ550" s="35"/>
      <c r="BA550" s="35"/>
      <c r="BB550" s="35"/>
      <c r="BC550" s="35"/>
    </row>
    <row r="551" spans="1:55" ht="15.75" customHeight="1" x14ac:dyDescent="0.2">
      <c r="A551" s="34"/>
      <c r="B551" s="34"/>
      <c r="C551" s="34"/>
      <c r="D551" s="34"/>
      <c r="E551" s="34"/>
      <c r="AU551" s="35"/>
      <c r="AV551" s="35"/>
      <c r="AW551" s="35"/>
      <c r="AX551" s="35"/>
      <c r="AY551" s="35"/>
      <c r="AZ551" s="35"/>
      <c r="BA551" s="35"/>
      <c r="BB551" s="35"/>
      <c r="BC551" s="35"/>
    </row>
    <row r="552" spans="1:55" ht="15.75" customHeight="1" x14ac:dyDescent="0.2">
      <c r="A552" s="34"/>
      <c r="B552" s="34"/>
      <c r="C552" s="34"/>
      <c r="D552" s="34"/>
      <c r="E552" s="34"/>
      <c r="AU552" s="35"/>
      <c r="AV552" s="35"/>
      <c r="AW552" s="35"/>
      <c r="AX552" s="35"/>
      <c r="AY552" s="35"/>
      <c r="AZ552" s="35"/>
      <c r="BA552" s="35"/>
      <c r="BB552" s="35"/>
      <c r="BC552" s="35"/>
    </row>
    <row r="553" spans="1:55" ht="15.75" customHeight="1" x14ac:dyDescent="0.2">
      <c r="A553" s="34"/>
      <c r="B553" s="34"/>
      <c r="C553" s="34"/>
      <c r="D553" s="34"/>
      <c r="E553" s="34"/>
      <c r="AU553" s="35"/>
      <c r="AV553" s="35"/>
      <c r="AW553" s="35"/>
      <c r="AX553" s="35"/>
      <c r="AY553" s="35"/>
      <c r="AZ553" s="35"/>
      <c r="BA553" s="35"/>
      <c r="BB553" s="35"/>
      <c r="BC553" s="35"/>
    </row>
    <row r="554" spans="1:55" ht="15.75" customHeight="1" x14ac:dyDescent="0.2">
      <c r="A554" s="34"/>
      <c r="B554" s="34"/>
      <c r="C554" s="34"/>
      <c r="D554" s="34"/>
      <c r="E554" s="34"/>
      <c r="AU554" s="35"/>
      <c r="AV554" s="35"/>
      <c r="AW554" s="35"/>
      <c r="AX554" s="35"/>
      <c r="AY554" s="35"/>
      <c r="AZ554" s="35"/>
      <c r="BA554" s="35"/>
      <c r="BB554" s="35"/>
      <c r="BC554" s="35"/>
    </row>
    <row r="555" spans="1:55" ht="15.75" customHeight="1" x14ac:dyDescent="0.2">
      <c r="A555" s="34"/>
      <c r="B555" s="34"/>
      <c r="C555" s="34"/>
      <c r="D555" s="34"/>
      <c r="E555" s="34"/>
      <c r="AU555" s="35"/>
      <c r="AV555" s="35"/>
      <c r="AW555" s="35"/>
      <c r="AX555" s="35"/>
      <c r="AY555" s="35"/>
      <c r="AZ555" s="35"/>
      <c r="BA555" s="35"/>
      <c r="BB555" s="35"/>
      <c r="BC555" s="35"/>
    </row>
    <row r="556" spans="1:55" ht="15.75" customHeight="1" x14ac:dyDescent="0.2">
      <c r="A556" s="34"/>
      <c r="B556" s="34"/>
      <c r="C556" s="34"/>
      <c r="D556" s="34"/>
      <c r="E556" s="34"/>
      <c r="AU556" s="35"/>
      <c r="AV556" s="35"/>
      <c r="AW556" s="35"/>
      <c r="AX556" s="35"/>
      <c r="AY556" s="35"/>
      <c r="AZ556" s="35"/>
      <c r="BA556" s="35"/>
      <c r="BB556" s="35"/>
      <c r="BC556" s="35"/>
    </row>
    <row r="557" spans="1:55" ht="15.75" customHeight="1" x14ac:dyDescent="0.2">
      <c r="A557" s="34"/>
      <c r="B557" s="34"/>
      <c r="C557" s="34"/>
      <c r="D557" s="34"/>
      <c r="E557" s="34"/>
      <c r="AU557" s="35"/>
      <c r="AV557" s="35"/>
      <c r="AW557" s="35"/>
      <c r="AX557" s="35"/>
      <c r="AY557" s="35"/>
      <c r="AZ557" s="35"/>
      <c r="BA557" s="35"/>
      <c r="BB557" s="35"/>
      <c r="BC557" s="35"/>
    </row>
    <row r="558" spans="1:55" ht="15.75" customHeight="1" x14ac:dyDescent="0.2">
      <c r="A558" s="34"/>
      <c r="B558" s="34"/>
      <c r="C558" s="34"/>
      <c r="D558" s="34"/>
      <c r="E558" s="34"/>
      <c r="AU558" s="35"/>
      <c r="AV558" s="35"/>
      <c r="AW558" s="35"/>
      <c r="AX558" s="35"/>
      <c r="AY558" s="35"/>
      <c r="AZ558" s="35"/>
      <c r="BA558" s="35"/>
      <c r="BB558" s="35"/>
      <c r="BC558" s="35"/>
    </row>
    <row r="559" spans="1:55" ht="15.75" customHeight="1" x14ac:dyDescent="0.2">
      <c r="A559" s="34"/>
      <c r="B559" s="34"/>
      <c r="C559" s="34"/>
      <c r="D559" s="34"/>
      <c r="E559" s="34"/>
      <c r="AU559" s="35"/>
      <c r="AV559" s="35"/>
      <c r="AW559" s="35"/>
      <c r="AX559" s="35"/>
      <c r="AY559" s="35"/>
      <c r="AZ559" s="35"/>
      <c r="BA559" s="35"/>
      <c r="BB559" s="35"/>
      <c r="BC559" s="35"/>
    </row>
    <row r="560" spans="1:55" ht="15.75" customHeight="1" x14ac:dyDescent="0.2">
      <c r="A560" s="34"/>
      <c r="B560" s="34"/>
      <c r="C560" s="34"/>
      <c r="D560" s="34"/>
      <c r="E560" s="34"/>
      <c r="AU560" s="35"/>
      <c r="AV560" s="35"/>
      <c r="AW560" s="35"/>
      <c r="AX560" s="35"/>
      <c r="AY560" s="35"/>
      <c r="AZ560" s="35"/>
      <c r="BA560" s="35"/>
      <c r="BB560" s="35"/>
      <c r="BC560" s="35"/>
    </row>
    <row r="561" spans="1:55" ht="15.75" customHeight="1" x14ac:dyDescent="0.2">
      <c r="A561" s="34"/>
      <c r="B561" s="34"/>
      <c r="C561" s="34"/>
      <c r="D561" s="34"/>
      <c r="E561" s="34"/>
      <c r="AU561" s="35"/>
      <c r="AV561" s="35"/>
      <c r="AW561" s="35"/>
      <c r="AX561" s="35"/>
      <c r="AY561" s="35"/>
      <c r="AZ561" s="35"/>
      <c r="BA561" s="35"/>
      <c r="BB561" s="35"/>
      <c r="BC561" s="35"/>
    </row>
    <row r="562" spans="1:55" ht="15.75" customHeight="1" x14ac:dyDescent="0.2">
      <c r="A562" s="34"/>
      <c r="B562" s="34"/>
      <c r="C562" s="34"/>
      <c r="D562" s="34"/>
      <c r="E562" s="34"/>
      <c r="AU562" s="35"/>
      <c r="AV562" s="35"/>
      <c r="AW562" s="35"/>
      <c r="AX562" s="35"/>
      <c r="AY562" s="35"/>
      <c r="AZ562" s="35"/>
      <c r="BA562" s="35"/>
      <c r="BB562" s="35"/>
      <c r="BC562" s="35"/>
    </row>
    <row r="563" spans="1:55" ht="15.75" customHeight="1" x14ac:dyDescent="0.2">
      <c r="A563" s="34"/>
      <c r="B563" s="34"/>
      <c r="C563" s="34"/>
      <c r="D563" s="34"/>
      <c r="E563" s="34"/>
      <c r="AU563" s="35"/>
      <c r="AV563" s="35"/>
      <c r="AW563" s="35"/>
      <c r="AX563" s="35"/>
      <c r="AY563" s="35"/>
      <c r="AZ563" s="35"/>
      <c r="BA563" s="35"/>
      <c r="BB563" s="35"/>
      <c r="BC563" s="35"/>
    </row>
    <row r="564" spans="1:55" ht="15.75" customHeight="1" x14ac:dyDescent="0.2">
      <c r="A564" s="34"/>
      <c r="B564" s="34"/>
      <c r="C564" s="34"/>
      <c r="D564" s="34"/>
      <c r="E564" s="34"/>
      <c r="AU564" s="35"/>
      <c r="AV564" s="35"/>
      <c r="AW564" s="35"/>
      <c r="AX564" s="35"/>
      <c r="AY564" s="35"/>
      <c r="AZ564" s="35"/>
      <c r="BA564" s="35"/>
      <c r="BB564" s="35"/>
      <c r="BC564" s="35"/>
    </row>
    <row r="565" spans="1:55" ht="15.75" customHeight="1" x14ac:dyDescent="0.2">
      <c r="A565" s="34"/>
      <c r="B565" s="34"/>
      <c r="C565" s="34"/>
      <c r="D565" s="34"/>
      <c r="E565" s="34"/>
      <c r="AU565" s="35"/>
      <c r="AV565" s="35"/>
      <c r="AW565" s="35"/>
      <c r="AX565" s="35"/>
      <c r="AY565" s="35"/>
      <c r="AZ565" s="35"/>
      <c r="BA565" s="35"/>
      <c r="BB565" s="35"/>
      <c r="BC565" s="35"/>
    </row>
    <row r="566" spans="1:55" ht="15.75" customHeight="1" x14ac:dyDescent="0.2">
      <c r="A566" s="34"/>
      <c r="B566" s="34"/>
      <c r="C566" s="34"/>
      <c r="D566" s="34"/>
      <c r="E566" s="34"/>
      <c r="AU566" s="35"/>
      <c r="AV566" s="35"/>
      <c r="AW566" s="35"/>
      <c r="AX566" s="35"/>
      <c r="AY566" s="35"/>
      <c r="AZ566" s="35"/>
      <c r="BA566" s="35"/>
      <c r="BB566" s="35"/>
      <c r="BC566" s="35"/>
    </row>
    <row r="567" spans="1:55" ht="15.75" customHeight="1" x14ac:dyDescent="0.2">
      <c r="A567" s="34"/>
      <c r="B567" s="34"/>
      <c r="C567" s="34"/>
      <c r="D567" s="34"/>
      <c r="E567" s="34"/>
      <c r="AU567" s="35"/>
      <c r="AV567" s="35"/>
      <c r="AW567" s="35"/>
      <c r="AX567" s="35"/>
      <c r="AY567" s="35"/>
      <c r="AZ567" s="35"/>
      <c r="BA567" s="35"/>
      <c r="BB567" s="35"/>
      <c r="BC567" s="35"/>
    </row>
    <row r="568" spans="1:55" ht="15.75" customHeight="1" x14ac:dyDescent="0.2">
      <c r="A568" s="34"/>
      <c r="B568" s="34"/>
      <c r="C568" s="34"/>
      <c r="D568" s="34"/>
      <c r="E568" s="34"/>
      <c r="AU568" s="35"/>
      <c r="AV568" s="35"/>
      <c r="AW568" s="35"/>
      <c r="AX568" s="35"/>
      <c r="AY568" s="35"/>
      <c r="AZ568" s="35"/>
      <c r="BA568" s="35"/>
      <c r="BB568" s="35"/>
      <c r="BC568" s="35"/>
    </row>
    <row r="569" spans="1:55" ht="15.75" customHeight="1" x14ac:dyDescent="0.2">
      <c r="A569" s="34"/>
      <c r="B569" s="34"/>
      <c r="C569" s="34"/>
      <c r="D569" s="34"/>
      <c r="E569" s="34"/>
      <c r="AU569" s="35"/>
      <c r="AV569" s="35"/>
      <c r="AW569" s="35"/>
      <c r="AX569" s="35"/>
      <c r="AY569" s="35"/>
      <c r="AZ569" s="35"/>
      <c r="BA569" s="35"/>
      <c r="BB569" s="35"/>
      <c r="BC569" s="35"/>
    </row>
    <row r="570" spans="1:55" ht="15.75" customHeight="1" x14ac:dyDescent="0.2">
      <c r="A570" s="34"/>
      <c r="B570" s="34"/>
      <c r="C570" s="34"/>
      <c r="D570" s="34"/>
      <c r="E570" s="34"/>
      <c r="AU570" s="35"/>
      <c r="AV570" s="35"/>
      <c r="AW570" s="35"/>
      <c r="AX570" s="35"/>
      <c r="AY570" s="35"/>
      <c r="AZ570" s="35"/>
      <c r="BA570" s="35"/>
      <c r="BB570" s="35"/>
      <c r="BC570" s="35"/>
    </row>
    <row r="571" spans="1:55" ht="15.75" customHeight="1" x14ac:dyDescent="0.2">
      <c r="A571" s="34"/>
      <c r="B571" s="34"/>
      <c r="C571" s="34"/>
      <c r="D571" s="34"/>
      <c r="E571" s="34"/>
      <c r="AU571" s="35"/>
      <c r="AV571" s="35"/>
      <c r="AW571" s="35"/>
      <c r="AX571" s="35"/>
      <c r="AY571" s="35"/>
      <c r="AZ571" s="35"/>
      <c r="BA571" s="35"/>
      <c r="BB571" s="35"/>
      <c r="BC571" s="35"/>
    </row>
    <row r="572" spans="1:55" ht="15.75" customHeight="1" x14ac:dyDescent="0.2">
      <c r="A572" s="34"/>
      <c r="B572" s="34"/>
      <c r="C572" s="34"/>
      <c r="D572" s="34"/>
      <c r="E572" s="34"/>
      <c r="AU572" s="35"/>
      <c r="AV572" s="35"/>
      <c r="AW572" s="35"/>
      <c r="AX572" s="35"/>
      <c r="AY572" s="35"/>
      <c r="AZ572" s="35"/>
      <c r="BA572" s="35"/>
      <c r="BB572" s="35"/>
      <c r="BC572" s="35"/>
    </row>
    <row r="573" spans="1:55" ht="15.75" customHeight="1" x14ac:dyDescent="0.2">
      <c r="A573" s="34"/>
      <c r="B573" s="34"/>
      <c r="C573" s="34"/>
      <c r="D573" s="34"/>
      <c r="E573" s="34"/>
      <c r="AU573" s="35"/>
      <c r="AV573" s="35"/>
      <c r="AW573" s="35"/>
      <c r="AX573" s="35"/>
      <c r="AY573" s="35"/>
      <c r="AZ573" s="35"/>
      <c r="BA573" s="35"/>
      <c r="BB573" s="35"/>
      <c r="BC573" s="35"/>
    </row>
    <row r="574" spans="1:55" ht="15.75" customHeight="1" x14ac:dyDescent="0.2">
      <c r="A574" s="34"/>
      <c r="B574" s="34"/>
      <c r="C574" s="34"/>
      <c r="D574" s="34"/>
      <c r="E574" s="34"/>
      <c r="AU574" s="35"/>
      <c r="AV574" s="35"/>
      <c r="AW574" s="35"/>
      <c r="AX574" s="35"/>
      <c r="AY574" s="35"/>
      <c r="AZ574" s="35"/>
      <c r="BA574" s="35"/>
      <c r="BB574" s="35"/>
      <c r="BC574" s="35"/>
    </row>
    <row r="575" spans="1:55" ht="15.75" customHeight="1" x14ac:dyDescent="0.2">
      <c r="A575" s="34"/>
      <c r="B575" s="34"/>
      <c r="C575" s="34"/>
      <c r="D575" s="34"/>
      <c r="E575" s="34"/>
      <c r="AU575" s="35"/>
      <c r="AV575" s="35"/>
      <c r="AW575" s="35"/>
      <c r="AX575" s="35"/>
      <c r="AY575" s="35"/>
      <c r="AZ575" s="35"/>
      <c r="BA575" s="35"/>
      <c r="BB575" s="35"/>
      <c r="BC575" s="35"/>
    </row>
    <row r="576" spans="1:55" ht="15.75" customHeight="1" x14ac:dyDescent="0.2">
      <c r="A576" s="34"/>
      <c r="B576" s="34"/>
      <c r="C576" s="34"/>
      <c r="D576" s="34"/>
      <c r="E576" s="34"/>
      <c r="AU576" s="35"/>
      <c r="AV576" s="35"/>
      <c r="AW576" s="35"/>
      <c r="AX576" s="35"/>
      <c r="AY576" s="35"/>
      <c r="AZ576" s="35"/>
      <c r="BA576" s="35"/>
      <c r="BB576" s="35"/>
      <c r="BC576" s="35"/>
    </row>
    <row r="577" spans="1:55" ht="15.75" customHeight="1" x14ac:dyDescent="0.2">
      <c r="A577" s="34"/>
      <c r="B577" s="34"/>
      <c r="C577" s="34"/>
      <c r="D577" s="34"/>
      <c r="E577" s="34"/>
      <c r="AU577" s="35"/>
      <c r="AV577" s="35"/>
      <c r="AW577" s="35"/>
      <c r="AX577" s="35"/>
      <c r="AY577" s="35"/>
      <c r="AZ577" s="35"/>
      <c r="BA577" s="35"/>
      <c r="BB577" s="35"/>
      <c r="BC577" s="35"/>
    </row>
    <row r="578" spans="1:55" ht="15.75" customHeight="1" x14ac:dyDescent="0.2">
      <c r="A578" s="34"/>
      <c r="B578" s="34"/>
      <c r="C578" s="34"/>
      <c r="D578" s="34"/>
      <c r="E578" s="34"/>
      <c r="AU578" s="35"/>
      <c r="AV578" s="35"/>
      <c r="AW578" s="35"/>
      <c r="AX578" s="35"/>
      <c r="AY578" s="35"/>
      <c r="AZ578" s="35"/>
      <c r="BA578" s="35"/>
      <c r="BB578" s="35"/>
      <c r="BC578" s="35"/>
    </row>
    <row r="579" spans="1:55" ht="15.75" customHeight="1" x14ac:dyDescent="0.2">
      <c r="A579" s="34"/>
      <c r="B579" s="34"/>
      <c r="C579" s="34"/>
      <c r="D579" s="34"/>
      <c r="E579" s="34"/>
      <c r="AU579" s="35"/>
      <c r="AV579" s="35"/>
      <c r="AW579" s="35"/>
      <c r="AX579" s="35"/>
      <c r="AY579" s="35"/>
      <c r="AZ579" s="35"/>
      <c r="BA579" s="35"/>
      <c r="BB579" s="35"/>
      <c r="BC579" s="35"/>
    </row>
    <row r="580" spans="1:55" ht="15.75" customHeight="1" x14ac:dyDescent="0.2">
      <c r="A580" s="34"/>
      <c r="B580" s="34"/>
      <c r="C580" s="34"/>
      <c r="D580" s="34"/>
      <c r="E580" s="34"/>
      <c r="AU580" s="35"/>
      <c r="AV580" s="35"/>
      <c r="AW580" s="35"/>
      <c r="AX580" s="35"/>
      <c r="AY580" s="35"/>
      <c r="AZ580" s="35"/>
      <c r="BA580" s="35"/>
      <c r="BB580" s="35"/>
      <c r="BC580" s="35"/>
    </row>
    <row r="581" spans="1:55" ht="15.75" customHeight="1" x14ac:dyDescent="0.2">
      <c r="A581" s="34"/>
      <c r="B581" s="34"/>
      <c r="C581" s="34"/>
      <c r="D581" s="34"/>
      <c r="E581" s="34"/>
      <c r="AU581" s="35"/>
      <c r="AV581" s="35"/>
      <c r="AW581" s="35"/>
      <c r="AX581" s="35"/>
      <c r="AY581" s="35"/>
      <c r="AZ581" s="35"/>
      <c r="BA581" s="35"/>
      <c r="BB581" s="35"/>
      <c r="BC581" s="35"/>
    </row>
    <row r="582" spans="1:55" ht="15.75" customHeight="1" x14ac:dyDescent="0.2">
      <c r="A582" s="34"/>
      <c r="B582" s="34"/>
      <c r="C582" s="34"/>
      <c r="D582" s="34"/>
      <c r="E582" s="34"/>
      <c r="AU582" s="35"/>
      <c r="AV582" s="35"/>
      <c r="AW582" s="35"/>
      <c r="AX582" s="35"/>
      <c r="AY582" s="35"/>
      <c r="AZ582" s="35"/>
      <c r="BA582" s="35"/>
      <c r="BB582" s="35"/>
      <c r="BC582" s="35"/>
    </row>
    <row r="583" spans="1:55" ht="15.75" customHeight="1" x14ac:dyDescent="0.2">
      <c r="A583" s="34"/>
      <c r="B583" s="34"/>
      <c r="C583" s="34"/>
      <c r="D583" s="34"/>
      <c r="E583" s="34"/>
      <c r="AU583" s="35"/>
      <c r="AV583" s="35"/>
      <c r="AW583" s="35"/>
      <c r="AX583" s="35"/>
      <c r="AY583" s="35"/>
      <c r="AZ583" s="35"/>
      <c r="BA583" s="35"/>
      <c r="BB583" s="35"/>
      <c r="BC583" s="35"/>
    </row>
    <row r="584" spans="1:55" ht="15.75" customHeight="1" x14ac:dyDescent="0.2">
      <c r="A584" s="34"/>
      <c r="B584" s="34"/>
      <c r="C584" s="34"/>
      <c r="D584" s="34"/>
      <c r="E584" s="34"/>
      <c r="AU584" s="35"/>
      <c r="AV584" s="35"/>
      <c r="AW584" s="35"/>
      <c r="AX584" s="35"/>
      <c r="AY584" s="35"/>
      <c r="AZ584" s="35"/>
      <c r="BA584" s="35"/>
      <c r="BB584" s="35"/>
      <c r="BC584" s="35"/>
    </row>
    <row r="585" spans="1:55" ht="15.75" customHeight="1" x14ac:dyDescent="0.2">
      <c r="A585" s="34"/>
      <c r="B585" s="34"/>
      <c r="C585" s="34"/>
      <c r="D585" s="34"/>
      <c r="E585" s="34"/>
      <c r="AU585" s="35"/>
      <c r="AV585" s="35"/>
      <c r="AW585" s="35"/>
      <c r="AX585" s="35"/>
      <c r="AY585" s="35"/>
      <c r="AZ585" s="35"/>
      <c r="BA585" s="35"/>
      <c r="BB585" s="35"/>
      <c r="BC585" s="35"/>
    </row>
    <row r="586" spans="1:55" ht="15.75" customHeight="1" x14ac:dyDescent="0.2">
      <c r="A586" s="34"/>
      <c r="B586" s="34"/>
      <c r="C586" s="34"/>
      <c r="D586" s="34"/>
      <c r="E586" s="34"/>
      <c r="AU586" s="35"/>
      <c r="AV586" s="35"/>
      <c r="AW586" s="35"/>
      <c r="AX586" s="35"/>
      <c r="AY586" s="35"/>
      <c r="AZ586" s="35"/>
      <c r="BA586" s="35"/>
      <c r="BB586" s="35"/>
      <c r="BC586" s="35"/>
    </row>
    <row r="587" spans="1:55" ht="15.75" customHeight="1" x14ac:dyDescent="0.2">
      <c r="A587" s="34"/>
      <c r="B587" s="34"/>
      <c r="C587" s="34"/>
      <c r="D587" s="34"/>
      <c r="E587" s="34"/>
      <c r="AU587" s="35"/>
      <c r="AV587" s="35"/>
      <c r="AW587" s="35"/>
      <c r="AX587" s="35"/>
      <c r="AY587" s="35"/>
      <c r="AZ587" s="35"/>
      <c r="BA587" s="35"/>
      <c r="BB587" s="35"/>
      <c r="BC587" s="35"/>
    </row>
    <row r="588" spans="1:55" ht="15.75" customHeight="1" x14ac:dyDescent="0.2">
      <c r="A588" s="34"/>
      <c r="B588" s="34"/>
      <c r="C588" s="34"/>
      <c r="D588" s="34"/>
      <c r="E588" s="34"/>
      <c r="AU588" s="35"/>
      <c r="AV588" s="35"/>
      <c r="AW588" s="35"/>
      <c r="AX588" s="35"/>
      <c r="AY588" s="35"/>
      <c r="AZ588" s="35"/>
      <c r="BA588" s="35"/>
      <c r="BB588" s="35"/>
      <c r="BC588" s="35"/>
    </row>
    <row r="589" spans="1:55" ht="15.75" customHeight="1" x14ac:dyDescent="0.2">
      <c r="A589" s="34"/>
      <c r="B589" s="34"/>
      <c r="C589" s="34"/>
      <c r="D589" s="34"/>
      <c r="E589" s="34"/>
      <c r="AU589" s="35"/>
      <c r="AV589" s="35"/>
      <c r="AW589" s="35"/>
      <c r="AX589" s="35"/>
      <c r="AY589" s="35"/>
      <c r="AZ589" s="35"/>
      <c r="BA589" s="35"/>
      <c r="BB589" s="35"/>
      <c r="BC589" s="35"/>
    </row>
    <row r="590" spans="1:55" ht="15.75" customHeight="1" x14ac:dyDescent="0.2">
      <c r="A590" s="34"/>
      <c r="B590" s="34"/>
      <c r="C590" s="34"/>
      <c r="D590" s="34"/>
      <c r="E590" s="34"/>
      <c r="AU590" s="35"/>
      <c r="AV590" s="35"/>
      <c r="AW590" s="35"/>
      <c r="AX590" s="35"/>
      <c r="AY590" s="35"/>
      <c r="AZ590" s="35"/>
      <c r="BA590" s="35"/>
      <c r="BB590" s="35"/>
      <c r="BC590" s="35"/>
    </row>
    <row r="591" spans="1:55" ht="15.75" customHeight="1" x14ac:dyDescent="0.2">
      <c r="A591" s="34"/>
      <c r="B591" s="34"/>
      <c r="C591" s="34"/>
      <c r="D591" s="34"/>
      <c r="E591" s="34"/>
      <c r="AU591" s="35"/>
      <c r="AV591" s="35"/>
      <c r="AW591" s="35"/>
      <c r="AX591" s="35"/>
      <c r="AY591" s="35"/>
      <c r="AZ591" s="35"/>
      <c r="BA591" s="35"/>
      <c r="BB591" s="35"/>
      <c r="BC591" s="35"/>
    </row>
    <row r="592" spans="1:55" ht="15.75" customHeight="1" x14ac:dyDescent="0.2">
      <c r="A592" s="34"/>
      <c r="B592" s="34"/>
      <c r="C592" s="34"/>
      <c r="D592" s="34"/>
      <c r="E592" s="34"/>
      <c r="AU592" s="35"/>
      <c r="AV592" s="35"/>
      <c r="AW592" s="35"/>
      <c r="AX592" s="35"/>
      <c r="AY592" s="35"/>
      <c r="AZ592" s="35"/>
      <c r="BA592" s="35"/>
      <c r="BB592" s="35"/>
      <c r="BC592" s="35"/>
    </row>
    <row r="593" spans="1:55" ht="15.75" customHeight="1" x14ac:dyDescent="0.2">
      <c r="A593" s="34"/>
      <c r="B593" s="34"/>
      <c r="C593" s="34"/>
      <c r="D593" s="34"/>
      <c r="E593" s="34"/>
      <c r="AU593" s="35"/>
      <c r="AV593" s="35"/>
      <c r="AW593" s="35"/>
      <c r="AX593" s="35"/>
      <c r="AY593" s="35"/>
      <c r="AZ593" s="35"/>
      <c r="BA593" s="35"/>
      <c r="BB593" s="35"/>
      <c r="BC593" s="35"/>
    </row>
    <row r="594" spans="1:55" ht="15.75" customHeight="1" x14ac:dyDescent="0.2">
      <c r="A594" s="34"/>
      <c r="B594" s="34"/>
      <c r="C594" s="34"/>
      <c r="D594" s="34"/>
      <c r="E594" s="34"/>
      <c r="AU594" s="35"/>
      <c r="AV594" s="35"/>
      <c r="AW594" s="35"/>
      <c r="AX594" s="35"/>
      <c r="AY594" s="35"/>
      <c r="AZ594" s="35"/>
      <c r="BA594" s="35"/>
      <c r="BB594" s="35"/>
      <c r="BC594" s="35"/>
    </row>
    <row r="595" spans="1:55" ht="15.75" customHeight="1" x14ac:dyDescent="0.2">
      <c r="A595" s="34"/>
      <c r="B595" s="34"/>
      <c r="C595" s="34"/>
      <c r="D595" s="34"/>
      <c r="E595" s="34"/>
      <c r="AU595" s="35"/>
      <c r="AV595" s="35"/>
      <c r="AW595" s="35"/>
      <c r="AX595" s="35"/>
      <c r="AY595" s="35"/>
      <c r="AZ595" s="35"/>
      <c r="BA595" s="35"/>
      <c r="BB595" s="35"/>
      <c r="BC595" s="35"/>
    </row>
    <row r="596" spans="1:55" ht="15.75" customHeight="1" x14ac:dyDescent="0.2">
      <c r="A596" s="34"/>
      <c r="B596" s="34"/>
      <c r="C596" s="34"/>
      <c r="D596" s="34"/>
      <c r="E596" s="34"/>
      <c r="AU596" s="35"/>
      <c r="AV596" s="35"/>
      <c r="AW596" s="35"/>
      <c r="AX596" s="35"/>
      <c r="AY596" s="35"/>
      <c r="AZ596" s="35"/>
      <c r="BA596" s="35"/>
      <c r="BB596" s="35"/>
      <c r="BC596" s="35"/>
    </row>
    <row r="597" spans="1:55" ht="15.75" customHeight="1" x14ac:dyDescent="0.2">
      <c r="A597" s="34"/>
      <c r="B597" s="34"/>
      <c r="C597" s="34"/>
      <c r="D597" s="34"/>
      <c r="E597" s="34"/>
      <c r="AU597" s="35"/>
      <c r="AV597" s="35"/>
      <c r="AW597" s="35"/>
      <c r="AX597" s="35"/>
      <c r="AY597" s="35"/>
      <c r="AZ597" s="35"/>
      <c r="BA597" s="35"/>
      <c r="BB597" s="35"/>
      <c r="BC597" s="35"/>
    </row>
    <row r="598" spans="1:55" ht="15.75" customHeight="1" x14ac:dyDescent="0.2">
      <c r="A598" s="34"/>
      <c r="B598" s="34"/>
      <c r="C598" s="34"/>
      <c r="D598" s="34"/>
      <c r="E598" s="34"/>
      <c r="AU598" s="35"/>
      <c r="AV598" s="35"/>
      <c r="AW598" s="35"/>
      <c r="AX598" s="35"/>
      <c r="AY598" s="35"/>
      <c r="AZ598" s="35"/>
      <c r="BA598" s="35"/>
      <c r="BB598" s="35"/>
      <c r="BC598" s="35"/>
    </row>
    <row r="599" spans="1:55" ht="15.75" customHeight="1" x14ac:dyDescent="0.2">
      <c r="A599" s="34"/>
      <c r="B599" s="34"/>
      <c r="C599" s="34"/>
      <c r="D599" s="34"/>
      <c r="E599" s="34"/>
      <c r="AU599" s="35"/>
      <c r="AV599" s="35"/>
      <c r="AW599" s="35"/>
      <c r="AX599" s="35"/>
      <c r="AY599" s="35"/>
      <c r="AZ599" s="35"/>
      <c r="BA599" s="35"/>
      <c r="BB599" s="35"/>
      <c r="BC599" s="35"/>
    </row>
    <row r="600" spans="1:55" ht="15.75" customHeight="1" x14ac:dyDescent="0.2">
      <c r="A600" s="34"/>
      <c r="B600" s="34"/>
      <c r="C600" s="34"/>
      <c r="D600" s="34"/>
      <c r="E600" s="34"/>
      <c r="AU600" s="35"/>
      <c r="AV600" s="35"/>
      <c r="AW600" s="35"/>
      <c r="AX600" s="35"/>
      <c r="AY600" s="35"/>
      <c r="AZ600" s="35"/>
      <c r="BA600" s="35"/>
      <c r="BB600" s="35"/>
      <c r="BC600" s="35"/>
    </row>
    <row r="601" spans="1:55" ht="15.75" customHeight="1" x14ac:dyDescent="0.2">
      <c r="A601" s="34"/>
      <c r="B601" s="34"/>
      <c r="C601" s="34"/>
      <c r="D601" s="34"/>
      <c r="E601" s="34"/>
      <c r="AU601" s="35"/>
      <c r="AV601" s="35"/>
      <c r="AW601" s="35"/>
      <c r="AX601" s="35"/>
      <c r="AY601" s="35"/>
      <c r="AZ601" s="35"/>
      <c r="BA601" s="35"/>
      <c r="BB601" s="35"/>
      <c r="BC601" s="35"/>
    </row>
    <row r="602" spans="1:55" ht="15.75" customHeight="1" x14ac:dyDescent="0.2">
      <c r="A602" s="34"/>
      <c r="B602" s="34"/>
      <c r="C602" s="34"/>
      <c r="D602" s="34"/>
      <c r="E602" s="34"/>
      <c r="AU602" s="35"/>
      <c r="AV602" s="35"/>
      <c r="AW602" s="35"/>
      <c r="AX602" s="35"/>
      <c r="AY602" s="35"/>
      <c r="AZ602" s="35"/>
      <c r="BA602" s="35"/>
      <c r="BB602" s="35"/>
      <c r="BC602" s="35"/>
    </row>
    <row r="603" spans="1:55" ht="15.75" customHeight="1" x14ac:dyDescent="0.2">
      <c r="A603" s="34"/>
      <c r="B603" s="34"/>
      <c r="C603" s="34"/>
      <c r="D603" s="34"/>
      <c r="E603" s="34"/>
      <c r="AU603" s="35"/>
      <c r="AV603" s="35"/>
      <c r="AW603" s="35"/>
      <c r="AX603" s="35"/>
      <c r="AY603" s="35"/>
      <c r="AZ603" s="35"/>
      <c r="BA603" s="35"/>
      <c r="BB603" s="35"/>
      <c r="BC603" s="35"/>
    </row>
    <row r="604" spans="1:55" ht="15.75" customHeight="1" x14ac:dyDescent="0.2">
      <c r="A604" s="34"/>
      <c r="B604" s="34"/>
      <c r="C604" s="34"/>
      <c r="D604" s="34"/>
      <c r="E604" s="34"/>
      <c r="AU604" s="35"/>
      <c r="AV604" s="35"/>
      <c r="AW604" s="35"/>
      <c r="AX604" s="35"/>
      <c r="AY604" s="35"/>
      <c r="AZ604" s="35"/>
      <c r="BA604" s="35"/>
      <c r="BB604" s="35"/>
      <c r="BC604" s="35"/>
    </row>
    <row r="605" spans="1:55" ht="15.75" customHeight="1" x14ac:dyDescent="0.2">
      <c r="A605" s="34"/>
      <c r="B605" s="34"/>
      <c r="C605" s="34"/>
      <c r="D605" s="34"/>
      <c r="E605" s="34"/>
      <c r="AU605" s="35"/>
      <c r="AV605" s="35"/>
      <c r="AW605" s="35"/>
      <c r="AX605" s="35"/>
      <c r="AY605" s="35"/>
      <c r="AZ605" s="35"/>
      <c r="BA605" s="35"/>
      <c r="BB605" s="35"/>
      <c r="BC605" s="35"/>
    </row>
    <row r="606" spans="1:55" ht="15.75" customHeight="1" x14ac:dyDescent="0.2">
      <c r="A606" s="34"/>
      <c r="B606" s="34"/>
      <c r="C606" s="34"/>
      <c r="D606" s="34"/>
      <c r="E606" s="34"/>
      <c r="AU606" s="35"/>
      <c r="AV606" s="35"/>
      <c r="AW606" s="35"/>
      <c r="AX606" s="35"/>
      <c r="AY606" s="35"/>
      <c r="AZ606" s="35"/>
      <c r="BA606" s="35"/>
      <c r="BB606" s="35"/>
      <c r="BC606" s="35"/>
    </row>
    <row r="607" spans="1:55" ht="15.75" customHeight="1" x14ac:dyDescent="0.2">
      <c r="A607" s="34"/>
      <c r="B607" s="34"/>
      <c r="C607" s="34"/>
      <c r="D607" s="34"/>
      <c r="E607" s="34"/>
      <c r="AU607" s="35"/>
      <c r="AV607" s="35"/>
      <c r="AW607" s="35"/>
      <c r="AX607" s="35"/>
      <c r="AY607" s="35"/>
      <c r="AZ607" s="35"/>
      <c r="BA607" s="35"/>
      <c r="BB607" s="35"/>
      <c r="BC607" s="35"/>
    </row>
    <row r="608" spans="1:55" ht="15.75" customHeight="1" x14ac:dyDescent="0.2">
      <c r="A608" s="34"/>
      <c r="B608" s="34"/>
      <c r="C608" s="34"/>
      <c r="D608" s="34"/>
      <c r="E608" s="34"/>
      <c r="AU608" s="35"/>
      <c r="AV608" s="35"/>
      <c r="AW608" s="35"/>
      <c r="AX608" s="35"/>
      <c r="AY608" s="35"/>
      <c r="AZ608" s="35"/>
      <c r="BA608" s="35"/>
      <c r="BB608" s="35"/>
      <c r="BC608" s="35"/>
    </row>
    <row r="609" spans="1:55" ht="15.75" customHeight="1" x14ac:dyDescent="0.2">
      <c r="A609" s="34"/>
      <c r="B609" s="34"/>
      <c r="C609" s="34"/>
      <c r="D609" s="34"/>
      <c r="E609" s="34"/>
      <c r="AU609" s="35"/>
      <c r="AV609" s="35"/>
      <c r="AW609" s="35"/>
      <c r="AX609" s="35"/>
      <c r="AY609" s="35"/>
      <c r="AZ609" s="35"/>
      <c r="BA609" s="35"/>
      <c r="BB609" s="35"/>
      <c r="BC609" s="35"/>
    </row>
    <row r="610" spans="1:55" ht="15.75" customHeight="1" x14ac:dyDescent="0.2">
      <c r="A610" s="34"/>
      <c r="B610" s="34"/>
      <c r="C610" s="34"/>
      <c r="D610" s="34"/>
      <c r="E610" s="34"/>
      <c r="AU610" s="35"/>
      <c r="AV610" s="35"/>
      <c r="AW610" s="35"/>
      <c r="AX610" s="35"/>
      <c r="AY610" s="35"/>
      <c r="AZ610" s="35"/>
      <c r="BA610" s="35"/>
      <c r="BB610" s="35"/>
      <c r="BC610" s="35"/>
    </row>
    <row r="611" spans="1:55" ht="15.75" customHeight="1" x14ac:dyDescent="0.2">
      <c r="A611" s="34"/>
      <c r="B611" s="34"/>
      <c r="C611" s="34"/>
      <c r="D611" s="34"/>
      <c r="E611" s="34"/>
      <c r="AU611" s="35"/>
      <c r="AV611" s="35"/>
      <c r="AW611" s="35"/>
      <c r="AX611" s="35"/>
      <c r="AY611" s="35"/>
      <c r="AZ611" s="35"/>
      <c r="BA611" s="35"/>
      <c r="BB611" s="35"/>
      <c r="BC611" s="35"/>
    </row>
    <row r="612" spans="1:55" ht="15.75" customHeight="1" x14ac:dyDescent="0.2">
      <c r="A612" s="34"/>
      <c r="B612" s="34"/>
      <c r="C612" s="34"/>
      <c r="D612" s="34"/>
      <c r="E612" s="34"/>
      <c r="AU612" s="35"/>
      <c r="AV612" s="35"/>
      <c r="AW612" s="35"/>
      <c r="AX612" s="35"/>
      <c r="AY612" s="35"/>
      <c r="AZ612" s="35"/>
      <c r="BA612" s="35"/>
      <c r="BB612" s="35"/>
      <c r="BC612" s="35"/>
    </row>
    <row r="613" spans="1:55" ht="15.75" customHeight="1" x14ac:dyDescent="0.2">
      <c r="A613" s="34"/>
      <c r="B613" s="34"/>
      <c r="C613" s="34"/>
      <c r="D613" s="34"/>
      <c r="E613" s="34"/>
      <c r="AU613" s="35"/>
      <c r="AV613" s="35"/>
      <c r="AW613" s="35"/>
      <c r="AX613" s="35"/>
      <c r="AY613" s="35"/>
      <c r="AZ613" s="35"/>
      <c r="BA613" s="35"/>
      <c r="BB613" s="35"/>
      <c r="BC613" s="35"/>
    </row>
    <row r="614" spans="1:55" ht="15.75" customHeight="1" x14ac:dyDescent="0.2">
      <c r="A614" s="34"/>
      <c r="B614" s="34"/>
      <c r="C614" s="34"/>
      <c r="D614" s="34"/>
      <c r="E614" s="34"/>
      <c r="AU614" s="35"/>
      <c r="AV614" s="35"/>
      <c r="AW614" s="35"/>
      <c r="AX614" s="35"/>
      <c r="AY614" s="35"/>
      <c r="AZ614" s="35"/>
      <c r="BA614" s="35"/>
      <c r="BB614" s="35"/>
      <c r="BC614" s="35"/>
    </row>
    <row r="615" spans="1:55" ht="15.75" customHeight="1" x14ac:dyDescent="0.2">
      <c r="A615" s="34"/>
      <c r="B615" s="34"/>
      <c r="C615" s="34"/>
      <c r="D615" s="34"/>
      <c r="E615" s="34"/>
      <c r="AU615" s="35"/>
      <c r="AV615" s="35"/>
      <c r="AW615" s="35"/>
      <c r="AX615" s="35"/>
      <c r="AY615" s="35"/>
      <c r="AZ615" s="35"/>
      <c r="BA615" s="35"/>
      <c r="BB615" s="35"/>
      <c r="BC615" s="35"/>
    </row>
    <row r="616" spans="1:55" ht="15.75" customHeight="1" x14ac:dyDescent="0.2">
      <c r="A616" s="34"/>
      <c r="B616" s="34"/>
      <c r="C616" s="34"/>
      <c r="D616" s="34"/>
      <c r="E616" s="34"/>
      <c r="AU616" s="35"/>
      <c r="AV616" s="35"/>
      <c r="AW616" s="35"/>
      <c r="AX616" s="35"/>
      <c r="AY616" s="35"/>
      <c r="AZ616" s="35"/>
      <c r="BA616" s="35"/>
      <c r="BB616" s="35"/>
      <c r="BC616" s="35"/>
    </row>
    <row r="617" spans="1:55" ht="15.75" customHeight="1" x14ac:dyDescent="0.2">
      <c r="A617" s="34"/>
      <c r="B617" s="34"/>
      <c r="C617" s="34"/>
      <c r="D617" s="34"/>
      <c r="E617" s="34"/>
      <c r="AU617" s="35"/>
      <c r="AV617" s="35"/>
      <c r="AW617" s="35"/>
      <c r="AX617" s="35"/>
      <c r="AY617" s="35"/>
      <c r="AZ617" s="35"/>
      <c r="BA617" s="35"/>
      <c r="BB617" s="35"/>
      <c r="BC617" s="35"/>
    </row>
    <row r="618" spans="1:55" ht="15.75" customHeight="1" x14ac:dyDescent="0.2">
      <c r="A618" s="34"/>
      <c r="B618" s="34"/>
      <c r="C618" s="34"/>
      <c r="D618" s="34"/>
      <c r="E618" s="34"/>
      <c r="AU618" s="35"/>
      <c r="AV618" s="35"/>
      <c r="AW618" s="35"/>
      <c r="AX618" s="35"/>
      <c r="AY618" s="35"/>
      <c r="AZ618" s="35"/>
      <c r="BA618" s="35"/>
      <c r="BB618" s="35"/>
      <c r="BC618" s="35"/>
    </row>
    <row r="619" spans="1:55" ht="15.75" customHeight="1" x14ac:dyDescent="0.2">
      <c r="A619" s="34"/>
      <c r="B619" s="34"/>
      <c r="C619" s="34"/>
      <c r="D619" s="34"/>
      <c r="E619" s="34"/>
      <c r="AU619" s="35"/>
      <c r="AV619" s="35"/>
      <c r="AW619" s="35"/>
      <c r="AX619" s="35"/>
      <c r="AY619" s="35"/>
      <c r="AZ619" s="35"/>
      <c r="BA619" s="35"/>
      <c r="BB619" s="35"/>
      <c r="BC619" s="35"/>
    </row>
    <row r="620" spans="1:55" ht="15.75" customHeight="1" x14ac:dyDescent="0.2">
      <c r="A620" s="34"/>
      <c r="B620" s="34"/>
      <c r="C620" s="34"/>
      <c r="D620" s="34"/>
      <c r="E620" s="34"/>
      <c r="AU620" s="35"/>
      <c r="AV620" s="35"/>
      <c r="AW620" s="35"/>
      <c r="AX620" s="35"/>
      <c r="AY620" s="35"/>
      <c r="AZ620" s="35"/>
      <c r="BA620" s="35"/>
      <c r="BB620" s="35"/>
      <c r="BC620" s="35"/>
    </row>
    <row r="621" spans="1:55" ht="15.75" customHeight="1" x14ac:dyDescent="0.2">
      <c r="A621" s="34"/>
      <c r="B621" s="34"/>
      <c r="C621" s="34"/>
      <c r="D621" s="34"/>
      <c r="E621" s="34"/>
      <c r="AU621" s="35"/>
      <c r="AV621" s="35"/>
      <c r="AW621" s="35"/>
      <c r="AX621" s="35"/>
      <c r="AY621" s="35"/>
      <c r="AZ621" s="35"/>
      <c r="BA621" s="35"/>
      <c r="BB621" s="35"/>
      <c r="BC621" s="35"/>
    </row>
    <row r="622" spans="1:55" ht="15.75" customHeight="1" x14ac:dyDescent="0.2">
      <c r="A622" s="34"/>
      <c r="B622" s="34"/>
      <c r="C622" s="34"/>
      <c r="D622" s="34"/>
      <c r="E622" s="34"/>
      <c r="AU622" s="35"/>
      <c r="AV622" s="35"/>
      <c r="AW622" s="35"/>
      <c r="AX622" s="35"/>
      <c r="AY622" s="35"/>
      <c r="AZ622" s="35"/>
      <c r="BA622" s="35"/>
      <c r="BB622" s="35"/>
      <c r="BC622" s="35"/>
    </row>
    <row r="623" spans="1:55" ht="15.75" customHeight="1" x14ac:dyDescent="0.2">
      <c r="A623" s="34"/>
      <c r="B623" s="34"/>
      <c r="C623" s="34"/>
      <c r="D623" s="34"/>
      <c r="E623" s="34"/>
      <c r="AU623" s="35"/>
      <c r="AV623" s="35"/>
      <c r="AW623" s="35"/>
      <c r="AX623" s="35"/>
      <c r="AY623" s="35"/>
      <c r="AZ623" s="35"/>
      <c r="BA623" s="35"/>
      <c r="BB623" s="35"/>
      <c r="BC623" s="35"/>
    </row>
    <row r="624" spans="1:55" ht="15.75" customHeight="1" x14ac:dyDescent="0.2">
      <c r="A624" s="34"/>
      <c r="B624" s="34"/>
      <c r="C624" s="34"/>
      <c r="D624" s="34"/>
      <c r="E624" s="34"/>
      <c r="AU624" s="35"/>
      <c r="AV624" s="35"/>
      <c r="AW624" s="35"/>
      <c r="AX624" s="35"/>
      <c r="AY624" s="35"/>
      <c r="AZ624" s="35"/>
      <c r="BA624" s="35"/>
      <c r="BB624" s="35"/>
      <c r="BC624" s="35"/>
    </row>
    <row r="625" spans="1:55" ht="15.75" customHeight="1" x14ac:dyDescent="0.2">
      <c r="A625" s="34"/>
      <c r="B625" s="34"/>
      <c r="C625" s="34"/>
      <c r="D625" s="34"/>
      <c r="E625" s="34"/>
      <c r="AU625" s="35"/>
      <c r="AV625" s="35"/>
      <c r="AW625" s="35"/>
      <c r="AX625" s="35"/>
      <c r="AY625" s="35"/>
      <c r="AZ625" s="35"/>
      <c r="BA625" s="35"/>
      <c r="BB625" s="35"/>
      <c r="BC625" s="35"/>
    </row>
    <row r="626" spans="1:55" ht="15.75" customHeight="1" x14ac:dyDescent="0.2">
      <c r="A626" s="34"/>
      <c r="B626" s="34"/>
      <c r="C626" s="34"/>
      <c r="D626" s="34"/>
      <c r="E626" s="34"/>
      <c r="AU626" s="35"/>
      <c r="AV626" s="35"/>
      <c r="AW626" s="35"/>
      <c r="AX626" s="35"/>
      <c r="AY626" s="35"/>
      <c r="AZ626" s="35"/>
      <c r="BA626" s="35"/>
      <c r="BB626" s="35"/>
      <c r="BC626" s="35"/>
    </row>
    <row r="627" spans="1:55" ht="15.75" customHeight="1" x14ac:dyDescent="0.2">
      <c r="A627" s="34"/>
      <c r="B627" s="34"/>
      <c r="C627" s="34"/>
      <c r="D627" s="34"/>
      <c r="E627" s="34"/>
      <c r="AU627" s="35"/>
      <c r="AV627" s="35"/>
      <c r="AW627" s="35"/>
      <c r="AX627" s="35"/>
      <c r="AY627" s="35"/>
      <c r="AZ627" s="35"/>
      <c r="BA627" s="35"/>
      <c r="BB627" s="35"/>
      <c r="BC627" s="35"/>
    </row>
    <row r="628" spans="1:55" ht="15.75" customHeight="1" x14ac:dyDescent="0.2">
      <c r="A628" s="34"/>
      <c r="B628" s="34"/>
      <c r="C628" s="34"/>
      <c r="D628" s="34"/>
      <c r="E628" s="34"/>
      <c r="AU628" s="35"/>
      <c r="AV628" s="35"/>
      <c r="AW628" s="35"/>
      <c r="AX628" s="35"/>
      <c r="AY628" s="35"/>
      <c r="AZ628" s="35"/>
      <c r="BA628" s="35"/>
      <c r="BB628" s="35"/>
      <c r="BC628" s="35"/>
    </row>
    <row r="629" spans="1:55" ht="15.75" customHeight="1" x14ac:dyDescent="0.2">
      <c r="A629" s="34"/>
      <c r="B629" s="34"/>
      <c r="C629" s="34"/>
      <c r="D629" s="34"/>
      <c r="E629" s="34"/>
      <c r="AU629" s="35"/>
      <c r="AV629" s="35"/>
      <c r="AW629" s="35"/>
      <c r="AX629" s="35"/>
      <c r="AY629" s="35"/>
      <c r="AZ629" s="35"/>
      <c r="BA629" s="35"/>
      <c r="BB629" s="35"/>
      <c r="BC629" s="35"/>
    </row>
    <row r="630" spans="1:55" ht="15.75" customHeight="1" x14ac:dyDescent="0.2">
      <c r="A630" s="34"/>
      <c r="B630" s="34"/>
      <c r="C630" s="34"/>
      <c r="D630" s="34"/>
      <c r="E630" s="34"/>
      <c r="AU630" s="35"/>
      <c r="AV630" s="35"/>
      <c r="AW630" s="35"/>
      <c r="AX630" s="35"/>
      <c r="AY630" s="35"/>
      <c r="AZ630" s="35"/>
      <c r="BA630" s="35"/>
      <c r="BB630" s="35"/>
      <c r="BC630" s="35"/>
    </row>
    <row r="631" spans="1:55" ht="15.75" customHeight="1" x14ac:dyDescent="0.2">
      <c r="A631" s="34"/>
      <c r="B631" s="34"/>
      <c r="C631" s="34"/>
      <c r="D631" s="34"/>
      <c r="E631" s="34"/>
      <c r="AU631" s="35"/>
      <c r="AV631" s="35"/>
      <c r="AW631" s="35"/>
      <c r="AX631" s="35"/>
      <c r="AY631" s="35"/>
      <c r="AZ631" s="35"/>
      <c r="BA631" s="35"/>
      <c r="BB631" s="35"/>
      <c r="BC631" s="35"/>
    </row>
    <row r="632" spans="1:55" ht="15.75" customHeight="1" x14ac:dyDescent="0.2">
      <c r="A632" s="34"/>
      <c r="B632" s="34"/>
      <c r="C632" s="34"/>
      <c r="D632" s="34"/>
      <c r="E632" s="34"/>
      <c r="AU632" s="35"/>
      <c r="AV632" s="35"/>
      <c r="AW632" s="35"/>
      <c r="AX632" s="35"/>
      <c r="AY632" s="35"/>
      <c r="AZ632" s="35"/>
      <c r="BA632" s="35"/>
      <c r="BB632" s="35"/>
      <c r="BC632" s="35"/>
    </row>
    <row r="633" spans="1:55" ht="15.75" customHeight="1" x14ac:dyDescent="0.2">
      <c r="A633" s="34"/>
      <c r="B633" s="34"/>
      <c r="C633" s="34"/>
      <c r="D633" s="34"/>
      <c r="E633" s="34"/>
      <c r="AU633" s="35"/>
      <c r="AV633" s="35"/>
      <c r="AW633" s="35"/>
      <c r="AX633" s="35"/>
      <c r="AY633" s="35"/>
      <c r="AZ633" s="35"/>
      <c r="BA633" s="35"/>
      <c r="BB633" s="35"/>
      <c r="BC633" s="35"/>
    </row>
    <row r="634" spans="1:55" ht="15.75" customHeight="1" x14ac:dyDescent="0.2">
      <c r="A634" s="34"/>
      <c r="B634" s="34"/>
      <c r="C634" s="34"/>
      <c r="D634" s="34"/>
      <c r="E634" s="34"/>
      <c r="AU634" s="35"/>
      <c r="AV634" s="35"/>
      <c r="AW634" s="35"/>
      <c r="AX634" s="35"/>
      <c r="AY634" s="35"/>
      <c r="AZ634" s="35"/>
      <c r="BA634" s="35"/>
      <c r="BB634" s="35"/>
      <c r="BC634" s="35"/>
    </row>
    <row r="635" spans="1:55" ht="15.75" customHeight="1" x14ac:dyDescent="0.2">
      <c r="A635" s="34"/>
      <c r="B635" s="34"/>
      <c r="C635" s="34"/>
      <c r="D635" s="34"/>
      <c r="E635" s="34"/>
      <c r="AU635" s="35"/>
      <c r="AV635" s="35"/>
      <c r="AW635" s="35"/>
      <c r="AX635" s="35"/>
      <c r="AY635" s="35"/>
      <c r="AZ635" s="35"/>
      <c r="BA635" s="35"/>
      <c r="BB635" s="35"/>
      <c r="BC635" s="35"/>
    </row>
    <row r="636" spans="1:55" ht="15.75" customHeight="1" x14ac:dyDescent="0.2">
      <c r="A636" s="34"/>
      <c r="B636" s="34"/>
      <c r="C636" s="34"/>
      <c r="D636" s="34"/>
      <c r="E636" s="34"/>
      <c r="AU636" s="35"/>
      <c r="AV636" s="35"/>
      <c r="AW636" s="35"/>
      <c r="AX636" s="35"/>
      <c r="AY636" s="35"/>
      <c r="AZ636" s="35"/>
      <c r="BA636" s="35"/>
      <c r="BB636" s="35"/>
      <c r="BC636" s="35"/>
    </row>
    <row r="637" spans="1:55" ht="15.75" customHeight="1" x14ac:dyDescent="0.2">
      <c r="A637" s="34"/>
      <c r="B637" s="34"/>
      <c r="C637" s="34"/>
      <c r="D637" s="34"/>
      <c r="E637" s="34"/>
      <c r="AU637" s="35"/>
      <c r="AV637" s="35"/>
      <c r="AW637" s="35"/>
      <c r="AX637" s="35"/>
      <c r="AY637" s="35"/>
      <c r="AZ637" s="35"/>
      <c r="BA637" s="35"/>
      <c r="BB637" s="35"/>
      <c r="BC637" s="35"/>
    </row>
    <row r="638" spans="1:55" ht="15.75" customHeight="1" x14ac:dyDescent="0.2">
      <c r="A638" s="34"/>
      <c r="B638" s="34"/>
      <c r="C638" s="34"/>
      <c r="D638" s="34"/>
      <c r="E638" s="34"/>
      <c r="AU638" s="35"/>
      <c r="AV638" s="35"/>
      <c r="AW638" s="35"/>
      <c r="AX638" s="35"/>
      <c r="AY638" s="35"/>
      <c r="AZ638" s="35"/>
      <c r="BA638" s="35"/>
      <c r="BB638" s="35"/>
      <c r="BC638" s="35"/>
    </row>
    <row r="639" spans="1:55" ht="15.75" customHeight="1" x14ac:dyDescent="0.2">
      <c r="A639" s="34"/>
      <c r="B639" s="34"/>
      <c r="C639" s="34"/>
      <c r="D639" s="34"/>
      <c r="E639" s="34"/>
      <c r="AU639" s="35"/>
      <c r="AV639" s="35"/>
      <c r="AW639" s="35"/>
      <c r="AX639" s="35"/>
      <c r="AY639" s="35"/>
      <c r="AZ639" s="35"/>
      <c r="BA639" s="35"/>
      <c r="BB639" s="35"/>
      <c r="BC639" s="35"/>
    </row>
    <row r="640" spans="1:55" ht="15.75" customHeight="1" x14ac:dyDescent="0.2">
      <c r="A640" s="34"/>
      <c r="B640" s="34"/>
      <c r="C640" s="34"/>
      <c r="D640" s="34"/>
      <c r="E640" s="34"/>
      <c r="AU640" s="35"/>
      <c r="AV640" s="35"/>
      <c r="AW640" s="35"/>
      <c r="AX640" s="35"/>
      <c r="AY640" s="35"/>
      <c r="AZ640" s="35"/>
      <c r="BA640" s="35"/>
      <c r="BB640" s="35"/>
      <c r="BC640" s="35"/>
    </row>
    <row r="641" spans="1:55" ht="15.75" customHeight="1" x14ac:dyDescent="0.2">
      <c r="A641" s="34"/>
      <c r="B641" s="34"/>
      <c r="C641" s="34"/>
      <c r="D641" s="34"/>
      <c r="E641" s="34"/>
      <c r="AU641" s="35"/>
      <c r="AV641" s="35"/>
      <c r="AW641" s="35"/>
      <c r="AX641" s="35"/>
      <c r="AY641" s="35"/>
      <c r="AZ641" s="35"/>
      <c r="BA641" s="35"/>
      <c r="BB641" s="35"/>
      <c r="BC641" s="35"/>
    </row>
    <row r="642" spans="1:55" ht="15.75" customHeight="1" x14ac:dyDescent="0.2">
      <c r="A642" s="34"/>
      <c r="B642" s="34"/>
      <c r="C642" s="34"/>
      <c r="D642" s="34"/>
      <c r="E642" s="34"/>
      <c r="AU642" s="35"/>
      <c r="AV642" s="35"/>
      <c r="AW642" s="35"/>
      <c r="AX642" s="35"/>
      <c r="AY642" s="35"/>
      <c r="AZ642" s="35"/>
      <c r="BA642" s="35"/>
      <c r="BB642" s="35"/>
      <c r="BC642" s="35"/>
    </row>
    <row r="643" spans="1:55" ht="15.75" customHeight="1" x14ac:dyDescent="0.2">
      <c r="A643" s="34"/>
      <c r="B643" s="34"/>
      <c r="C643" s="34"/>
      <c r="D643" s="34"/>
      <c r="E643" s="34"/>
      <c r="AU643" s="35"/>
      <c r="AV643" s="35"/>
      <c r="AW643" s="35"/>
      <c r="AX643" s="35"/>
      <c r="AY643" s="35"/>
      <c r="AZ643" s="35"/>
      <c r="BA643" s="35"/>
      <c r="BB643" s="35"/>
      <c r="BC643" s="35"/>
    </row>
    <row r="644" spans="1:55" ht="15.75" customHeight="1" x14ac:dyDescent="0.2">
      <c r="A644" s="34"/>
      <c r="B644" s="34"/>
      <c r="C644" s="34"/>
      <c r="D644" s="34"/>
      <c r="E644" s="34"/>
      <c r="AU644" s="35"/>
      <c r="AV644" s="35"/>
      <c r="AW644" s="35"/>
      <c r="AX644" s="35"/>
      <c r="AY644" s="35"/>
      <c r="AZ644" s="35"/>
      <c r="BA644" s="35"/>
      <c r="BB644" s="35"/>
      <c r="BC644" s="35"/>
    </row>
    <row r="645" spans="1:55" ht="15.75" customHeight="1" x14ac:dyDescent="0.2">
      <c r="A645" s="34"/>
      <c r="B645" s="34"/>
      <c r="C645" s="34"/>
      <c r="D645" s="34"/>
      <c r="E645" s="34"/>
      <c r="AU645" s="35"/>
      <c r="AV645" s="35"/>
      <c r="AW645" s="35"/>
      <c r="AX645" s="35"/>
      <c r="AY645" s="35"/>
      <c r="AZ645" s="35"/>
      <c r="BA645" s="35"/>
      <c r="BB645" s="35"/>
      <c r="BC645" s="35"/>
    </row>
    <row r="646" spans="1:55" ht="15.75" customHeight="1" x14ac:dyDescent="0.2">
      <c r="A646" s="34"/>
      <c r="B646" s="34"/>
      <c r="C646" s="34"/>
      <c r="D646" s="34"/>
      <c r="E646" s="34"/>
      <c r="AU646" s="35"/>
      <c r="AV646" s="35"/>
      <c r="AW646" s="35"/>
      <c r="AX646" s="35"/>
      <c r="AY646" s="35"/>
      <c r="AZ646" s="35"/>
      <c r="BA646" s="35"/>
      <c r="BB646" s="35"/>
      <c r="BC646" s="35"/>
    </row>
    <row r="647" spans="1:55" ht="15.75" customHeight="1" x14ac:dyDescent="0.2">
      <c r="A647" s="34"/>
      <c r="B647" s="34"/>
      <c r="C647" s="34"/>
      <c r="D647" s="34"/>
      <c r="E647" s="34"/>
      <c r="AU647" s="35"/>
      <c r="AV647" s="35"/>
      <c r="AW647" s="35"/>
      <c r="AX647" s="35"/>
      <c r="AY647" s="35"/>
      <c r="AZ647" s="35"/>
      <c r="BA647" s="35"/>
      <c r="BB647" s="35"/>
      <c r="BC647" s="35"/>
    </row>
    <row r="648" spans="1:55" ht="15.75" customHeight="1" x14ac:dyDescent="0.2">
      <c r="A648" s="34"/>
      <c r="B648" s="34"/>
      <c r="C648" s="34"/>
      <c r="D648" s="34"/>
      <c r="E648" s="34"/>
      <c r="AU648" s="35"/>
      <c r="AV648" s="35"/>
      <c r="AW648" s="35"/>
      <c r="AX648" s="35"/>
      <c r="AY648" s="35"/>
      <c r="AZ648" s="35"/>
      <c r="BA648" s="35"/>
      <c r="BB648" s="35"/>
      <c r="BC648" s="35"/>
    </row>
    <row r="649" spans="1:55" ht="15.75" customHeight="1" x14ac:dyDescent="0.2">
      <c r="A649" s="34"/>
      <c r="B649" s="34"/>
      <c r="C649" s="34"/>
      <c r="D649" s="34"/>
      <c r="E649" s="34"/>
      <c r="AU649" s="35"/>
      <c r="AV649" s="35"/>
      <c r="AW649" s="35"/>
      <c r="AX649" s="35"/>
      <c r="AY649" s="35"/>
      <c r="AZ649" s="35"/>
      <c r="BA649" s="35"/>
      <c r="BB649" s="35"/>
      <c r="BC649" s="35"/>
    </row>
    <row r="650" spans="1:55" ht="15.75" customHeight="1" x14ac:dyDescent="0.2">
      <c r="A650" s="34"/>
      <c r="B650" s="34"/>
      <c r="C650" s="34"/>
      <c r="D650" s="34"/>
      <c r="E650" s="34"/>
      <c r="AU650" s="35"/>
      <c r="AV650" s="35"/>
      <c r="AW650" s="35"/>
      <c r="AX650" s="35"/>
      <c r="AY650" s="35"/>
      <c r="AZ650" s="35"/>
      <c r="BA650" s="35"/>
      <c r="BB650" s="35"/>
      <c r="BC650" s="35"/>
    </row>
    <row r="651" spans="1:55" ht="15.75" customHeight="1" x14ac:dyDescent="0.2">
      <c r="A651" s="34"/>
      <c r="B651" s="34"/>
      <c r="C651" s="34"/>
      <c r="D651" s="34"/>
      <c r="E651" s="34"/>
      <c r="AU651" s="35"/>
      <c r="AV651" s="35"/>
      <c r="AW651" s="35"/>
      <c r="AX651" s="35"/>
      <c r="AY651" s="35"/>
      <c r="AZ651" s="35"/>
      <c r="BA651" s="35"/>
      <c r="BB651" s="35"/>
      <c r="BC651" s="35"/>
    </row>
    <row r="652" spans="1:55" ht="15.75" customHeight="1" x14ac:dyDescent="0.2">
      <c r="A652" s="34"/>
      <c r="B652" s="34"/>
      <c r="C652" s="34"/>
      <c r="D652" s="34"/>
      <c r="E652" s="34"/>
      <c r="AU652" s="35"/>
      <c r="AV652" s="35"/>
      <c r="AW652" s="35"/>
      <c r="AX652" s="35"/>
      <c r="AY652" s="35"/>
      <c r="AZ652" s="35"/>
      <c r="BA652" s="35"/>
      <c r="BB652" s="35"/>
      <c r="BC652" s="35"/>
    </row>
    <row r="653" spans="1:55" ht="15.75" customHeight="1" x14ac:dyDescent="0.2">
      <c r="A653" s="34"/>
      <c r="B653" s="34"/>
      <c r="C653" s="34"/>
      <c r="D653" s="34"/>
      <c r="E653" s="34"/>
      <c r="AU653" s="35"/>
      <c r="AV653" s="35"/>
      <c r="AW653" s="35"/>
      <c r="AX653" s="35"/>
      <c r="AY653" s="35"/>
      <c r="AZ653" s="35"/>
      <c r="BA653" s="35"/>
      <c r="BB653" s="35"/>
      <c r="BC653" s="35"/>
    </row>
    <row r="654" spans="1:55" ht="15.75" customHeight="1" x14ac:dyDescent="0.2">
      <c r="A654" s="34"/>
      <c r="B654" s="34"/>
      <c r="C654" s="34"/>
      <c r="D654" s="34"/>
      <c r="E654" s="34"/>
      <c r="AU654" s="35"/>
      <c r="AV654" s="35"/>
      <c r="AW654" s="35"/>
      <c r="AX654" s="35"/>
      <c r="AY654" s="35"/>
      <c r="AZ654" s="35"/>
      <c r="BA654" s="35"/>
      <c r="BB654" s="35"/>
      <c r="BC654" s="35"/>
    </row>
    <row r="655" spans="1:55" ht="15.75" customHeight="1" x14ac:dyDescent="0.2">
      <c r="A655" s="34"/>
      <c r="B655" s="34"/>
      <c r="C655" s="34"/>
      <c r="D655" s="34"/>
      <c r="E655" s="34"/>
      <c r="AU655" s="35"/>
      <c r="AV655" s="35"/>
      <c r="AW655" s="35"/>
      <c r="AX655" s="35"/>
      <c r="AY655" s="35"/>
      <c r="AZ655" s="35"/>
      <c r="BA655" s="35"/>
      <c r="BB655" s="35"/>
      <c r="BC655" s="35"/>
    </row>
    <row r="656" spans="1:55" ht="15.75" customHeight="1" x14ac:dyDescent="0.2">
      <c r="A656" s="34"/>
      <c r="B656" s="34"/>
      <c r="C656" s="34"/>
      <c r="D656" s="34"/>
      <c r="E656" s="34"/>
      <c r="AU656" s="35"/>
      <c r="AV656" s="35"/>
      <c r="AW656" s="35"/>
      <c r="AX656" s="35"/>
      <c r="AY656" s="35"/>
      <c r="AZ656" s="35"/>
      <c r="BA656" s="35"/>
      <c r="BB656" s="35"/>
      <c r="BC656" s="35"/>
    </row>
    <row r="657" spans="1:55" ht="15.75" customHeight="1" x14ac:dyDescent="0.2">
      <c r="A657" s="34"/>
      <c r="B657" s="34"/>
      <c r="C657" s="34"/>
      <c r="D657" s="34"/>
      <c r="E657" s="34"/>
      <c r="AU657" s="35"/>
      <c r="AV657" s="35"/>
      <c r="AW657" s="35"/>
      <c r="AX657" s="35"/>
      <c r="AY657" s="35"/>
      <c r="AZ657" s="35"/>
      <c r="BA657" s="35"/>
      <c r="BB657" s="35"/>
      <c r="BC657" s="35"/>
    </row>
    <row r="658" spans="1:55" ht="15.75" customHeight="1" x14ac:dyDescent="0.2">
      <c r="A658" s="34"/>
      <c r="B658" s="34"/>
      <c r="C658" s="34"/>
      <c r="D658" s="34"/>
      <c r="E658" s="34"/>
      <c r="AU658" s="35"/>
      <c r="AV658" s="35"/>
      <c r="AW658" s="35"/>
      <c r="AX658" s="35"/>
      <c r="AY658" s="35"/>
      <c r="AZ658" s="35"/>
      <c r="BA658" s="35"/>
      <c r="BB658" s="35"/>
      <c r="BC658" s="35"/>
    </row>
    <row r="659" spans="1:55" ht="15.75" customHeight="1" x14ac:dyDescent="0.2">
      <c r="A659" s="34"/>
      <c r="B659" s="34"/>
      <c r="C659" s="34"/>
      <c r="D659" s="34"/>
      <c r="E659" s="34"/>
      <c r="AU659" s="35"/>
      <c r="AV659" s="35"/>
      <c r="AW659" s="35"/>
      <c r="AX659" s="35"/>
      <c r="AY659" s="35"/>
      <c r="AZ659" s="35"/>
      <c r="BA659" s="35"/>
      <c r="BB659" s="35"/>
      <c r="BC659" s="35"/>
    </row>
    <row r="660" spans="1:55" ht="15.75" customHeight="1" x14ac:dyDescent="0.2">
      <c r="A660" s="34"/>
      <c r="B660" s="34"/>
      <c r="C660" s="34"/>
      <c r="D660" s="34"/>
      <c r="E660" s="34"/>
      <c r="AU660" s="35"/>
      <c r="AV660" s="35"/>
      <c r="AW660" s="35"/>
      <c r="AX660" s="35"/>
      <c r="AY660" s="35"/>
      <c r="AZ660" s="35"/>
      <c r="BA660" s="35"/>
      <c r="BB660" s="35"/>
      <c r="BC660" s="35"/>
    </row>
    <row r="661" spans="1:55" ht="15.75" customHeight="1" x14ac:dyDescent="0.2">
      <c r="A661" s="34"/>
      <c r="B661" s="34"/>
      <c r="C661" s="34"/>
      <c r="D661" s="34"/>
      <c r="E661" s="34"/>
      <c r="AU661" s="35"/>
      <c r="AV661" s="35"/>
      <c r="AW661" s="35"/>
      <c r="AX661" s="35"/>
      <c r="AY661" s="35"/>
      <c r="AZ661" s="35"/>
      <c r="BA661" s="35"/>
      <c r="BB661" s="35"/>
      <c r="BC661" s="35"/>
    </row>
    <row r="662" spans="1:55" ht="15.75" customHeight="1" x14ac:dyDescent="0.2">
      <c r="A662" s="34"/>
      <c r="B662" s="34"/>
      <c r="C662" s="34"/>
      <c r="D662" s="34"/>
      <c r="E662" s="34"/>
      <c r="AU662" s="35"/>
      <c r="AV662" s="35"/>
      <c r="AW662" s="35"/>
      <c r="AX662" s="35"/>
      <c r="AY662" s="35"/>
      <c r="AZ662" s="35"/>
      <c r="BA662" s="35"/>
      <c r="BB662" s="35"/>
      <c r="BC662" s="35"/>
    </row>
    <row r="663" spans="1:55" ht="15.75" customHeight="1" x14ac:dyDescent="0.2">
      <c r="A663" s="34"/>
      <c r="B663" s="34"/>
      <c r="C663" s="34"/>
      <c r="D663" s="34"/>
      <c r="E663" s="34"/>
      <c r="AU663" s="35"/>
      <c r="AV663" s="35"/>
      <c r="AW663" s="35"/>
      <c r="AX663" s="35"/>
      <c r="AY663" s="35"/>
      <c r="AZ663" s="35"/>
      <c r="BA663" s="35"/>
      <c r="BB663" s="35"/>
      <c r="BC663" s="35"/>
    </row>
    <row r="664" spans="1:55" ht="15.75" customHeight="1" x14ac:dyDescent="0.2">
      <c r="A664" s="34"/>
      <c r="B664" s="34"/>
      <c r="C664" s="34"/>
      <c r="D664" s="34"/>
      <c r="E664" s="34"/>
      <c r="AU664" s="35"/>
      <c r="AV664" s="35"/>
      <c r="AW664" s="35"/>
      <c r="AX664" s="35"/>
      <c r="AY664" s="35"/>
      <c r="AZ664" s="35"/>
      <c r="BA664" s="35"/>
      <c r="BB664" s="35"/>
      <c r="BC664" s="35"/>
    </row>
    <row r="665" spans="1:55" ht="15.75" customHeight="1" x14ac:dyDescent="0.2">
      <c r="A665" s="34"/>
      <c r="B665" s="34"/>
      <c r="C665" s="34"/>
      <c r="D665" s="34"/>
      <c r="E665" s="34"/>
      <c r="AU665" s="35"/>
      <c r="AV665" s="35"/>
      <c r="AW665" s="35"/>
      <c r="AX665" s="35"/>
      <c r="AY665" s="35"/>
      <c r="AZ665" s="35"/>
      <c r="BA665" s="35"/>
      <c r="BB665" s="35"/>
      <c r="BC665" s="35"/>
    </row>
    <row r="666" spans="1:55" ht="15.75" customHeight="1" x14ac:dyDescent="0.2">
      <c r="A666" s="34"/>
      <c r="B666" s="34"/>
      <c r="C666" s="34"/>
      <c r="D666" s="34"/>
      <c r="E666" s="34"/>
      <c r="AU666" s="35"/>
      <c r="AV666" s="35"/>
      <c r="AW666" s="35"/>
      <c r="AX666" s="35"/>
      <c r="AY666" s="35"/>
      <c r="AZ666" s="35"/>
      <c r="BA666" s="35"/>
      <c r="BB666" s="35"/>
      <c r="BC666" s="35"/>
    </row>
    <row r="667" spans="1:55" ht="15.75" customHeight="1" x14ac:dyDescent="0.2">
      <c r="A667" s="34"/>
      <c r="B667" s="34"/>
      <c r="C667" s="34"/>
      <c r="D667" s="34"/>
      <c r="E667" s="34"/>
      <c r="AU667" s="35"/>
      <c r="AV667" s="35"/>
      <c r="AW667" s="35"/>
      <c r="AX667" s="35"/>
      <c r="AY667" s="35"/>
      <c r="AZ667" s="35"/>
      <c r="BA667" s="35"/>
      <c r="BB667" s="35"/>
      <c r="BC667" s="35"/>
    </row>
    <row r="668" spans="1:55" ht="15.75" customHeight="1" x14ac:dyDescent="0.2">
      <c r="A668" s="34"/>
      <c r="B668" s="34"/>
      <c r="C668" s="34"/>
      <c r="D668" s="34"/>
      <c r="E668" s="34"/>
      <c r="AU668" s="35"/>
      <c r="AV668" s="35"/>
      <c r="AW668" s="35"/>
      <c r="AX668" s="35"/>
      <c r="AY668" s="35"/>
      <c r="AZ668" s="35"/>
      <c r="BA668" s="35"/>
      <c r="BB668" s="35"/>
      <c r="BC668" s="35"/>
    </row>
    <row r="669" spans="1:55" ht="15.75" customHeight="1" x14ac:dyDescent="0.2">
      <c r="A669" s="34"/>
      <c r="B669" s="34"/>
      <c r="C669" s="34"/>
      <c r="D669" s="34"/>
      <c r="E669" s="34"/>
      <c r="AU669" s="35"/>
      <c r="AV669" s="35"/>
      <c r="AW669" s="35"/>
      <c r="AX669" s="35"/>
      <c r="AY669" s="35"/>
      <c r="AZ669" s="35"/>
      <c r="BA669" s="35"/>
      <c r="BB669" s="35"/>
      <c r="BC669" s="35"/>
    </row>
    <row r="670" spans="1:55" ht="15.75" customHeight="1" x14ac:dyDescent="0.2">
      <c r="A670" s="34"/>
      <c r="B670" s="34"/>
      <c r="C670" s="34"/>
      <c r="D670" s="34"/>
      <c r="E670" s="34"/>
      <c r="AU670" s="35"/>
      <c r="AV670" s="35"/>
      <c r="AW670" s="35"/>
      <c r="AX670" s="35"/>
      <c r="AY670" s="35"/>
      <c r="AZ670" s="35"/>
      <c r="BA670" s="35"/>
      <c r="BB670" s="35"/>
      <c r="BC670" s="35"/>
    </row>
    <row r="671" spans="1:55" ht="15.75" customHeight="1" x14ac:dyDescent="0.2">
      <c r="A671" s="34"/>
      <c r="B671" s="34"/>
      <c r="C671" s="34"/>
      <c r="D671" s="34"/>
      <c r="E671" s="34"/>
      <c r="AU671" s="35"/>
      <c r="AV671" s="35"/>
      <c r="AW671" s="35"/>
      <c r="AX671" s="35"/>
      <c r="AY671" s="35"/>
      <c r="AZ671" s="35"/>
      <c r="BA671" s="35"/>
      <c r="BB671" s="35"/>
      <c r="BC671" s="35"/>
    </row>
    <row r="672" spans="1:55" ht="15.75" customHeight="1" x14ac:dyDescent="0.2">
      <c r="A672" s="34"/>
      <c r="B672" s="34"/>
      <c r="C672" s="34"/>
      <c r="D672" s="34"/>
      <c r="E672" s="34"/>
      <c r="AU672" s="35"/>
      <c r="AV672" s="35"/>
      <c r="AW672" s="35"/>
      <c r="AX672" s="35"/>
      <c r="AY672" s="35"/>
      <c r="AZ672" s="35"/>
      <c r="BA672" s="35"/>
      <c r="BB672" s="35"/>
      <c r="BC672" s="35"/>
    </row>
    <row r="673" spans="1:55" ht="15.75" customHeight="1" x14ac:dyDescent="0.2">
      <c r="A673" s="34"/>
      <c r="B673" s="34"/>
      <c r="C673" s="34"/>
      <c r="D673" s="34"/>
      <c r="E673" s="34"/>
      <c r="AU673" s="35"/>
      <c r="AV673" s="35"/>
      <c r="AW673" s="35"/>
      <c r="AX673" s="35"/>
      <c r="AY673" s="35"/>
      <c r="AZ673" s="35"/>
      <c r="BA673" s="35"/>
      <c r="BB673" s="35"/>
      <c r="BC673" s="35"/>
    </row>
    <row r="674" spans="1:55" ht="15.75" customHeight="1" x14ac:dyDescent="0.2">
      <c r="A674" s="34"/>
      <c r="B674" s="34"/>
      <c r="C674" s="34"/>
      <c r="D674" s="34"/>
      <c r="E674" s="34"/>
      <c r="AU674" s="35"/>
      <c r="AV674" s="35"/>
      <c r="AW674" s="35"/>
      <c r="AX674" s="35"/>
      <c r="AY674" s="35"/>
      <c r="AZ674" s="35"/>
      <c r="BA674" s="35"/>
      <c r="BB674" s="35"/>
      <c r="BC674" s="35"/>
    </row>
    <row r="675" spans="1:55" ht="15.75" customHeight="1" x14ac:dyDescent="0.2">
      <c r="A675" s="34"/>
      <c r="B675" s="34"/>
      <c r="C675" s="34"/>
      <c r="D675" s="34"/>
      <c r="E675" s="34"/>
      <c r="AU675" s="35"/>
      <c r="AV675" s="35"/>
      <c r="AW675" s="35"/>
      <c r="AX675" s="35"/>
      <c r="AY675" s="35"/>
      <c r="AZ675" s="35"/>
      <c r="BA675" s="35"/>
      <c r="BB675" s="35"/>
      <c r="BC675" s="35"/>
    </row>
    <row r="676" spans="1:55" ht="15.75" customHeight="1" x14ac:dyDescent="0.2">
      <c r="A676" s="34"/>
      <c r="B676" s="34"/>
      <c r="C676" s="34"/>
      <c r="D676" s="34"/>
      <c r="E676" s="34"/>
      <c r="AU676" s="35"/>
      <c r="AV676" s="35"/>
      <c r="AW676" s="35"/>
      <c r="AX676" s="35"/>
      <c r="AY676" s="35"/>
      <c r="AZ676" s="35"/>
      <c r="BA676" s="35"/>
      <c r="BB676" s="35"/>
      <c r="BC676" s="35"/>
    </row>
    <row r="677" spans="1:55" ht="15.75" customHeight="1" x14ac:dyDescent="0.2">
      <c r="A677" s="34"/>
      <c r="B677" s="34"/>
      <c r="C677" s="34"/>
      <c r="D677" s="34"/>
      <c r="E677" s="34"/>
      <c r="AU677" s="35"/>
      <c r="AV677" s="35"/>
      <c r="AW677" s="35"/>
      <c r="AX677" s="35"/>
      <c r="AY677" s="35"/>
      <c r="AZ677" s="35"/>
      <c r="BA677" s="35"/>
      <c r="BB677" s="35"/>
      <c r="BC677" s="35"/>
    </row>
    <row r="678" spans="1:55" ht="15.75" customHeight="1" x14ac:dyDescent="0.2">
      <c r="A678" s="34"/>
      <c r="B678" s="34"/>
      <c r="C678" s="34"/>
      <c r="D678" s="34"/>
      <c r="E678" s="34"/>
      <c r="AU678" s="35"/>
      <c r="AV678" s="35"/>
      <c r="AW678" s="35"/>
      <c r="AX678" s="35"/>
      <c r="AY678" s="35"/>
      <c r="AZ678" s="35"/>
      <c r="BA678" s="35"/>
      <c r="BB678" s="35"/>
      <c r="BC678" s="35"/>
    </row>
    <row r="679" spans="1:55" ht="15.75" customHeight="1" x14ac:dyDescent="0.2">
      <c r="A679" s="34"/>
      <c r="B679" s="34"/>
      <c r="C679" s="34"/>
      <c r="D679" s="34"/>
      <c r="E679" s="34"/>
      <c r="AU679" s="35"/>
      <c r="AV679" s="35"/>
      <c r="AW679" s="35"/>
      <c r="AX679" s="35"/>
      <c r="AY679" s="35"/>
      <c r="AZ679" s="35"/>
      <c r="BA679" s="35"/>
      <c r="BB679" s="35"/>
      <c r="BC679" s="35"/>
    </row>
    <row r="680" spans="1:55" ht="15.75" customHeight="1" x14ac:dyDescent="0.2">
      <c r="A680" s="34"/>
      <c r="B680" s="34"/>
      <c r="C680" s="34"/>
      <c r="D680" s="34"/>
      <c r="E680" s="34"/>
      <c r="AU680" s="35"/>
      <c r="AV680" s="35"/>
      <c r="AW680" s="35"/>
      <c r="AX680" s="35"/>
      <c r="AY680" s="35"/>
      <c r="AZ680" s="35"/>
      <c r="BA680" s="35"/>
      <c r="BB680" s="35"/>
      <c r="BC680" s="35"/>
    </row>
    <row r="681" spans="1:55" ht="15.75" customHeight="1" x14ac:dyDescent="0.2">
      <c r="A681" s="34"/>
      <c r="B681" s="34"/>
      <c r="C681" s="34"/>
      <c r="D681" s="34"/>
      <c r="E681" s="34"/>
      <c r="AU681" s="35"/>
      <c r="AV681" s="35"/>
      <c r="AW681" s="35"/>
      <c r="AX681" s="35"/>
      <c r="AY681" s="35"/>
      <c r="AZ681" s="35"/>
      <c r="BA681" s="35"/>
      <c r="BB681" s="35"/>
      <c r="BC681" s="35"/>
    </row>
    <row r="682" spans="1:55" ht="15.75" customHeight="1" x14ac:dyDescent="0.2">
      <c r="A682" s="34"/>
      <c r="B682" s="34"/>
      <c r="C682" s="34"/>
      <c r="D682" s="34"/>
      <c r="E682" s="34"/>
      <c r="AU682" s="35"/>
      <c r="AV682" s="35"/>
      <c r="AW682" s="35"/>
      <c r="AX682" s="35"/>
      <c r="AY682" s="35"/>
      <c r="AZ682" s="35"/>
      <c r="BA682" s="35"/>
      <c r="BB682" s="35"/>
      <c r="BC682" s="35"/>
    </row>
    <row r="683" spans="1:55" ht="15.75" customHeight="1" x14ac:dyDescent="0.2">
      <c r="A683" s="34"/>
      <c r="B683" s="34"/>
      <c r="C683" s="34"/>
      <c r="D683" s="34"/>
      <c r="E683" s="34"/>
      <c r="AU683" s="35"/>
      <c r="AV683" s="35"/>
      <c r="AW683" s="35"/>
      <c r="AX683" s="35"/>
      <c r="AY683" s="35"/>
      <c r="AZ683" s="35"/>
      <c r="BA683" s="35"/>
      <c r="BB683" s="35"/>
      <c r="BC683" s="35"/>
    </row>
    <row r="684" spans="1:55" ht="15.75" customHeight="1" x14ac:dyDescent="0.2">
      <c r="A684" s="34"/>
      <c r="B684" s="34"/>
      <c r="C684" s="34"/>
      <c r="D684" s="34"/>
      <c r="E684" s="34"/>
      <c r="AU684" s="35"/>
      <c r="AV684" s="35"/>
      <c r="AW684" s="35"/>
      <c r="AX684" s="35"/>
      <c r="AY684" s="35"/>
      <c r="AZ684" s="35"/>
      <c r="BA684" s="35"/>
      <c r="BB684" s="35"/>
      <c r="BC684" s="35"/>
    </row>
    <row r="685" spans="1:55" ht="15.75" customHeight="1" x14ac:dyDescent="0.2">
      <c r="A685" s="34"/>
      <c r="B685" s="34"/>
      <c r="C685" s="34"/>
      <c r="D685" s="34"/>
      <c r="E685" s="34"/>
      <c r="AU685" s="35"/>
      <c r="AV685" s="35"/>
      <c r="AW685" s="35"/>
      <c r="AX685" s="35"/>
      <c r="AY685" s="35"/>
      <c r="AZ685" s="35"/>
      <c r="BA685" s="35"/>
      <c r="BB685" s="35"/>
      <c r="BC685" s="35"/>
    </row>
    <row r="686" spans="1:55" ht="15.75" customHeight="1" x14ac:dyDescent="0.2">
      <c r="A686" s="34"/>
      <c r="B686" s="34"/>
      <c r="C686" s="34"/>
      <c r="D686" s="34"/>
      <c r="E686" s="34"/>
      <c r="AU686" s="35"/>
      <c r="AV686" s="35"/>
      <c r="AW686" s="35"/>
      <c r="AX686" s="35"/>
      <c r="AY686" s="35"/>
      <c r="AZ686" s="35"/>
      <c r="BA686" s="35"/>
      <c r="BB686" s="35"/>
      <c r="BC686" s="35"/>
    </row>
    <row r="687" spans="1:55" ht="15.75" customHeight="1" x14ac:dyDescent="0.2">
      <c r="A687" s="34"/>
      <c r="B687" s="34"/>
      <c r="C687" s="34"/>
      <c r="D687" s="34"/>
      <c r="E687" s="34"/>
      <c r="AU687" s="35"/>
      <c r="AV687" s="35"/>
      <c r="AW687" s="35"/>
      <c r="AX687" s="35"/>
      <c r="AY687" s="35"/>
      <c r="AZ687" s="35"/>
      <c r="BA687" s="35"/>
      <c r="BB687" s="35"/>
      <c r="BC687" s="35"/>
    </row>
    <row r="688" spans="1:55" ht="15.75" customHeight="1" x14ac:dyDescent="0.2">
      <c r="A688" s="34"/>
      <c r="B688" s="34"/>
      <c r="C688" s="34"/>
      <c r="D688" s="34"/>
      <c r="E688" s="34"/>
      <c r="AU688" s="35"/>
      <c r="AV688" s="35"/>
      <c r="AW688" s="35"/>
      <c r="AX688" s="35"/>
      <c r="AY688" s="35"/>
      <c r="AZ688" s="35"/>
      <c r="BA688" s="35"/>
      <c r="BB688" s="35"/>
      <c r="BC688" s="35"/>
    </row>
    <row r="689" spans="1:55" ht="15.75" customHeight="1" x14ac:dyDescent="0.2">
      <c r="A689" s="34"/>
      <c r="B689" s="34"/>
      <c r="C689" s="34"/>
      <c r="D689" s="34"/>
      <c r="E689" s="34"/>
      <c r="AU689" s="35"/>
      <c r="AV689" s="35"/>
      <c r="AW689" s="35"/>
      <c r="AX689" s="35"/>
      <c r="AY689" s="35"/>
      <c r="AZ689" s="35"/>
      <c r="BA689" s="35"/>
      <c r="BB689" s="35"/>
      <c r="BC689" s="35"/>
    </row>
    <row r="690" spans="1:55" ht="15.75" customHeight="1" x14ac:dyDescent="0.2">
      <c r="A690" s="34"/>
      <c r="B690" s="34"/>
      <c r="C690" s="34"/>
      <c r="D690" s="34"/>
      <c r="E690" s="34"/>
      <c r="AU690" s="35"/>
      <c r="AV690" s="35"/>
      <c r="AW690" s="35"/>
      <c r="AX690" s="35"/>
      <c r="AY690" s="35"/>
      <c r="AZ690" s="35"/>
      <c r="BA690" s="35"/>
      <c r="BB690" s="35"/>
      <c r="BC690" s="35"/>
    </row>
    <row r="691" spans="1:55" ht="15.75" customHeight="1" x14ac:dyDescent="0.2">
      <c r="A691" s="34"/>
      <c r="B691" s="34"/>
      <c r="C691" s="34"/>
      <c r="D691" s="34"/>
      <c r="E691" s="34"/>
      <c r="AU691" s="35"/>
      <c r="AV691" s="35"/>
      <c r="AW691" s="35"/>
      <c r="AX691" s="35"/>
      <c r="AY691" s="35"/>
      <c r="AZ691" s="35"/>
      <c r="BA691" s="35"/>
      <c r="BB691" s="35"/>
      <c r="BC691" s="35"/>
    </row>
    <row r="692" spans="1:55" ht="15.75" customHeight="1" x14ac:dyDescent="0.2">
      <c r="A692" s="34"/>
      <c r="B692" s="34"/>
      <c r="C692" s="34"/>
      <c r="D692" s="34"/>
      <c r="E692" s="34"/>
      <c r="AU692" s="35"/>
      <c r="AV692" s="35"/>
      <c r="AW692" s="35"/>
      <c r="AX692" s="35"/>
      <c r="AY692" s="35"/>
      <c r="AZ692" s="35"/>
      <c r="BA692" s="35"/>
      <c r="BB692" s="35"/>
      <c r="BC692" s="35"/>
    </row>
    <row r="693" spans="1:55" ht="15.75" customHeight="1" x14ac:dyDescent="0.2">
      <c r="A693" s="34"/>
      <c r="B693" s="34"/>
      <c r="C693" s="34"/>
      <c r="D693" s="34"/>
      <c r="E693" s="34"/>
      <c r="AU693" s="35"/>
      <c r="AV693" s="35"/>
      <c r="AW693" s="35"/>
      <c r="AX693" s="35"/>
      <c r="AY693" s="35"/>
      <c r="AZ693" s="35"/>
      <c r="BA693" s="35"/>
      <c r="BB693" s="35"/>
      <c r="BC693" s="35"/>
    </row>
    <row r="694" spans="1:55" ht="15.75" customHeight="1" x14ac:dyDescent="0.2">
      <c r="A694" s="34"/>
      <c r="B694" s="34"/>
      <c r="C694" s="34"/>
      <c r="D694" s="34"/>
      <c r="E694" s="34"/>
      <c r="AU694" s="35"/>
      <c r="AV694" s="35"/>
      <c r="AW694" s="35"/>
      <c r="AX694" s="35"/>
      <c r="AY694" s="35"/>
      <c r="AZ694" s="35"/>
      <c r="BA694" s="35"/>
      <c r="BB694" s="35"/>
      <c r="BC694" s="35"/>
    </row>
    <row r="695" spans="1:55" ht="15.75" customHeight="1" x14ac:dyDescent="0.2">
      <c r="A695" s="34"/>
      <c r="B695" s="34"/>
      <c r="C695" s="34"/>
      <c r="D695" s="34"/>
      <c r="E695" s="34"/>
      <c r="AU695" s="35"/>
      <c r="AV695" s="35"/>
      <c r="AW695" s="35"/>
      <c r="AX695" s="35"/>
      <c r="AY695" s="35"/>
      <c r="AZ695" s="35"/>
      <c r="BA695" s="35"/>
      <c r="BB695" s="35"/>
      <c r="BC695" s="35"/>
    </row>
    <row r="696" spans="1:55" ht="15.75" customHeight="1" x14ac:dyDescent="0.2">
      <c r="A696" s="34"/>
      <c r="B696" s="34"/>
      <c r="C696" s="34"/>
      <c r="D696" s="34"/>
      <c r="E696" s="34"/>
      <c r="AU696" s="35"/>
      <c r="AV696" s="35"/>
      <c r="AW696" s="35"/>
      <c r="AX696" s="35"/>
      <c r="AY696" s="35"/>
      <c r="AZ696" s="35"/>
      <c r="BA696" s="35"/>
      <c r="BB696" s="35"/>
      <c r="BC696" s="35"/>
    </row>
    <row r="697" spans="1:55" ht="15.75" customHeight="1" x14ac:dyDescent="0.2">
      <c r="A697" s="34"/>
      <c r="B697" s="34"/>
      <c r="C697" s="34"/>
      <c r="D697" s="34"/>
      <c r="E697" s="34"/>
      <c r="AU697" s="35"/>
      <c r="AV697" s="35"/>
      <c r="AW697" s="35"/>
      <c r="AX697" s="35"/>
      <c r="AY697" s="35"/>
      <c r="AZ697" s="35"/>
      <c r="BA697" s="35"/>
      <c r="BB697" s="35"/>
      <c r="BC697" s="35"/>
    </row>
    <row r="698" spans="1:55" ht="15.75" customHeight="1" x14ac:dyDescent="0.2">
      <c r="A698" s="34"/>
      <c r="B698" s="34"/>
      <c r="C698" s="34"/>
      <c r="D698" s="34"/>
      <c r="E698" s="34"/>
      <c r="AU698" s="35"/>
      <c r="AV698" s="35"/>
      <c r="AW698" s="35"/>
      <c r="AX698" s="35"/>
      <c r="AY698" s="35"/>
      <c r="AZ698" s="35"/>
      <c r="BA698" s="35"/>
      <c r="BB698" s="35"/>
      <c r="BC698" s="35"/>
    </row>
    <row r="699" spans="1:55" ht="15.75" customHeight="1" x14ac:dyDescent="0.2">
      <c r="A699" s="34"/>
      <c r="B699" s="34"/>
      <c r="C699" s="34"/>
      <c r="D699" s="34"/>
      <c r="E699" s="34"/>
      <c r="AU699" s="35"/>
      <c r="AV699" s="35"/>
      <c r="AW699" s="35"/>
      <c r="AX699" s="35"/>
      <c r="AY699" s="35"/>
      <c r="AZ699" s="35"/>
      <c r="BA699" s="35"/>
      <c r="BB699" s="35"/>
      <c r="BC699" s="35"/>
    </row>
    <row r="700" spans="1:55" ht="15.75" customHeight="1" x14ac:dyDescent="0.2">
      <c r="A700" s="34"/>
      <c r="B700" s="34"/>
      <c r="C700" s="34"/>
      <c r="D700" s="34"/>
      <c r="E700" s="34"/>
      <c r="AU700" s="35"/>
      <c r="AV700" s="35"/>
      <c r="AW700" s="35"/>
      <c r="AX700" s="35"/>
      <c r="AY700" s="35"/>
      <c r="AZ700" s="35"/>
      <c r="BA700" s="35"/>
      <c r="BB700" s="35"/>
      <c r="BC700" s="35"/>
    </row>
    <row r="701" spans="1:55" ht="15.75" customHeight="1" x14ac:dyDescent="0.2">
      <c r="A701" s="34"/>
      <c r="B701" s="34"/>
      <c r="C701" s="34"/>
      <c r="D701" s="34"/>
      <c r="E701" s="34"/>
      <c r="AU701" s="35"/>
      <c r="AV701" s="35"/>
      <c r="AW701" s="35"/>
      <c r="AX701" s="35"/>
      <c r="AY701" s="35"/>
      <c r="AZ701" s="35"/>
      <c r="BA701" s="35"/>
      <c r="BB701" s="35"/>
      <c r="BC701" s="35"/>
    </row>
    <row r="702" spans="1:55" ht="15.75" customHeight="1" x14ac:dyDescent="0.2">
      <c r="A702" s="34"/>
      <c r="B702" s="34"/>
      <c r="C702" s="34"/>
      <c r="D702" s="34"/>
      <c r="E702" s="34"/>
      <c r="AU702" s="35"/>
      <c r="AV702" s="35"/>
      <c r="AW702" s="35"/>
      <c r="AX702" s="35"/>
      <c r="AY702" s="35"/>
      <c r="AZ702" s="35"/>
      <c r="BA702" s="35"/>
      <c r="BB702" s="35"/>
      <c r="BC702" s="35"/>
    </row>
    <row r="703" spans="1:55" ht="15.75" customHeight="1" x14ac:dyDescent="0.2">
      <c r="A703" s="34"/>
      <c r="B703" s="34"/>
      <c r="C703" s="34"/>
      <c r="D703" s="34"/>
      <c r="E703" s="34"/>
      <c r="AU703" s="35"/>
      <c r="AV703" s="35"/>
      <c r="AW703" s="35"/>
      <c r="AX703" s="35"/>
      <c r="AY703" s="35"/>
      <c r="AZ703" s="35"/>
      <c r="BA703" s="35"/>
      <c r="BB703" s="35"/>
      <c r="BC703" s="35"/>
    </row>
    <row r="704" spans="1:55" ht="15.75" customHeight="1" x14ac:dyDescent="0.2">
      <c r="A704" s="34"/>
      <c r="B704" s="34"/>
      <c r="C704" s="34"/>
      <c r="D704" s="34"/>
      <c r="E704" s="34"/>
      <c r="AU704" s="35"/>
      <c r="AV704" s="35"/>
      <c r="AW704" s="35"/>
      <c r="AX704" s="35"/>
      <c r="AY704" s="35"/>
      <c r="AZ704" s="35"/>
      <c r="BA704" s="35"/>
      <c r="BB704" s="35"/>
      <c r="BC704" s="35"/>
    </row>
    <row r="705" spans="1:55" ht="15.75" customHeight="1" x14ac:dyDescent="0.2">
      <c r="A705" s="34"/>
      <c r="B705" s="34"/>
      <c r="C705" s="34"/>
      <c r="D705" s="34"/>
      <c r="E705" s="34"/>
      <c r="AU705" s="35"/>
      <c r="AV705" s="35"/>
      <c r="AW705" s="35"/>
      <c r="AX705" s="35"/>
      <c r="AY705" s="35"/>
      <c r="AZ705" s="35"/>
      <c r="BA705" s="35"/>
      <c r="BB705" s="35"/>
      <c r="BC705" s="35"/>
    </row>
    <row r="706" spans="1:55" ht="15.75" customHeight="1" x14ac:dyDescent="0.2">
      <c r="A706" s="34"/>
      <c r="B706" s="34"/>
      <c r="C706" s="34"/>
      <c r="D706" s="34"/>
      <c r="E706" s="34"/>
      <c r="AU706" s="35"/>
      <c r="AV706" s="35"/>
      <c r="AW706" s="35"/>
      <c r="AX706" s="35"/>
      <c r="AY706" s="35"/>
      <c r="AZ706" s="35"/>
      <c r="BA706" s="35"/>
      <c r="BB706" s="35"/>
      <c r="BC706" s="35"/>
    </row>
    <row r="707" spans="1:55" ht="15.75" customHeight="1" x14ac:dyDescent="0.2">
      <c r="A707" s="34"/>
      <c r="B707" s="34"/>
      <c r="C707" s="34"/>
      <c r="D707" s="34"/>
      <c r="E707" s="34"/>
      <c r="AU707" s="35"/>
      <c r="AV707" s="35"/>
      <c r="AW707" s="35"/>
      <c r="AX707" s="35"/>
      <c r="AY707" s="35"/>
      <c r="AZ707" s="35"/>
      <c r="BA707" s="35"/>
      <c r="BB707" s="35"/>
      <c r="BC707" s="35"/>
    </row>
    <row r="708" spans="1:55" ht="15.75" customHeight="1" x14ac:dyDescent="0.2">
      <c r="A708" s="34"/>
      <c r="B708" s="34"/>
      <c r="C708" s="34"/>
      <c r="D708" s="34"/>
      <c r="E708" s="34"/>
      <c r="AU708" s="35"/>
      <c r="AV708" s="35"/>
      <c r="AW708" s="35"/>
      <c r="AX708" s="35"/>
      <c r="AY708" s="35"/>
      <c r="AZ708" s="35"/>
      <c r="BA708" s="35"/>
      <c r="BB708" s="35"/>
      <c r="BC708" s="35"/>
    </row>
    <row r="709" spans="1:55" ht="15.75" customHeight="1" x14ac:dyDescent="0.2">
      <c r="A709" s="34"/>
      <c r="B709" s="34"/>
      <c r="C709" s="34"/>
      <c r="D709" s="34"/>
      <c r="E709" s="34"/>
      <c r="AU709" s="35"/>
      <c r="AV709" s="35"/>
      <c r="AW709" s="35"/>
      <c r="AX709" s="35"/>
      <c r="AY709" s="35"/>
      <c r="AZ709" s="35"/>
      <c r="BA709" s="35"/>
      <c r="BB709" s="35"/>
      <c r="BC709" s="35"/>
    </row>
    <row r="710" spans="1:55" ht="15.75" customHeight="1" x14ac:dyDescent="0.2">
      <c r="A710" s="34"/>
      <c r="B710" s="34"/>
      <c r="C710" s="34"/>
      <c r="D710" s="34"/>
      <c r="E710" s="34"/>
      <c r="AU710" s="35"/>
      <c r="AV710" s="35"/>
      <c r="AW710" s="35"/>
      <c r="AX710" s="35"/>
      <c r="AY710" s="35"/>
      <c r="AZ710" s="35"/>
      <c r="BA710" s="35"/>
      <c r="BB710" s="35"/>
      <c r="BC710" s="35"/>
    </row>
    <row r="711" spans="1:55" ht="15.75" customHeight="1" x14ac:dyDescent="0.2">
      <c r="A711" s="34"/>
      <c r="B711" s="34"/>
      <c r="C711" s="34"/>
      <c r="D711" s="34"/>
      <c r="E711" s="34"/>
      <c r="AU711" s="35"/>
      <c r="AV711" s="35"/>
      <c r="AW711" s="35"/>
      <c r="AX711" s="35"/>
      <c r="AY711" s="35"/>
      <c r="AZ711" s="35"/>
      <c r="BA711" s="35"/>
      <c r="BB711" s="35"/>
      <c r="BC711" s="35"/>
    </row>
    <row r="712" spans="1:55" ht="15.75" customHeight="1" x14ac:dyDescent="0.2">
      <c r="A712" s="34"/>
      <c r="B712" s="34"/>
      <c r="C712" s="34"/>
      <c r="D712" s="34"/>
      <c r="E712" s="34"/>
      <c r="AU712" s="35"/>
      <c r="AV712" s="35"/>
      <c r="AW712" s="35"/>
      <c r="AX712" s="35"/>
      <c r="AY712" s="35"/>
      <c r="AZ712" s="35"/>
      <c r="BA712" s="35"/>
      <c r="BB712" s="35"/>
      <c r="BC712" s="35"/>
    </row>
    <row r="713" spans="1:55" ht="15.75" customHeight="1" x14ac:dyDescent="0.2">
      <c r="A713" s="34"/>
      <c r="B713" s="34"/>
      <c r="C713" s="34"/>
      <c r="D713" s="34"/>
      <c r="E713" s="34"/>
      <c r="AU713" s="35"/>
      <c r="AV713" s="35"/>
      <c r="AW713" s="35"/>
      <c r="AX713" s="35"/>
      <c r="AY713" s="35"/>
      <c r="AZ713" s="35"/>
      <c r="BA713" s="35"/>
      <c r="BB713" s="35"/>
      <c r="BC713" s="35"/>
    </row>
    <row r="714" spans="1:55" ht="15.75" customHeight="1" x14ac:dyDescent="0.2">
      <c r="A714" s="34"/>
      <c r="B714" s="34"/>
      <c r="C714" s="34"/>
      <c r="D714" s="34"/>
      <c r="E714" s="34"/>
      <c r="AU714" s="35"/>
      <c r="AV714" s="35"/>
      <c r="AW714" s="35"/>
      <c r="AX714" s="35"/>
      <c r="AY714" s="35"/>
      <c r="AZ714" s="35"/>
      <c r="BA714" s="35"/>
      <c r="BB714" s="35"/>
      <c r="BC714" s="35"/>
    </row>
    <row r="715" spans="1:55" ht="15.75" customHeight="1" x14ac:dyDescent="0.2">
      <c r="A715" s="34"/>
      <c r="B715" s="34"/>
      <c r="C715" s="34"/>
      <c r="D715" s="34"/>
      <c r="E715" s="34"/>
      <c r="AU715" s="35"/>
      <c r="AV715" s="35"/>
      <c r="AW715" s="35"/>
      <c r="AX715" s="35"/>
      <c r="AY715" s="35"/>
      <c r="AZ715" s="35"/>
      <c r="BA715" s="35"/>
      <c r="BB715" s="35"/>
      <c r="BC715" s="35"/>
    </row>
    <row r="716" spans="1:55" ht="15.75" customHeight="1" x14ac:dyDescent="0.2">
      <c r="A716" s="34"/>
      <c r="B716" s="34"/>
      <c r="C716" s="34"/>
      <c r="D716" s="34"/>
      <c r="E716" s="34"/>
      <c r="AU716" s="35"/>
      <c r="AV716" s="35"/>
      <c r="AW716" s="35"/>
      <c r="AX716" s="35"/>
      <c r="AY716" s="35"/>
      <c r="AZ716" s="35"/>
      <c r="BA716" s="35"/>
      <c r="BB716" s="35"/>
      <c r="BC716" s="35"/>
    </row>
    <row r="717" spans="1:55" ht="15.75" customHeight="1" x14ac:dyDescent="0.2">
      <c r="A717" s="34"/>
      <c r="B717" s="34"/>
      <c r="C717" s="34"/>
      <c r="D717" s="34"/>
      <c r="E717" s="34"/>
      <c r="AU717" s="35"/>
      <c r="AV717" s="35"/>
      <c r="AW717" s="35"/>
      <c r="AX717" s="35"/>
      <c r="AY717" s="35"/>
      <c r="AZ717" s="35"/>
      <c r="BA717" s="35"/>
      <c r="BB717" s="35"/>
      <c r="BC717" s="35"/>
    </row>
    <row r="718" spans="1:55" ht="15.75" customHeight="1" x14ac:dyDescent="0.2">
      <c r="A718" s="34"/>
      <c r="B718" s="34"/>
      <c r="C718" s="34"/>
      <c r="D718" s="34"/>
      <c r="E718" s="34"/>
      <c r="AU718" s="35"/>
      <c r="AV718" s="35"/>
      <c r="AW718" s="35"/>
      <c r="AX718" s="35"/>
      <c r="AY718" s="35"/>
      <c r="AZ718" s="35"/>
      <c r="BA718" s="35"/>
      <c r="BB718" s="35"/>
      <c r="BC718" s="35"/>
    </row>
    <row r="719" spans="1:55" ht="15.75" customHeight="1" x14ac:dyDescent="0.2">
      <c r="A719" s="34"/>
      <c r="B719" s="34"/>
      <c r="C719" s="34"/>
      <c r="D719" s="34"/>
      <c r="E719" s="34"/>
      <c r="AU719" s="35"/>
      <c r="AV719" s="35"/>
      <c r="AW719" s="35"/>
      <c r="AX719" s="35"/>
      <c r="AY719" s="35"/>
      <c r="AZ719" s="35"/>
      <c r="BA719" s="35"/>
      <c r="BB719" s="35"/>
      <c r="BC719" s="35"/>
    </row>
    <row r="720" spans="1:55" ht="15.75" customHeight="1" x14ac:dyDescent="0.2">
      <c r="A720" s="34"/>
      <c r="B720" s="34"/>
      <c r="C720" s="34"/>
      <c r="D720" s="34"/>
      <c r="E720" s="34"/>
      <c r="AU720" s="35"/>
      <c r="AV720" s="35"/>
      <c r="AW720" s="35"/>
      <c r="AX720" s="35"/>
      <c r="AY720" s="35"/>
      <c r="AZ720" s="35"/>
      <c r="BA720" s="35"/>
      <c r="BB720" s="35"/>
      <c r="BC720" s="35"/>
    </row>
    <row r="721" spans="1:55" ht="15.75" customHeight="1" x14ac:dyDescent="0.2">
      <c r="A721" s="34"/>
      <c r="B721" s="34"/>
      <c r="C721" s="34"/>
      <c r="D721" s="34"/>
      <c r="E721" s="34"/>
      <c r="AU721" s="35"/>
      <c r="AV721" s="35"/>
      <c r="AW721" s="35"/>
      <c r="AX721" s="35"/>
      <c r="AY721" s="35"/>
      <c r="AZ721" s="35"/>
      <c r="BA721" s="35"/>
      <c r="BB721" s="35"/>
      <c r="BC721" s="35"/>
    </row>
    <row r="722" spans="1:55" ht="15.75" customHeight="1" x14ac:dyDescent="0.2">
      <c r="A722" s="34"/>
      <c r="B722" s="34"/>
      <c r="C722" s="34"/>
      <c r="D722" s="34"/>
      <c r="E722" s="34"/>
      <c r="AU722" s="35"/>
      <c r="AV722" s="35"/>
      <c r="AW722" s="35"/>
      <c r="AX722" s="35"/>
      <c r="AY722" s="35"/>
      <c r="AZ722" s="35"/>
      <c r="BA722" s="35"/>
      <c r="BB722" s="35"/>
      <c r="BC722" s="35"/>
    </row>
    <row r="723" spans="1:55" ht="15.75" customHeight="1" x14ac:dyDescent="0.2">
      <c r="A723" s="34"/>
      <c r="B723" s="34"/>
      <c r="C723" s="34"/>
      <c r="D723" s="34"/>
      <c r="E723" s="34"/>
      <c r="AU723" s="35"/>
      <c r="AV723" s="35"/>
      <c r="AW723" s="35"/>
      <c r="AX723" s="35"/>
      <c r="AY723" s="35"/>
      <c r="AZ723" s="35"/>
      <c r="BA723" s="35"/>
      <c r="BB723" s="35"/>
      <c r="BC723" s="35"/>
    </row>
    <row r="724" spans="1:55" ht="15.75" customHeight="1" x14ac:dyDescent="0.2">
      <c r="A724" s="34"/>
      <c r="B724" s="34"/>
      <c r="C724" s="34"/>
      <c r="D724" s="34"/>
      <c r="E724" s="34"/>
      <c r="AU724" s="35"/>
      <c r="AV724" s="35"/>
      <c r="AW724" s="35"/>
      <c r="AX724" s="35"/>
      <c r="AY724" s="35"/>
      <c r="AZ724" s="35"/>
      <c r="BA724" s="35"/>
      <c r="BB724" s="35"/>
      <c r="BC724" s="35"/>
    </row>
    <row r="725" spans="1:55" ht="15.75" customHeight="1" x14ac:dyDescent="0.2">
      <c r="A725" s="34"/>
      <c r="B725" s="34"/>
      <c r="C725" s="34"/>
      <c r="D725" s="34"/>
      <c r="E725" s="34"/>
      <c r="AU725" s="35"/>
      <c r="AV725" s="35"/>
      <c r="AW725" s="35"/>
      <c r="AX725" s="35"/>
      <c r="AY725" s="35"/>
      <c r="AZ725" s="35"/>
      <c r="BA725" s="35"/>
      <c r="BB725" s="35"/>
      <c r="BC725" s="35"/>
    </row>
    <row r="726" spans="1:55" ht="15.75" customHeight="1" x14ac:dyDescent="0.2">
      <c r="A726" s="34"/>
      <c r="B726" s="34"/>
      <c r="C726" s="34"/>
      <c r="D726" s="34"/>
      <c r="E726" s="34"/>
      <c r="AU726" s="35"/>
      <c r="AV726" s="35"/>
      <c r="AW726" s="35"/>
      <c r="AX726" s="35"/>
      <c r="AY726" s="35"/>
      <c r="AZ726" s="35"/>
      <c r="BA726" s="35"/>
      <c r="BB726" s="35"/>
      <c r="BC726" s="35"/>
    </row>
    <row r="727" spans="1:55" ht="15.75" customHeight="1" x14ac:dyDescent="0.2">
      <c r="A727" s="34"/>
      <c r="B727" s="34"/>
      <c r="C727" s="34"/>
      <c r="D727" s="34"/>
      <c r="E727" s="34"/>
      <c r="AU727" s="35"/>
      <c r="AV727" s="35"/>
      <c r="AW727" s="35"/>
      <c r="AX727" s="35"/>
      <c r="AY727" s="35"/>
      <c r="AZ727" s="35"/>
      <c r="BA727" s="35"/>
      <c r="BB727" s="35"/>
      <c r="BC727" s="35"/>
    </row>
    <row r="728" spans="1:55" ht="15.75" customHeight="1" x14ac:dyDescent="0.2">
      <c r="A728" s="34"/>
      <c r="B728" s="34"/>
      <c r="C728" s="34"/>
      <c r="D728" s="34"/>
      <c r="E728" s="34"/>
      <c r="AU728" s="35"/>
      <c r="AV728" s="35"/>
      <c r="AW728" s="35"/>
      <c r="AX728" s="35"/>
      <c r="AY728" s="35"/>
      <c r="AZ728" s="35"/>
      <c r="BA728" s="35"/>
      <c r="BB728" s="35"/>
      <c r="BC728" s="35"/>
    </row>
    <row r="729" spans="1:55" ht="15.75" customHeight="1" x14ac:dyDescent="0.2">
      <c r="A729" s="34"/>
      <c r="B729" s="34"/>
      <c r="C729" s="34"/>
      <c r="D729" s="34"/>
      <c r="E729" s="34"/>
      <c r="AU729" s="35"/>
      <c r="AV729" s="35"/>
      <c r="AW729" s="35"/>
      <c r="AX729" s="35"/>
      <c r="AY729" s="35"/>
      <c r="AZ729" s="35"/>
      <c r="BA729" s="35"/>
      <c r="BB729" s="35"/>
      <c r="BC729" s="35"/>
    </row>
    <row r="730" spans="1:55" ht="15.75" customHeight="1" x14ac:dyDescent="0.2">
      <c r="A730" s="34"/>
      <c r="B730" s="34"/>
      <c r="C730" s="34"/>
      <c r="D730" s="34"/>
      <c r="E730" s="34"/>
      <c r="AU730" s="35"/>
      <c r="AV730" s="35"/>
      <c r="AW730" s="35"/>
      <c r="AX730" s="35"/>
      <c r="AY730" s="35"/>
      <c r="AZ730" s="35"/>
      <c r="BA730" s="35"/>
      <c r="BB730" s="35"/>
      <c r="BC730" s="35"/>
    </row>
    <row r="731" spans="1:55" ht="15.75" customHeight="1" x14ac:dyDescent="0.2">
      <c r="A731" s="34"/>
      <c r="B731" s="34"/>
      <c r="C731" s="34"/>
      <c r="D731" s="34"/>
      <c r="E731" s="34"/>
      <c r="AU731" s="35"/>
      <c r="AV731" s="35"/>
      <c r="AW731" s="35"/>
      <c r="AX731" s="35"/>
      <c r="AY731" s="35"/>
      <c r="AZ731" s="35"/>
      <c r="BA731" s="35"/>
      <c r="BB731" s="35"/>
      <c r="BC731" s="35"/>
    </row>
    <row r="732" spans="1:55" ht="15.75" customHeight="1" x14ac:dyDescent="0.2">
      <c r="A732" s="34"/>
      <c r="B732" s="34"/>
      <c r="C732" s="34"/>
      <c r="D732" s="34"/>
      <c r="E732" s="34"/>
      <c r="AU732" s="35"/>
      <c r="AV732" s="35"/>
      <c r="AW732" s="35"/>
      <c r="AX732" s="35"/>
      <c r="AY732" s="35"/>
      <c r="AZ732" s="35"/>
      <c r="BA732" s="35"/>
      <c r="BB732" s="35"/>
      <c r="BC732" s="35"/>
    </row>
    <row r="733" spans="1:55" ht="15.75" customHeight="1" x14ac:dyDescent="0.2">
      <c r="A733" s="34"/>
      <c r="B733" s="34"/>
      <c r="C733" s="34"/>
      <c r="D733" s="34"/>
      <c r="E733" s="34"/>
      <c r="AU733" s="35"/>
      <c r="AV733" s="35"/>
      <c r="AW733" s="35"/>
      <c r="AX733" s="35"/>
      <c r="AY733" s="35"/>
      <c r="AZ733" s="35"/>
      <c r="BA733" s="35"/>
      <c r="BB733" s="35"/>
      <c r="BC733" s="35"/>
    </row>
    <row r="734" spans="1:55" ht="15.75" customHeight="1" x14ac:dyDescent="0.2">
      <c r="A734" s="34"/>
      <c r="B734" s="34"/>
      <c r="C734" s="34"/>
      <c r="D734" s="34"/>
      <c r="E734" s="34"/>
      <c r="AU734" s="35"/>
      <c r="AV734" s="35"/>
      <c r="AW734" s="35"/>
      <c r="AX734" s="35"/>
      <c r="AY734" s="35"/>
      <c r="AZ734" s="35"/>
      <c r="BA734" s="35"/>
      <c r="BB734" s="35"/>
      <c r="BC734" s="35"/>
    </row>
    <row r="735" spans="1:55" ht="15.75" customHeight="1" x14ac:dyDescent="0.2">
      <c r="A735" s="34"/>
      <c r="B735" s="34"/>
      <c r="C735" s="34"/>
      <c r="D735" s="34"/>
      <c r="E735" s="34"/>
      <c r="AU735" s="35"/>
      <c r="AV735" s="35"/>
      <c r="AW735" s="35"/>
      <c r="AX735" s="35"/>
      <c r="AY735" s="35"/>
      <c r="AZ735" s="35"/>
      <c r="BA735" s="35"/>
      <c r="BB735" s="35"/>
      <c r="BC735" s="35"/>
    </row>
    <row r="736" spans="1:55" ht="15.75" customHeight="1" x14ac:dyDescent="0.2">
      <c r="A736" s="34"/>
      <c r="B736" s="34"/>
      <c r="C736" s="34"/>
      <c r="D736" s="34"/>
      <c r="E736" s="34"/>
      <c r="AU736" s="35"/>
      <c r="AV736" s="35"/>
      <c r="AW736" s="35"/>
      <c r="AX736" s="35"/>
      <c r="AY736" s="35"/>
      <c r="AZ736" s="35"/>
      <c r="BA736" s="35"/>
      <c r="BB736" s="35"/>
      <c r="BC736" s="35"/>
    </row>
    <row r="737" spans="1:55" ht="15.75" customHeight="1" x14ac:dyDescent="0.2">
      <c r="A737" s="34"/>
      <c r="B737" s="34"/>
      <c r="C737" s="34"/>
      <c r="D737" s="34"/>
      <c r="E737" s="34"/>
      <c r="AU737" s="35"/>
      <c r="AV737" s="35"/>
      <c r="AW737" s="35"/>
      <c r="AX737" s="35"/>
      <c r="AY737" s="35"/>
      <c r="AZ737" s="35"/>
      <c r="BA737" s="35"/>
      <c r="BB737" s="35"/>
      <c r="BC737" s="35"/>
    </row>
    <row r="738" spans="1:55" ht="15.75" customHeight="1" x14ac:dyDescent="0.2">
      <c r="A738" s="34"/>
      <c r="B738" s="34"/>
      <c r="C738" s="34"/>
      <c r="D738" s="34"/>
      <c r="E738" s="34"/>
      <c r="AU738" s="35"/>
      <c r="AV738" s="35"/>
      <c r="AW738" s="35"/>
      <c r="AX738" s="35"/>
      <c r="AY738" s="35"/>
      <c r="AZ738" s="35"/>
      <c r="BA738" s="35"/>
      <c r="BB738" s="35"/>
      <c r="BC738" s="35"/>
    </row>
    <row r="739" spans="1:55" ht="15.75" customHeight="1" x14ac:dyDescent="0.2">
      <c r="A739" s="34"/>
      <c r="B739" s="34"/>
      <c r="C739" s="34"/>
      <c r="D739" s="34"/>
      <c r="E739" s="34"/>
      <c r="AU739" s="35"/>
      <c r="AV739" s="35"/>
      <c r="AW739" s="35"/>
      <c r="AX739" s="35"/>
      <c r="AY739" s="35"/>
      <c r="AZ739" s="35"/>
      <c r="BA739" s="35"/>
      <c r="BB739" s="35"/>
      <c r="BC739" s="35"/>
    </row>
    <row r="740" spans="1:55" ht="15.75" customHeight="1" x14ac:dyDescent="0.2">
      <c r="A740" s="34"/>
      <c r="B740" s="34"/>
      <c r="C740" s="34"/>
      <c r="D740" s="34"/>
      <c r="E740" s="34"/>
      <c r="AU740" s="35"/>
      <c r="AV740" s="35"/>
      <c r="AW740" s="35"/>
      <c r="AX740" s="35"/>
      <c r="AY740" s="35"/>
      <c r="AZ740" s="35"/>
      <c r="BA740" s="35"/>
      <c r="BB740" s="35"/>
      <c r="BC740" s="35"/>
    </row>
    <row r="741" spans="1:55" ht="15.75" customHeight="1" x14ac:dyDescent="0.2">
      <c r="A741" s="34"/>
      <c r="B741" s="34"/>
      <c r="C741" s="34"/>
      <c r="D741" s="34"/>
      <c r="E741" s="34"/>
      <c r="AU741" s="35"/>
      <c r="AV741" s="35"/>
      <c r="AW741" s="35"/>
      <c r="AX741" s="35"/>
      <c r="AY741" s="35"/>
      <c r="AZ741" s="35"/>
      <c r="BA741" s="35"/>
      <c r="BB741" s="35"/>
      <c r="BC741" s="35"/>
    </row>
    <row r="742" spans="1:55" ht="15.75" customHeight="1" x14ac:dyDescent="0.2">
      <c r="A742" s="34"/>
      <c r="B742" s="34"/>
      <c r="C742" s="34"/>
      <c r="D742" s="34"/>
      <c r="E742" s="34"/>
      <c r="AU742" s="35"/>
      <c r="AV742" s="35"/>
      <c r="AW742" s="35"/>
      <c r="AX742" s="35"/>
      <c r="AY742" s="35"/>
      <c r="AZ742" s="35"/>
      <c r="BA742" s="35"/>
      <c r="BB742" s="35"/>
      <c r="BC742" s="35"/>
    </row>
    <row r="743" spans="1:55" ht="15.75" customHeight="1" x14ac:dyDescent="0.2">
      <c r="A743" s="34"/>
      <c r="B743" s="34"/>
      <c r="C743" s="34"/>
      <c r="D743" s="34"/>
      <c r="E743" s="34"/>
      <c r="AU743" s="35"/>
      <c r="AV743" s="35"/>
      <c r="AW743" s="35"/>
      <c r="AX743" s="35"/>
      <c r="AY743" s="35"/>
      <c r="AZ743" s="35"/>
      <c r="BA743" s="35"/>
      <c r="BB743" s="35"/>
      <c r="BC743" s="35"/>
    </row>
    <row r="744" spans="1:55" ht="15.75" customHeight="1" x14ac:dyDescent="0.2">
      <c r="A744" s="34"/>
      <c r="B744" s="34"/>
      <c r="C744" s="34"/>
      <c r="D744" s="34"/>
      <c r="E744" s="34"/>
      <c r="AU744" s="35"/>
      <c r="AV744" s="35"/>
      <c r="AW744" s="35"/>
      <c r="AX744" s="35"/>
      <c r="AY744" s="35"/>
      <c r="AZ744" s="35"/>
      <c r="BA744" s="35"/>
      <c r="BB744" s="35"/>
      <c r="BC744" s="35"/>
    </row>
    <row r="745" spans="1:55" ht="15.75" customHeight="1" x14ac:dyDescent="0.2">
      <c r="A745" s="34"/>
      <c r="B745" s="34"/>
      <c r="C745" s="34"/>
      <c r="D745" s="34"/>
      <c r="E745" s="34"/>
      <c r="AU745" s="35"/>
      <c r="AV745" s="35"/>
      <c r="AW745" s="35"/>
      <c r="AX745" s="35"/>
      <c r="AY745" s="35"/>
      <c r="AZ745" s="35"/>
      <c r="BA745" s="35"/>
      <c r="BB745" s="35"/>
      <c r="BC745" s="35"/>
    </row>
    <row r="746" spans="1:55" ht="15.75" customHeight="1" x14ac:dyDescent="0.2">
      <c r="A746" s="34"/>
      <c r="B746" s="34"/>
      <c r="C746" s="34"/>
      <c r="D746" s="34"/>
      <c r="E746" s="34"/>
      <c r="AU746" s="35"/>
      <c r="AV746" s="35"/>
      <c r="AW746" s="35"/>
      <c r="AX746" s="35"/>
      <c r="AY746" s="35"/>
      <c r="AZ746" s="35"/>
      <c r="BA746" s="35"/>
      <c r="BB746" s="35"/>
      <c r="BC746" s="35"/>
    </row>
    <row r="747" spans="1:55" ht="15.75" customHeight="1" x14ac:dyDescent="0.2">
      <c r="A747" s="34"/>
      <c r="B747" s="34"/>
      <c r="C747" s="34"/>
      <c r="D747" s="34"/>
      <c r="E747" s="34"/>
      <c r="AU747" s="35"/>
      <c r="AV747" s="35"/>
      <c r="AW747" s="35"/>
      <c r="AX747" s="35"/>
      <c r="AY747" s="35"/>
      <c r="AZ747" s="35"/>
      <c r="BA747" s="35"/>
      <c r="BB747" s="35"/>
      <c r="BC747" s="35"/>
    </row>
    <row r="748" spans="1:55" ht="15.75" customHeight="1" x14ac:dyDescent="0.2">
      <c r="A748" s="34"/>
      <c r="B748" s="34"/>
      <c r="C748" s="34"/>
      <c r="D748" s="34"/>
      <c r="E748" s="34"/>
      <c r="AU748" s="35"/>
      <c r="AV748" s="35"/>
      <c r="AW748" s="35"/>
      <c r="AX748" s="35"/>
      <c r="AY748" s="35"/>
      <c r="AZ748" s="35"/>
      <c r="BA748" s="35"/>
      <c r="BB748" s="35"/>
      <c r="BC748" s="35"/>
    </row>
    <row r="749" spans="1:55" ht="15.75" customHeight="1" x14ac:dyDescent="0.2">
      <c r="A749" s="34"/>
      <c r="B749" s="34"/>
      <c r="C749" s="34"/>
      <c r="D749" s="34"/>
      <c r="E749" s="34"/>
      <c r="AU749" s="35"/>
      <c r="AV749" s="35"/>
      <c r="AW749" s="35"/>
      <c r="AX749" s="35"/>
      <c r="AY749" s="35"/>
      <c r="AZ749" s="35"/>
      <c r="BA749" s="35"/>
      <c r="BB749" s="35"/>
      <c r="BC749" s="35"/>
    </row>
    <row r="750" spans="1:55" ht="15.75" customHeight="1" x14ac:dyDescent="0.2">
      <c r="A750" s="34"/>
      <c r="B750" s="34"/>
      <c r="C750" s="34"/>
      <c r="D750" s="34"/>
      <c r="E750" s="34"/>
      <c r="AU750" s="35"/>
      <c r="AV750" s="35"/>
      <c r="AW750" s="35"/>
      <c r="AX750" s="35"/>
      <c r="AY750" s="35"/>
      <c r="AZ750" s="35"/>
      <c r="BA750" s="35"/>
      <c r="BB750" s="35"/>
      <c r="BC750" s="35"/>
    </row>
    <row r="751" spans="1:55" ht="15.75" customHeight="1" x14ac:dyDescent="0.2">
      <c r="A751" s="34"/>
      <c r="B751" s="34"/>
      <c r="C751" s="34"/>
      <c r="D751" s="34"/>
      <c r="E751" s="34"/>
      <c r="AU751" s="35"/>
      <c r="AV751" s="35"/>
      <c r="AW751" s="35"/>
      <c r="AX751" s="35"/>
      <c r="AY751" s="35"/>
      <c r="AZ751" s="35"/>
      <c r="BA751" s="35"/>
      <c r="BB751" s="35"/>
      <c r="BC751" s="35"/>
    </row>
    <row r="752" spans="1:55" ht="15.75" customHeight="1" x14ac:dyDescent="0.2">
      <c r="A752" s="34"/>
      <c r="B752" s="34"/>
      <c r="C752" s="34"/>
      <c r="D752" s="34"/>
      <c r="E752" s="34"/>
      <c r="AU752" s="35"/>
      <c r="AV752" s="35"/>
      <c r="AW752" s="35"/>
      <c r="AX752" s="35"/>
      <c r="AY752" s="35"/>
      <c r="AZ752" s="35"/>
      <c r="BA752" s="35"/>
      <c r="BB752" s="35"/>
      <c r="BC752" s="35"/>
    </row>
    <row r="753" spans="1:55" ht="15.75" customHeight="1" x14ac:dyDescent="0.2">
      <c r="A753" s="34"/>
      <c r="B753" s="34"/>
      <c r="C753" s="34"/>
      <c r="D753" s="34"/>
      <c r="E753" s="34"/>
      <c r="AU753" s="35"/>
      <c r="AV753" s="35"/>
      <c r="AW753" s="35"/>
      <c r="AX753" s="35"/>
      <c r="AY753" s="35"/>
      <c r="AZ753" s="35"/>
      <c r="BA753" s="35"/>
      <c r="BB753" s="35"/>
      <c r="BC753" s="35"/>
    </row>
    <row r="754" spans="1:55" ht="15.75" customHeight="1" x14ac:dyDescent="0.2">
      <c r="A754" s="34"/>
      <c r="B754" s="34"/>
      <c r="C754" s="34"/>
      <c r="D754" s="34"/>
      <c r="E754" s="34"/>
      <c r="AU754" s="35"/>
      <c r="AV754" s="35"/>
      <c r="AW754" s="35"/>
      <c r="AX754" s="35"/>
      <c r="AY754" s="35"/>
      <c r="AZ754" s="35"/>
      <c r="BA754" s="35"/>
      <c r="BB754" s="35"/>
      <c r="BC754" s="35"/>
    </row>
    <row r="755" spans="1:55" ht="15.75" customHeight="1" x14ac:dyDescent="0.2">
      <c r="A755" s="34"/>
      <c r="B755" s="34"/>
      <c r="C755" s="34"/>
      <c r="D755" s="34"/>
      <c r="E755" s="34"/>
      <c r="AU755" s="35"/>
      <c r="AV755" s="35"/>
      <c r="AW755" s="35"/>
      <c r="AX755" s="35"/>
      <c r="AY755" s="35"/>
      <c r="AZ755" s="35"/>
      <c r="BA755" s="35"/>
      <c r="BB755" s="35"/>
      <c r="BC755" s="35"/>
    </row>
    <row r="756" spans="1:55" ht="15.75" customHeight="1" x14ac:dyDescent="0.2">
      <c r="A756" s="34"/>
      <c r="B756" s="34"/>
      <c r="C756" s="34"/>
      <c r="D756" s="34"/>
      <c r="E756" s="34"/>
      <c r="AU756" s="35"/>
      <c r="AV756" s="35"/>
      <c r="AW756" s="35"/>
      <c r="AX756" s="35"/>
      <c r="AY756" s="35"/>
      <c r="AZ756" s="35"/>
      <c r="BA756" s="35"/>
      <c r="BB756" s="35"/>
      <c r="BC756" s="35"/>
    </row>
    <row r="757" spans="1:55" ht="15.75" customHeight="1" x14ac:dyDescent="0.2">
      <c r="A757" s="34"/>
      <c r="B757" s="34"/>
      <c r="C757" s="34"/>
      <c r="D757" s="34"/>
      <c r="E757" s="34"/>
      <c r="AU757" s="35"/>
      <c r="AV757" s="35"/>
      <c r="AW757" s="35"/>
      <c r="AX757" s="35"/>
      <c r="AY757" s="35"/>
      <c r="AZ757" s="35"/>
      <c r="BA757" s="35"/>
      <c r="BB757" s="35"/>
      <c r="BC757" s="35"/>
    </row>
    <row r="758" spans="1:55" ht="15.75" customHeight="1" x14ac:dyDescent="0.2">
      <c r="A758" s="34"/>
      <c r="B758" s="34"/>
      <c r="C758" s="34"/>
      <c r="D758" s="34"/>
      <c r="E758" s="34"/>
      <c r="AU758" s="35"/>
      <c r="AV758" s="35"/>
      <c r="AW758" s="35"/>
      <c r="AX758" s="35"/>
      <c r="AY758" s="35"/>
      <c r="AZ758" s="35"/>
      <c r="BA758" s="35"/>
      <c r="BB758" s="35"/>
      <c r="BC758" s="35"/>
    </row>
    <row r="759" spans="1:55" ht="15.75" customHeight="1" x14ac:dyDescent="0.2">
      <c r="A759" s="34"/>
      <c r="B759" s="34"/>
      <c r="C759" s="34"/>
      <c r="D759" s="34"/>
      <c r="E759" s="34"/>
      <c r="AU759" s="35"/>
      <c r="AV759" s="35"/>
      <c r="AW759" s="35"/>
      <c r="AX759" s="35"/>
      <c r="AY759" s="35"/>
      <c r="AZ759" s="35"/>
      <c r="BA759" s="35"/>
      <c r="BB759" s="35"/>
      <c r="BC759" s="35"/>
    </row>
    <row r="760" spans="1:55" ht="15.75" customHeight="1" x14ac:dyDescent="0.2">
      <c r="A760" s="34"/>
      <c r="B760" s="34"/>
      <c r="C760" s="34"/>
      <c r="D760" s="34"/>
      <c r="E760" s="34"/>
      <c r="AU760" s="35"/>
      <c r="AV760" s="35"/>
      <c r="AW760" s="35"/>
      <c r="AX760" s="35"/>
      <c r="AY760" s="35"/>
      <c r="AZ760" s="35"/>
      <c r="BA760" s="35"/>
      <c r="BB760" s="35"/>
      <c r="BC760" s="35"/>
    </row>
    <row r="761" spans="1:55" ht="15.75" customHeight="1" x14ac:dyDescent="0.2">
      <c r="A761" s="34"/>
      <c r="B761" s="34"/>
      <c r="C761" s="34"/>
      <c r="D761" s="34"/>
      <c r="E761" s="34"/>
      <c r="AU761" s="35"/>
      <c r="AV761" s="35"/>
      <c r="AW761" s="35"/>
      <c r="AX761" s="35"/>
      <c r="AY761" s="35"/>
      <c r="AZ761" s="35"/>
      <c r="BA761" s="35"/>
      <c r="BB761" s="35"/>
      <c r="BC761" s="35"/>
    </row>
    <row r="762" spans="1:55" ht="15.75" customHeight="1" x14ac:dyDescent="0.2">
      <c r="A762" s="34"/>
      <c r="B762" s="34"/>
      <c r="C762" s="34"/>
      <c r="D762" s="34"/>
      <c r="E762" s="34"/>
      <c r="AU762" s="35"/>
      <c r="AV762" s="35"/>
      <c r="AW762" s="35"/>
      <c r="AX762" s="35"/>
      <c r="AY762" s="35"/>
      <c r="AZ762" s="35"/>
      <c r="BA762" s="35"/>
      <c r="BB762" s="35"/>
      <c r="BC762" s="35"/>
    </row>
    <row r="763" spans="1:55" ht="15.75" customHeight="1" x14ac:dyDescent="0.2">
      <c r="A763" s="34"/>
      <c r="B763" s="34"/>
      <c r="C763" s="34"/>
      <c r="D763" s="34"/>
      <c r="E763" s="34"/>
      <c r="AU763" s="35"/>
      <c r="AV763" s="35"/>
      <c r="AW763" s="35"/>
      <c r="AX763" s="35"/>
      <c r="AY763" s="35"/>
      <c r="AZ763" s="35"/>
      <c r="BA763" s="35"/>
      <c r="BB763" s="35"/>
      <c r="BC763" s="35"/>
    </row>
    <row r="764" spans="1:55" ht="15.75" customHeight="1" x14ac:dyDescent="0.2">
      <c r="A764" s="34"/>
      <c r="B764" s="34"/>
      <c r="C764" s="34"/>
      <c r="D764" s="34"/>
      <c r="E764" s="34"/>
      <c r="AU764" s="35"/>
      <c r="AV764" s="35"/>
      <c r="AW764" s="35"/>
      <c r="AX764" s="35"/>
      <c r="AY764" s="35"/>
      <c r="AZ764" s="35"/>
      <c r="BA764" s="35"/>
      <c r="BB764" s="35"/>
      <c r="BC764" s="35"/>
    </row>
    <row r="765" spans="1:55" ht="15.75" customHeight="1" x14ac:dyDescent="0.2">
      <c r="A765" s="34"/>
      <c r="B765" s="34"/>
      <c r="C765" s="34"/>
      <c r="D765" s="34"/>
      <c r="E765" s="34"/>
      <c r="AU765" s="35"/>
      <c r="AV765" s="35"/>
      <c r="AW765" s="35"/>
      <c r="AX765" s="35"/>
      <c r="AY765" s="35"/>
      <c r="AZ765" s="35"/>
      <c r="BA765" s="35"/>
      <c r="BB765" s="35"/>
      <c r="BC765" s="35"/>
    </row>
    <row r="766" spans="1:55" ht="15.75" customHeight="1" x14ac:dyDescent="0.2">
      <c r="A766" s="34"/>
      <c r="B766" s="34"/>
      <c r="C766" s="34"/>
      <c r="D766" s="34"/>
      <c r="E766" s="34"/>
      <c r="AU766" s="35"/>
      <c r="AV766" s="35"/>
      <c r="AW766" s="35"/>
      <c r="AX766" s="35"/>
      <c r="AY766" s="35"/>
      <c r="AZ766" s="35"/>
      <c r="BA766" s="35"/>
      <c r="BB766" s="35"/>
      <c r="BC766" s="35"/>
    </row>
    <row r="767" spans="1:55" ht="15.75" customHeight="1" x14ac:dyDescent="0.2">
      <c r="A767" s="34"/>
      <c r="B767" s="34"/>
      <c r="C767" s="34"/>
      <c r="D767" s="34"/>
      <c r="E767" s="34"/>
      <c r="AU767" s="35"/>
      <c r="AV767" s="35"/>
      <c r="AW767" s="35"/>
      <c r="AX767" s="35"/>
      <c r="AY767" s="35"/>
      <c r="AZ767" s="35"/>
      <c r="BA767" s="35"/>
      <c r="BB767" s="35"/>
      <c r="BC767" s="35"/>
    </row>
    <row r="768" spans="1:55" ht="15.75" customHeight="1" x14ac:dyDescent="0.2">
      <c r="A768" s="34"/>
      <c r="B768" s="34"/>
      <c r="C768" s="34"/>
      <c r="D768" s="34"/>
      <c r="E768" s="34"/>
      <c r="AU768" s="35"/>
      <c r="AV768" s="35"/>
      <c r="AW768" s="35"/>
      <c r="AX768" s="35"/>
      <c r="AY768" s="35"/>
      <c r="AZ768" s="35"/>
      <c r="BA768" s="35"/>
      <c r="BB768" s="35"/>
      <c r="BC768" s="35"/>
    </row>
    <row r="769" spans="1:55" ht="15.75" customHeight="1" x14ac:dyDescent="0.2">
      <c r="A769" s="34"/>
      <c r="B769" s="34"/>
      <c r="C769" s="34"/>
      <c r="D769" s="34"/>
      <c r="E769" s="34"/>
      <c r="AU769" s="35"/>
      <c r="AV769" s="35"/>
      <c r="AW769" s="35"/>
      <c r="AX769" s="35"/>
      <c r="AY769" s="35"/>
      <c r="AZ769" s="35"/>
      <c r="BA769" s="35"/>
      <c r="BB769" s="35"/>
      <c r="BC769" s="35"/>
    </row>
    <row r="770" spans="1:55" ht="15.75" customHeight="1" x14ac:dyDescent="0.2">
      <c r="A770" s="34"/>
      <c r="B770" s="34"/>
      <c r="C770" s="34"/>
      <c r="D770" s="34"/>
      <c r="E770" s="34"/>
      <c r="AU770" s="35"/>
      <c r="AV770" s="35"/>
      <c r="AW770" s="35"/>
      <c r="AX770" s="35"/>
      <c r="AY770" s="35"/>
      <c r="AZ770" s="35"/>
      <c r="BA770" s="35"/>
      <c r="BB770" s="35"/>
      <c r="BC770" s="35"/>
    </row>
    <row r="771" spans="1:55" ht="15.75" customHeight="1" x14ac:dyDescent="0.2">
      <c r="A771" s="34"/>
      <c r="B771" s="34"/>
      <c r="C771" s="34"/>
      <c r="D771" s="34"/>
      <c r="E771" s="34"/>
      <c r="AU771" s="35"/>
      <c r="AV771" s="35"/>
      <c r="AW771" s="35"/>
      <c r="AX771" s="35"/>
      <c r="AY771" s="35"/>
      <c r="AZ771" s="35"/>
      <c r="BA771" s="35"/>
      <c r="BB771" s="35"/>
      <c r="BC771" s="35"/>
    </row>
    <row r="772" spans="1:55" ht="15.75" customHeight="1" x14ac:dyDescent="0.2">
      <c r="A772" s="34"/>
      <c r="B772" s="34"/>
      <c r="C772" s="34"/>
      <c r="D772" s="34"/>
      <c r="E772" s="34"/>
      <c r="AU772" s="35"/>
      <c r="AV772" s="35"/>
      <c r="AW772" s="35"/>
      <c r="AX772" s="35"/>
      <c r="AY772" s="35"/>
      <c r="AZ772" s="35"/>
      <c r="BA772" s="35"/>
      <c r="BB772" s="35"/>
      <c r="BC772" s="35"/>
    </row>
    <row r="773" spans="1:55" ht="15.75" customHeight="1" x14ac:dyDescent="0.2">
      <c r="A773" s="34"/>
      <c r="B773" s="34"/>
      <c r="C773" s="34"/>
      <c r="D773" s="34"/>
      <c r="E773" s="34"/>
      <c r="AU773" s="35"/>
      <c r="AV773" s="35"/>
      <c r="AW773" s="35"/>
      <c r="AX773" s="35"/>
      <c r="AY773" s="35"/>
      <c r="AZ773" s="35"/>
      <c r="BA773" s="35"/>
      <c r="BB773" s="35"/>
      <c r="BC773" s="35"/>
    </row>
    <row r="774" spans="1:55" ht="15.75" customHeight="1" x14ac:dyDescent="0.2">
      <c r="A774" s="34"/>
      <c r="B774" s="34"/>
      <c r="C774" s="34"/>
      <c r="D774" s="34"/>
      <c r="E774" s="34"/>
      <c r="AU774" s="35"/>
      <c r="AV774" s="35"/>
      <c r="AW774" s="35"/>
      <c r="AX774" s="35"/>
      <c r="AY774" s="35"/>
      <c r="AZ774" s="35"/>
      <c r="BA774" s="35"/>
      <c r="BB774" s="35"/>
      <c r="BC774" s="35"/>
    </row>
    <row r="775" spans="1:55" ht="15.75" customHeight="1" x14ac:dyDescent="0.2">
      <c r="A775" s="34"/>
      <c r="B775" s="34"/>
      <c r="C775" s="34"/>
      <c r="D775" s="34"/>
      <c r="E775" s="34"/>
      <c r="AU775" s="35"/>
      <c r="AV775" s="35"/>
      <c r="AW775" s="35"/>
      <c r="AX775" s="35"/>
      <c r="AY775" s="35"/>
      <c r="AZ775" s="35"/>
      <c r="BA775" s="35"/>
      <c r="BB775" s="35"/>
      <c r="BC775" s="35"/>
    </row>
    <row r="776" spans="1:55" ht="15.75" customHeight="1" x14ac:dyDescent="0.2">
      <c r="A776" s="34"/>
      <c r="B776" s="34"/>
      <c r="C776" s="34"/>
      <c r="D776" s="34"/>
      <c r="E776" s="34"/>
      <c r="AU776" s="35"/>
      <c r="AV776" s="35"/>
      <c r="AW776" s="35"/>
      <c r="AX776" s="35"/>
      <c r="AY776" s="35"/>
      <c r="AZ776" s="35"/>
      <c r="BA776" s="35"/>
      <c r="BB776" s="35"/>
      <c r="BC776" s="35"/>
    </row>
    <row r="777" spans="1:55" ht="15.75" customHeight="1" x14ac:dyDescent="0.2">
      <c r="A777" s="34"/>
      <c r="B777" s="34"/>
      <c r="C777" s="34"/>
      <c r="D777" s="34"/>
      <c r="E777" s="34"/>
      <c r="AU777" s="35"/>
      <c r="AV777" s="35"/>
      <c r="AW777" s="35"/>
      <c r="AX777" s="35"/>
      <c r="AY777" s="35"/>
      <c r="AZ777" s="35"/>
      <c r="BA777" s="35"/>
      <c r="BB777" s="35"/>
      <c r="BC777" s="35"/>
    </row>
    <row r="778" spans="1:55" ht="15.75" customHeight="1" x14ac:dyDescent="0.2">
      <c r="A778" s="34"/>
      <c r="B778" s="34"/>
      <c r="C778" s="34"/>
      <c r="D778" s="34"/>
      <c r="E778" s="34"/>
      <c r="AU778" s="35"/>
      <c r="AV778" s="35"/>
      <c r="AW778" s="35"/>
      <c r="AX778" s="35"/>
      <c r="AY778" s="35"/>
      <c r="AZ778" s="35"/>
      <c r="BA778" s="35"/>
      <c r="BB778" s="35"/>
      <c r="BC778" s="35"/>
    </row>
    <row r="779" spans="1:55" ht="15.75" customHeight="1" x14ac:dyDescent="0.2">
      <c r="A779" s="34"/>
      <c r="B779" s="34"/>
      <c r="C779" s="34"/>
      <c r="D779" s="34"/>
      <c r="E779" s="34"/>
      <c r="AU779" s="35"/>
      <c r="AV779" s="35"/>
      <c r="AW779" s="35"/>
      <c r="AX779" s="35"/>
      <c r="AY779" s="35"/>
      <c r="AZ779" s="35"/>
      <c r="BA779" s="35"/>
      <c r="BB779" s="35"/>
      <c r="BC779" s="35"/>
    </row>
    <row r="780" spans="1:55" ht="15.75" customHeight="1" x14ac:dyDescent="0.2">
      <c r="A780" s="34"/>
      <c r="B780" s="34"/>
      <c r="C780" s="34"/>
      <c r="D780" s="34"/>
      <c r="E780" s="34"/>
      <c r="AU780" s="35"/>
      <c r="AV780" s="35"/>
      <c r="AW780" s="35"/>
      <c r="AX780" s="35"/>
      <c r="AY780" s="35"/>
      <c r="AZ780" s="35"/>
      <c r="BA780" s="35"/>
      <c r="BB780" s="35"/>
      <c r="BC780" s="35"/>
    </row>
    <row r="781" spans="1:55" ht="15.75" customHeight="1" x14ac:dyDescent="0.2">
      <c r="A781" s="34"/>
      <c r="B781" s="34"/>
      <c r="C781" s="34"/>
      <c r="D781" s="34"/>
      <c r="E781" s="34"/>
      <c r="AU781" s="35"/>
      <c r="AV781" s="35"/>
      <c r="AW781" s="35"/>
      <c r="AX781" s="35"/>
      <c r="AY781" s="35"/>
      <c r="AZ781" s="35"/>
      <c r="BA781" s="35"/>
      <c r="BB781" s="35"/>
      <c r="BC781" s="35"/>
    </row>
    <row r="782" spans="1:55" ht="15.75" customHeight="1" x14ac:dyDescent="0.2">
      <c r="A782" s="34"/>
      <c r="B782" s="34"/>
      <c r="C782" s="34"/>
      <c r="D782" s="34"/>
      <c r="E782" s="34"/>
      <c r="AU782" s="35"/>
      <c r="AV782" s="35"/>
      <c r="AW782" s="35"/>
      <c r="AX782" s="35"/>
      <c r="AY782" s="35"/>
      <c r="AZ782" s="35"/>
      <c r="BA782" s="35"/>
      <c r="BB782" s="35"/>
      <c r="BC782" s="35"/>
    </row>
    <row r="783" spans="1:55" ht="15.75" customHeight="1" x14ac:dyDescent="0.2">
      <c r="A783" s="34"/>
      <c r="B783" s="34"/>
      <c r="C783" s="34"/>
      <c r="D783" s="34"/>
      <c r="E783" s="34"/>
      <c r="AU783" s="35"/>
      <c r="AV783" s="35"/>
      <c r="AW783" s="35"/>
      <c r="AX783" s="35"/>
      <c r="AY783" s="35"/>
      <c r="AZ783" s="35"/>
      <c r="BA783" s="35"/>
      <c r="BB783" s="35"/>
      <c r="BC783" s="35"/>
    </row>
    <row r="784" spans="1:55" ht="15.75" customHeight="1" x14ac:dyDescent="0.2">
      <c r="A784" s="34"/>
      <c r="B784" s="34"/>
      <c r="C784" s="34"/>
      <c r="D784" s="34"/>
      <c r="E784" s="34"/>
      <c r="AU784" s="35"/>
      <c r="AV784" s="35"/>
      <c r="AW784" s="35"/>
      <c r="AX784" s="35"/>
      <c r="AY784" s="35"/>
      <c r="AZ784" s="35"/>
      <c r="BA784" s="35"/>
      <c r="BB784" s="35"/>
      <c r="BC784" s="35"/>
    </row>
    <row r="785" spans="1:55" ht="15.75" customHeight="1" x14ac:dyDescent="0.2">
      <c r="A785" s="34"/>
      <c r="B785" s="34"/>
      <c r="C785" s="34"/>
      <c r="D785" s="34"/>
      <c r="E785" s="34"/>
      <c r="AU785" s="35"/>
      <c r="AV785" s="35"/>
      <c r="AW785" s="35"/>
      <c r="AX785" s="35"/>
      <c r="AY785" s="35"/>
      <c r="AZ785" s="35"/>
      <c r="BA785" s="35"/>
      <c r="BB785" s="35"/>
      <c r="BC785" s="35"/>
    </row>
    <row r="786" spans="1:55" ht="15.75" customHeight="1" x14ac:dyDescent="0.2">
      <c r="A786" s="34"/>
      <c r="B786" s="34"/>
      <c r="C786" s="34"/>
      <c r="D786" s="34"/>
      <c r="E786" s="34"/>
      <c r="AU786" s="35"/>
      <c r="AV786" s="35"/>
      <c r="AW786" s="35"/>
      <c r="AX786" s="35"/>
      <c r="AY786" s="35"/>
      <c r="AZ786" s="35"/>
      <c r="BA786" s="35"/>
      <c r="BB786" s="35"/>
      <c r="BC786" s="35"/>
    </row>
    <row r="787" spans="1:55" ht="15.75" customHeight="1" x14ac:dyDescent="0.2">
      <c r="A787" s="34"/>
      <c r="B787" s="34"/>
      <c r="C787" s="34"/>
      <c r="D787" s="34"/>
      <c r="E787" s="34"/>
      <c r="AU787" s="35"/>
      <c r="AV787" s="35"/>
      <c r="AW787" s="35"/>
      <c r="AX787" s="35"/>
      <c r="AY787" s="35"/>
      <c r="AZ787" s="35"/>
      <c r="BA787" s="35"/>
      <c r="BB787" s="35"/>
      <c r="BC787" s="35"/>
    </row>
    <row r="788" spans="1:55" ht="15.75" customHeight="1" x14ac:dyDescent="0.2">
      <c r="A788" s="34"/>
      <c r="B788" s="34"/>
      <c r="C788" s="34"/>
      <c r="D788" s="34"/>
      <c r="E788" s="34"/>
      <c r="AU788" s="35"/>
      <c r="AV788" s="35"/>
      <c r="AW788" s="35"/>
      <c r="AX788" s="35"/>
      <c r="AY788" s="35"/>
      <c r="AZ788" s="35"/>
      <c r="BA788" s="35"/>
      <c r="BB788" s="35"/>
      <c r="BC788" s="35"/>
    </row>
    <row r="789" spans="1:55" ht="15.75" customHeight="1" x14ac:dyDescent="0.2">
      <c r="A789" s="34"/>
      <c r="B789" s="34"/>
      <c r="C789" s="34"/>
      <c r="D789" s="34"/>
      <c r="E789" s="34"/>
      <c r="AU789" s="35"/>
      <c r="AV789" s="35"/>
      <c r="AW789" s="35"/>
      <c r="AX789" s="35"/>
      <c r="AY789" s="35"/>
      <c r="AZ789" s="35"/>
      <c r="BA789" s="35"/>
      <c r="BB789" s="35"/>
      <c r="BC789" s="35"/>
    </row>
    <row r="790" spans="1:55" ht="15.75" customHeight="1" x14ac:dyDescent="0.2">
      <c r="A790" s="34"/>
      <c r="B790" s="34"/>
      <c r="C790" s="34"/>
      <c r="D790" s="34"/>
      <c r="E790" s="34"/>
      <c r="AU790" s="35"/>
      <c r="AV790" s="35"/>
      <c r="AW790" s="35"/>
      <c r="AX790" s="35"/>
      <c r="AY790" s="35"/>
      <c r="AZ790" s="35"/>
      <c r="BA790" s="35"/>
      <c r="BB790" s="35"/>
      <c r="BC790" s="35"/>
    </row>
    <row r="791" spans="1:55" ht="15.75" customHeight="1" x14ac:dyDescent="0.2">
      <c r="A791" s="34"/>
      <c r="B791" s="34"/>
      <c r="C791" s="34"/>
      <c r="D791" s="34"/>
      <c r="E791" s="34"/>
      <c r="AU791" s="35"/>
      <c r="AV791" s="35"/>
      <c r="AW791" s="35"/>
      <c r="AX791" s="35"/>
      <c r="AY791" s="35"/>
      <c r="AZ791" s="35"/>
      <c r="BA791" s="35"/>
      <c r="BB791" s="35"/>
      <c r="BC791" s="35"/>
    </row>
    <row r="792" spans="1:55" ht="15.75" customHeight="1" x14ac:dyDescent="0.2">
      <c r="A792" s="34"/>
      <c r="B792" s="34"/>
      <c r="C792" s="34"/>
      <c r="D792" s="34"/>
      <c r="E792" s="34"/>
      <c r="AU792" s="35"/>
      <c r="AV792" s="35"/>
      <c r="AW792" s="35"/>
      <c r="AX792" s="35"/>
      <c r="AY792" s="35"/>
      <c r="AZ792" s="35"/>
      <c r="BA792" s="35"/>
      <c r="BB792" s="35"/>
      <c r="BC792" s="35"/>
    </row>
    <row r="793" spans="1:55" ht="15.75" customHeight="1" x14ac:dyDescent="0.2">
      <c r="A793" s="34"/>
      <c r="B793" s="34"/>
      <c r="C793" s="34"/>
      <c r="D793" s="34"/>
      <c r="E793" s="34"/>
      <c r="AU793" s="35"/>
      <c r="AV793" s="35"/>
      <c r="AW793" s="35"/>
      <c r="AX793" s="35"/>
      <c r="AY793" s="35"/>
      <c r="AZ793" s="35"/>
      <c r="BA793" s="35"/>
      <c r="BB793" s="35"/>
      <c r="BC793" s="35"/>
    </row>
    <row r="794" spans="1:55" ht="15.75" customHeight="1" x14ac:dyDescent="0.2">
      <c r="A794" s="34"/>
      <c r="B794" s="34"/>
      <c r="C794" s="34"/>
      <c r="D794" s="34"/>
      <c r="E794" s="34"/>
      <c r="AU794" s="35"/>
      <c r="AV794" s="35"/>
      <c r="AW794" s="35"/>
      <c r="AX794" s="35"/>
      <c r="AY794" s="35"/>
      <c r="AZ794" s="35"/>
      <c r="BA794" s="35"/>
      <c r="BB794" s="35"/>
      <c r="BC794" s="35"/>
    </row>
    <row r="795" spans="1:55" ht="15.75" customHeight="1" x14ac:dyDescent="0.2">
      <c r="A795" s="34"/>
      <c r="B795" s="34"/>
      <c r="C795" s="34"/>
      <c r="D795" s="34"/>
      <c r="E795" s="34"/>
      <c r="AU795" s="35"/>
      <c r="AV795" s="35"/>
      <c r="AW795" s="35"/>
      <c r="AX795" s="35"/>
      <c r="AY795" s="35"/>
      <c r="AZ795" s="35"/>
      <c r="BA795" s="35"/>
      <c r="BB795" s="35"/>
      <c r="BC795" s="35"/>
    </row>
    <row r="796" spans="1:55" ht="15.75" customHeight="1" x14ac:dyDescent="0.2">
      <c r="A796" s="34"/>
      <c r="B796" s="34"/>
      <c r="C796" s="34"/>
      <c r="D796" s="34"/>
      <c r="E796" s="34"/>
      <c r="AU796" s="35"/>
      <c r="AV796" s="35"/>
      <c r="AW796" s="35"/>
      <c r="AX796" s="35"/>
      <c r="AY796" s="35"/>
      <c r="AZ796" s="35"/>
      <c r="BA796" s="35"/>
      <c r="BB796" s="35"/>
      <c r="BC796" s="35"/>
    </row>
    <row r="797" spans="1:55" ht="15.75" customHeight="1" x14ac:dyDescent="0.2">
      <c r="A797" s="34"/>
      <c r="B797" s="34"/>
      <c r="C797" s="34"/>
      <c r="D797" s="34"/>
      <c r="E797" s="34"/>
      <c r="AU797" s="35"/>
      <c r="AV797" s="35"/>
      <c r="AW797" s="35"/>
      <c r="AX797" s="35"/>
      <c r="AY797" s="35"/>
      <c r="AZ797" s="35"/>
      <c r="BA797" s="35"/>
      <c r="BB797" s="35"/>
      <c r="BC797" s="35"/>
    </row>
    <row r="798" spans="1:55" ht="15.75" customHeight="1" x14ac:dyDescent="0.2">
      <c r="A798" s="34"/>
      <c r="B798" s="34"/>
      <c r="C798" s="34"/>
      <c r="D798" s="34"/>
      <c r="E798" s="34"/>
      <c r="AU798" s="35"/>
      <c r="AV798" s="35"/>
      <c r="AW798" s="35"/>
      <c r="AX798" s="35"/>
      <c r="AY798" s="35"/>
      <c r="AZ798" s="35"/>
      <c r="BA798" s="35"/>
      <c r="BB798" s="35"/>
      <c r="BC798" s="35"/>
    </row>
    <row r="799" spans="1:55" ht="15.75" customHeight="1" x14ac:dyDescent="0.2">
      <c r="A799" s="34"/>
      <c r="B799" s="34"/>
      <c r="C799" s="34"/>
      <c r="D799" s="34"/>
      <c r="E799" s="34"/>
      <c r="AU799" s="35"/>
      <c r="AV799" s="35"/>
      <c r="AW799" s="35"/>
      <c r="AX799" s="35"/>
      <c r="AY799" s="35"/>
      <c r="AZ799" s="35"/>
      <c r="BA799" s="35"/>
      <c r="BB799" s="35"/>
      <c r="BC799" s="35"/>
    </row>
    <row r="800" spans="1:55" ht="15.75" customHeight="1" x14ac:dyDescent="0.2">
      <c r="A800" s="34"/>
      <c r="B800" s="34"/>
      <c r="C800" s="34"/>
      <c r="D800" s="34"/>
      <c r="E800" s="34"/>
      <c r="AU800" s="35"/>
      <c r="AV800" s="35"/>
      <c r="AW800" s="35"/>
      <c r="AX800" s="35"/>
      <c r="AY800" s="35"/>
      <c r="AZ800" s="35"/>
      <c r="BA800" s="35"/>
      <c r="BB800" s="35"/>
      <c r="BC800" s="35"/>
    </row>
    <row r="801" spans="1:55" ht="15.75" customHeight="1" x14ac:dyDescent="0.2">
      <c r="A801" s="34"/>
      <c r="B801" s="34"/>
      <c r="C801" s="34"/>
      <c r="D801" s="34"/>
      <c r="E801" s="34"/>
      <c r="AU801" s="35"/>
      <c r="AV801" s="35"/>
      <c r="AW801" s="35"/>
      <c r="AX801" s="35"/>
      <c r="AY801" s="35"/>
      <c r="AZ801" s="35"/>
      <c r="BA801" s="35"/>
      <c r="BB801" s="35"/>
      <c r="BC801" s="35"/>
    </row>
    <row r="802" spans="1:55" ht="15.75" customHeight="1" x14ac:dyDescent="0.2">
      <c r="A802" s="34"/>
      <c r="B802" s="34"/>
      <c r="C802" s="34"/>
      <c r="D802" s="34"/>
      <c r="E802" s="34"/>
      <c r="AU802" s="35"/>
      <c r="AV802" s="35"/>
      <c r="AW802" s="35"/>
      <c r="AX802" s="35"/>
      <c r="AY802" s="35"/>
      <c r="AZ802" s="35"/>
      <c r="BA802" s="35"/>
      <c r="BB802" s="35"/>
      <c r="BC802" s="35"/>
    </row>
    <row r="803" spans="1:55" ht="15.75" customHeight="1" x14ac:dyDescent="0.2">
      <c r="A803" s="34"/>
      <c r="B803" s="34"/>
      <c r="C803" s="34"/>
      <c r="D803" s="34"/>
      <c r="E803" s="34"/>
      <c r="AU803" s="35"/>
      <c r="AV803" s="35"/>
      <c r="AW803" s="35"/>
      <c r="AX803" s="35"/>
      <c r="AY803" s="35"/>
      <c r="AZ803" s="35"/>
      <c r="BA803" s="35"/>
      <c r="BB803" s="35"/>
      <c r="BC803" s="35"/>
    </row>
    <row r="804" spans="1:55" ht="15.75" customHeight="1" x14ac:dyDescent="0.2">
      <c r="A804" s="34"/>
      <c r="B804" s="34"/>
      <c r="C804" s="34"/>
      <c r="D804" s="34"/>
      <c r="E804" s="34"/>
      <c r="AU804" s="35"/>
      <c r="AV804" s="35"/>
      <c r="AW804" s="35"/>
      <c r="AX804" s="35"/>
      <c r="AY804" s="35"/>
      <c r="AZ804" s="35"/>
      <c r="BA804" s="35"/>
      <c r="BB804" s="35"/>
      <c r="BC804" s="35"/>
    </row>
    <row r="805" spans="1:55" ht="15.75" customHeight="1" x14ac:dyDescent="0.2">
      <c r="A805" s="34"/>
      <c r="B805" s="34"/>
      <c r="C805" s="34"/>
      <c r="D805" s="34"/>
      <c r="E805" s="34"/>
      <c r="AU805" s="35"/>
      <c r="AV805" s="35"/>
      <c r="AW805" s="35"/>
      <c r="AX805" s="35"/>
      <c r="AY805" s="35"/>
      <c r="AZ805" s="35"/>
      <c r="BA805" s="35"/>
      <c r="BB805" s="35"/>
      <c r="BC805" s="35"/>
    </row>
    <row r="806" spans="1:55" ht="15.75" customHeight="1" x14ac:dyDescent="0.2">
      <c r="A806" s="34"/>
      <c r="B806" s="34"/>
      <c r="C806" s="34"/>
      <c r="D806" s="34"/>
      <c r="E806" s="34"/>
      <c r="AU806" s="35"/>
      <c r="AV806" s="35"/>
      <c r="AW806" s="35"/>
      <c r="AX806" s="35"/>
      <c r="AY806" s="35"/>
      <c r="AZ806" s="35"/>
      <c r="BA806" s="35"/>
      <c r="BB806" s="35"/>
      <c r="BC806" s="35"/>
    </row>
    <row r="807" spans="1:55" ht="15.75" customHeight="1" x14ac:dyDescent="0.2">
      <c r="A807" s="34"/>
      <c r="B807" s="34"/>
      <c r="C807" s="34"/>
      <c r="D807" s="34"/>
      <c r="E807" s="34"/>
      <c r="AU807" s="35"/>
      <c r="AV807" s="35"/>
      <c r="AW807" s="35"/>
      <c r="AX807" s="35"/>
      <c r="AY807" s="35"/>
      <c r="AZ807" s="35"/>
      <c r="BA807" s="35"/>
      <c r="BB807" s="35"/>
      <c r="BC807" s="35"/>
    </row>
    <row r="808" spans="1:55" ht="15.75" customHeight="1" x14ac:dyDescent="0.2">
      <c r="A808" s="34"/>
      <c r="B808" s="34"/>
      <c r="C808" s="34"/>
      <c r="D808" s="34"/>
      <c r="E808" s="34"/>
      <c r="AU808" s="35"/>
      <c r="AV808" s="35"/>
      <c r="AW808" s="35"/>
      <c r="AX808" s="35"/>
      <c r="AY808" s="35"/>
      <c r="AZ808" s="35"/>
      <c r="BA808" s="35"/>
      <c r="BB808" s="35"/>
      <c r="BC808" s="35"/>
    </row>
    <row r="809" spans="1:55" ht="15.75" customHeight="1" x14ac:dyDescent="0.2">
      <c r="A809" s="34"/>
      <c r="B809" s="34"/>
      <c r="C809" s="34"/>
      <c r="D809" s="34"/>
      <c r="E809" s="34"/>
      <c r="AU809" s="35"/>
      <c r="AV809" s="35"/>
      <c r="AW809" s="35"/>
      <c r="AX809" s="35"/>
      <c r="AY809" s="35"/>
      <c r="AZ809" s="35"/>
      <c r="BA809" s="35"/>
      <c r="BB809" s="35"/>
      <c r="BC809" s="35"/>
    </row>
    <row r="810" spans="1:55" ht="15.75" customHeight="1" x14ac:dyDescent="0.2">
      <c r="A810" s="34"/>
      <c r="B810" s="34"/>
      <c r="C810" s="34"/>
      <c r="D810" s="34"/>
      <c r="E810" s="34"/>
      <c r="AU810" s="35"/>
      <c r="AV810" s="35"/>
      <c r="AW810" s="35"/>
      <c r="AX810" s="35"/>
      <c r="AY810" s="35"/>
      <c r="AZ810" s="35"/>
      <c r="BA810" s="35"/>
      <c r="BB810" s="35"/>
      <c r="BC810" s="35"/>
    </row>
    <row r="811" spans="1:55" ht="15.75" customHeight="1" x14ac:dyDescent="0.2">
      <c r="A811" s="34"/>
      <c r="B811" s="34"/>
      <c r="C811" s="34"/>
      <c r="D811" s="34"/>
      <c r="E811" s="34"/>
      <c r="AU811" s="35"/>
      <c r="AV811" s="35"/>
      <c r="AW811" s="35"/>
      <c r="AX811" s="35"/>
      <c r="AY811" s="35"/>
      <c r="AZ811" s="35"/>
      <c r="BA811" s="35"/>
      <c r="BB811" s="35"/>
      <c r="BC811" s="35"/>
    </row>
    <row r="812" spans="1:55" ht="15.75" customHeight="1" x14ac:dyDescent="0.2">
      <c r="A812" s="34"/>
      <c r="B812" s="34"/>
      <c r="C812" s="34"/>
      <c r="D812" s="34"/>
      <c r="E812" s="34"/>
      <c r="AU812" s="35"/>
      <c r="AV812" s="35"/>
      <c r="AW812" s="35"/>
      <c r="AX812" s="35"/>
      <c r="AY812" s="35"/>
      <c r="AZ812" s="35"/>
      <c r="BA812" s="35"/>
      <c r="BB812" s="35"/>
      <c r="BC812" s="35"/>
    </row>
    <row r="813" spans="1:55" ht="15.75" customHeight="1" x14ac:dyDescent="0.2">
      <c r="A813" s="34"/>
      <c r="B813" s="34"/>
      <c r="C813" s="34"/>
      <c r="D813" s="34"/>
      <c r="E813" s="34"/>
      <c r="AU813" s="35"/>
      <c r="AV813" s="35"/>
      <c r="AW813" s="35"/>
      <c r="AX813" s="35"/>
      <c r="AY813" s="35"/>
      <c r="AZ813" s="35"/>
      <c r="BA813" s="35"/>
      <c r="BB813" s="35"/>
      <c r="BC813" s="35"/>
    </row>
    <row r="814" spans="1:55" ht="15.75" customHeight="1" x14ac:dyDescent="0.2">
      <c r="A814" s="34"/>
      <c r="B814" s="34"/>
      <c r="C814" s="34"/>
      <c r="D814" s="34"/>
      <c r="E814" s="34"/>
      <c r="AU814" s="35"/>
      <c r="AV814" s="35"/>
      <c r="AW814" s="35"/>
      <c r="AX814" s="35"/>
      <c r="AY814" s="35"/>
      <c r="AZ814" s="35"/>
      <c r="BA814" s="35"/>
      <c r="BB814" s="35"/>
      <c r="BC814" s="35"/>
    </row>
    <row r="815" spans="1:55" ht="15.75" customHeight="1" x14ac:dyDescent="0.2">
      <c r="A815" s="34"/>
      <c r="B815" s="34"/>
      <c r="C815" s="34"/>
      <c r="D815" s="34"/>
      <c r="E815" s="34"/>
      <c r="AU815" s="35"/>
      <c r="AV815" s="35"/>
      <c r="AW815" s="35"/>
      <c r="AX815" s="35"/>
      <c r="AY815" s="35"/>
      <c r="AZ815" s="35"/>
      <c r="BA815" s="35"/>
      <c r="BB815" s="35"/>
      <c r="BC815" s="35"/>
    </row>
    <row r="816" spans="1:55" ht="15.75" customHeight="1" x14ac:dyDescent="0.2">
      <c r="A816" s="34"/>
      <c r="B816" s="34"/>
      <c r="C816" s="34"/>
      <c r="D816" s="34"/>
      <c r="E816" s="34"/>
      <c r="AU816" s="35"/>
      <c r="AV816" s="35"/>
      <c r="AW816" s="35"/>
      <c r="AX816" s="35"/>
      <c r="AY816" s="35"/>
      <c r="AZ816" s="35"/>
      <c r="BA816" s="35"/>
      <c r="BB816" s="35"/>
      <c r="BC816" s="35"/>
    </row>
    <row r="817" spans="1:55" ht="15.75" customHeight="1" x14ac:dyDescent="0.2">
      <c r="A817" s="34"/>
      <c r="B817" s="34"/>
      <c r="C817" s="34"/>
      <c r="D817" s="34"/>
      <c r="E817" s="34"/>
      <c r="AU817" s="35"/>
      <c r="AV817" s="35"/>
      <c r="AW817" s="35"/>
      <c r="AX817" s="35"/>
      <c r="AY817" s="35"/>
      <c r="AZ817" s="35"/>
      <c r="BA817" s="35"/>
      <c r="BB817" s="35"/>
      <c r="BC817" s="35"/>
    </row>
    <row r="818" spans="1:55" ht="15.75" customHeight="1" x14ac:dyDescent="0.2">
      <c r="A818" s="34"/>
      <c r="B818" s="34"/>
      <c r="C818" s="34"/>
      <c r="D818" s="34"/>
      <c r="E818" s="34"/>
      <c r="AU818" s="35"/>
      <c r="AV818" s="35"/>
      <c r="AW818" s="35"/>
      <c r="AX818" s="35"/>
      <c r="AY818" s="35"/>
      <c r="AZ818" s="35"/>
      <c r="BA818" s="35"/>
      <c r="BB818" s="35"/>
      <c r="BC818" s="35"/>
    </row>
    <row r="819" spans="1:55" ht="15.75" customHeight="1" x14ac:dyDescent="0.2">
      <c r="A819" s="34"/>
      <c r="B819" s="34"/>
      <c r="C819" s="34"/>
      <c r="D819" s="34"/>
      <c r="E819" s="34"/>
      <c r="AU819" s="35"/>
      <c r="AV819" s="35"/>
      <c r="AW819" s="35"/>
      <c r="AX819" s="35"/>
      <c r="AY819" s="35"/>
      <c r="AZ819" s="35"/>
      <c r="BA819" s="35"/>
      <c r="BB819" s="35"/>
      <c r="BC819" s="35"/>
    </row>
    <row r="820" spans="1:55" ht="15.75" customHeight="1" x14ac:dyDescent="0.2">
      <c r="A820" s="34"/>
      <c r="B820" s="34"/>
      <c r="C820" s="34"/>
      <c r="D820" s="34"/>
      <c r="E820" s="34"/>
      <c r="AU820" s="35"/>
      <c r="AV820" s="35"/>
      <c r="AW820" s="35"/>
      <c r="AX820" s="35"/>
      <c r="AY820" s="35"/>
      <c r="AZ820" s="35"/>
      <c r="BA820" s="35"/>
      <c r="BB820" s="35"/>
      <c r="BC820" s="35"/>
    </row>
    <row r="821" spans="1:55" ht="15.75" customHeight="1" x14ac:dyDescent="0.2">
      <c r="A821" s="34"/>
      <c r="B821" s="34"/>
      <c r="C821" s="34"/>
      <c r="D821" s="34"/>
      <c r="E821" s="34"/>
      <c r="AU821" s="35"/>
      <c r="AV821" s="35"/>
      <c r="AW821" s="35"/>
      <c r="AX821" s="35"/>
      <c r="AY821" s="35"/>
      <c r="AZ821" s="35"/>
      <c r="BA821" s="35"/>
      <c r="BB821" s="35"/>
      <c r="BC821" s="35"/>
    </row>
    <row r="822" spans="1:55" ht="15.75" customHeight="1" x14ac:dyDescent="0.2">
      <c r="A822" s="34"/>
      <c r="B822" s="34"/>
      <c r="C822" s="34"/>
      <c r="D822" s="34"/>
      <c r="E822" s="34"/>
      <c r="AU822" s="35"/>
      <c r="AV822" s="35"/>
      <c r="AW822" s="35"/>
      <c r="AX822" s="35"/>
      <c r="AY822" s="35"/>
      <c r="AZ822" s="35"/>
      <c r="BA822" s="35"/>
      <c r="BB822" s="35"/>
      <c r="BC822" s="35"/>
    </row>
    <row r="823" spans="1:55" ht="15.75" customHeight="1" x14ac:dyDescent="0.2">
      <c r="A823" s="34"/>
      <c r="B823" s="34"/>
      <c r="C823" s="34"/>
      <c r="D823" s="34"/>
      <c r="E823" s="34"/>
      <c r="AU823" s="35"/>
      <c r="AV823" s="35"/>
      <c r="AW823" s="35"/>
      <c r="AX823" s="35"/>
      <c r="AY823" s="35"/>
      <c r="AZ823" s="35"/>
      <c r="BA823" s="35"/>
      <c r="BB823" s="35"/>
      <c r="BC823" s="35"/>
    </row>
    <row r="824" spans="1:55" ht="15.75" customHeight="1" x14ac:dyDescent="0.2">
      <c r="A824" s="34"/>
      <c r="B824" s="34"/>
      <c r="C824" s="34"/>
      <c r="D824" s="34"/>
      <c r="E824" s="34"/>
      <c r="AU824" s="35"/>
      <c r="AV824" s="35"/>
      <c r="AW824" s="35"/>
      <c r="AX824" s="35"/>
      <c r="AY824" s="35"/>
      <c r="AZ824" s="35"/>
      <c r="BA824" s="35"/>
      <c r="BB824" s="35"/>
      <c r="BC824" s="35"/>
    </row>
    <row r="825" spans="1:55" ht="15.75" customHeight="1" x14ac:dyDescent="0.2">
      <c r="A825" s="34"/>
      <c r="B825" s="34"/>
      <c r="C825" s="34"/>
      <c r="D825" s="34"/>
      <c r="E825" s="34"/>
      <c r="AU825" s="35"/>
      <c r="AV825" s="35"/>
      <c r="AW825" s="35"/>
      <c r="AX825" s="35"/>
      <c r="AY825" s="35"/>
      <c r="AZ825" s="35"/>
      <c r="BA825" s="35"/>
      <c r="BB825" s="35"/>
      <c r="BC825" s="35"/>
    </row>
    <row r="826" spans="1:55" ht="15.75" customHeight="1" x14ac:dyDescent="0.2">
      <c r="A826" s="34"/>
      <c r="B826" s="34"/>
      <c r="C826" s="34"/>
      <c r="D826" s="34"/>
      <c r="E826" s="34"/>
      <c r="AU826" s="35"/>
      <c r="AV826" s="35"/>
      <c r="AW826" s="35"/>
      <c r="AX826" s="35"/>
      <c r="AY826" s="35"/>
      <c r="AZ826" s="35"/>
      <c r="BA826" s="35"/>
      <c r="BB826" s="35"/>
      <c r="BC826" s="35"/>
    </row>
    <row r="827" spans="1:55" ht="15.75" customHeight="1" x14ac:dyDescent="0.2">
      <c r="A827" s="34"/>
      <c r="B827" s="34"/>
      <c r="C827" s="34"/>
      <c r="D827" s="34"/>
      <c r="E827" s="34"/>
      <c r="AU827" s="35"/>
      <c r="AV827" s="35"/>
      <c r="AW827" s="35"/>
      <c r="AX827" s="35"/>
      <c r="AY827" s="35"/>
      <c r="AZ827" s="35"/>
      <c r="BA827" s="35"/>
      <c r="BB827" s="35"/>
      <c r="BC827" s="35"/>
    </row>
    <row r="828" spans="1:55" ht="15.75" customHeight="1" x14ac:dyDescent="0.2">
      <c r="A828" s="34"/>
      <c r="B828" s="34"/>
      <c r="C828" s="34"/>
      <c r="D828" s="34"/>
      <c r="E828" s="34"/>
      <c r="AU828" s="35"/>
      <c r="AV828" s="35"/>
      <c r="AW828" s="35"/>
      <c r="AX828" s="35"/>
      <c r="AY828" s="35"/>
      <c r="AZ828" s="35"/>
      <c r="BA828" s="35"/>
      <c r="BB828" s="35"/>
      <c r="BC828" s="35"/>
    </row>
    <row r="829" spans="1:55" ht="15.75" customHeight="1" x14ac:dyDescent="0.2">
      <c r="A829" s="34"/>
      <c r="B829" s="34"/>
      <c r="C829" s="34"/>
      <c r="D829" s="34"/>
      <c r="E829" s="34"/>
      <c r="AU829" s="35"/>
      <c r="AV829" s="35"/>
      <c r="AW829" s="35"/>
      <c r="AX829" s="35"/>
      <c r="AY829" s="35"/>
      <c r="AZ829" s="35"/>
      <c r="BA829" s="35"/>
      <c r="BB829" s="35"/>
      <c r="BC829" s="35"/>
    </row>
    <row r="830" spans="1:55" ht="15.75" customHeight="1" x14ac:dyDescent="0.2">
      <c r="A830" s="34"/>
      <c r="B830" s="34"/>
      <c r="C830" s="34"/>
      <c r="D830" s="34"/>
      <c r="E830" s="34"/>
      <c r="AU830" s="35"/>
      <c r="AV830" s="35"/>
      <c r="AW830" s="35"/>
      <c r="AX830" s="35"/>
      <c r="AY830" s="35"/>
      <c r="AZ830" s="35"/>
      <c r="BA830" s="35"/>
      <c r="BB830" s="35"/>
      <c r="BC830" s="35"/>
    </row>
    <row r="831" spans="1:55" ht="15.75" customHeight="1" x14ac:dyDescent="0.2">
      <c r="A831" s="34"/>
      <c r="B831" s="34"/>
      <c r="C831" s="34"/>
      <c r="D831" s="34"/>
      <c r="E831" s="34"/>
      <c r="AU831" s="35"/>
      <c r="AV831" s="35"/>
      <c r="AW831" s="35"/>
      <c r="AX831" s="35"/>
      <c r="AY831" s="35"/>
      <c r="AZ831" s="35"/>
      <c r="BA831" s="35"/>
      <c r="BB831" s="35"/>
      <c r="BC831" s="35"/>
    </row>
    <row r="832" spans="1:55" ht="15.75" customHeight="1" x14ac:dyDescent="0.2">
      <c r="A832" s="34"/>
      <c r="B832" s="34"/>
      <c r="C832" s="34"/>
      <c r="D832" s="34"/>
      <c r="E832" s="34"/>
      <c r="AU832" s="35"/>
      <c r="AV832" s="35"/>
      <c r="AW832" s="35"/>
      <c r="AX832" s="35"/>
      <c r="AY832" s="35"/>
      <c r="AZ832" s="35"/>
      <c r="BA832" s="35"/>
      <c r="BB832" s="35"/>
      <c r="BC832" s="35"/>
    </row>
    <row r="833" spans="1:55" ht="15.75" customHeight="1" x14ac:dyDescent="0.2">
      <c r="A833" s="34"/>
      <c r="B833" s="34"/>
      <c r="C833" s="34"/>
      <c r="D833" s="34"/>
      <c r="E833" s="34"/>
      <c r="AU833" s="35"/>
      <c r="AV833" s="35"/>
      <c r="AW833" s="35"/>
      <c r="AX833" s="35"/>
      <c r="AY833" s="35"/>
      <c r="AZ833" s="35"/>
      <c r="BA833" s="35"/>
      <c r="BB833" s="35"/>
      <c r="BC833" s="35"/>
    </row>
    <row r="834" spans="1:55" ht="15.75" customHeight="1" x14ac:dyDescent="0.2">
      <c r="A834" s="34"/>
      <c r="B834" s="34"/>
      <c r="C834" s="34"/>
      <c r="D834" s="34"/>
      <c r="E834" s="34"/>
      <c r="AU834" s="35"/>
      <c r="AV834" s="35"/>
      <c r="AW834" s="35"/>
      <c r="AX834" s="35"/>
      <c r="AY834" s="35"/>
      <c r="AZ834" s="35"/>
      <c r="BA834" s="35"/>
      <c r="BB834" s="35"/>
      <c r="BC834" s="35"/>
    </row>
    <row r="835" spans="1:55" ht="15.75" customHeight="1" x14ac:dyDescent="0.2">
      <c r="A835" s="34"/>
      <c r="B835" s="34"/>
      <c r="C835" s="34"/>
      <c r="D835" s="34"/>
      <c r="E835" s="34"/>
      <c r="AU835" s="35"/>
      <c r="AV835" s="35"/>
      <c r="AW835" s="35"/>
      <c r="AX835" s="35"/>
      <c r="AY835" s="35"/>
      <c r="AZ835" s="35"/>
      <c r="BA835" s="35"/>
      <c r="BB835" s="35"/>
      <c r="BC835" s="35"/>
    </row>
    <row r="836" spans="1:55" ht="15.75" customHeight="1" x14ac:dyDescent="0.2">
      <c r="A836" s="34"/>
      <c r="B836" s="34"/>
      <c r="C836" s="34"/>
      <c r="D836" s="34"/>
      <c r="E836" s="34"/>
      <c r="AU836" s="35"/>
      <c r="AV836" s="35"/>
      <c r="AW836" s="35"/>
      <c r="AX836" s="35"/>
      <c r="AY836" s="35"/>
      <c r="AZ836" s="35"/>
      <c r="BA836" s="35"/>
      <c r="BB836" s="35"/>
      <c r="BC836" s="35"/>
    </row>
    <row r="837" spans="1:55" ht="15.75" customHeight="1" x14ac:dyDescent="0.2">
      <c r="A837" s="34"/>
      <c r="B837" s="34"/>
      <c r="C837" s="34"/>
      <c r="D837" s="34"/>
      <c r="E837" s="34"/>
      <c r="AU837" s="35"/>
      <c r="AV837" s="35"/>
      <c r="AW837" s="35"/>
      <c r="AX837" s="35"/>
      <c r="AY837" s="35"/>
      <c r="AZ837" s="35"/>
      <c r="BA837" s="35"/>
      <c r="BB837" s="35"/>
      <c r="BC837" s="35"/>
    </row>
    <row r="838" spans="1:55" ht="15.75" customHeight="1" x14ac:dyDescent="0.2">
      <c r="A838" s="34"/>
      <c r="B838" s="34"/>
      <c r="C838" s="34"/>
      <c r="D838" s="34"/>
      <c r="E838" s="34"/>
      <c r="AU838" s="35"/>
      <c r="AV838" s="35"/>
      <c r="AW838" s="35"/>
      <c r="AX838" s="35"/>
      <c r="AY838" s="35"/>
      <c r="AZ838" s="35"/>
      <c r="BA838" s="35"/>
      <c r="BB838" s="35"/>
      <c r="BC838" s="35"/>
    </row>
    <row r="839" spans="1:55" ht="15.75" customHeight="1" x14ac:dyDescent="0.2">
      <c r="A839" s="34"/>
      <c r="B839" s="34"/>
      <c r="C839" s="34"/>
      <c r="D839" s="34"/>
      <c r="E839" s="34"/>
      <c r="AU839" s="35"/>
      <c r="AV839" s="35"/>
      <c r="AW839" s="35"/>
      <c r="AX839" s="35"/>
      <c r="AY839" s="35"/>
      <c r="AZ839" s="35"/>
      <c r="BA839" s="35"/>
      <c r="BB839" s="35"/>
      <c r="BC839" s="35"/>
    </row>
    <row r="840" spans="1:55" ht="15.75" customHeight="1" x14ac:dyDescent="0.2">
      <c r="A840" s="34"/>
      <c r="B840" s="34"/>
      <c r="C840" s="34"/>
      <c r="D840" s="34"/>
      <c r="E840" s="34"/>
      <c r="AU840" s="35"/>
      <c r="AV840" s="35"/>
      <c r="AW840" s="35"/>
      <c r="AX840" s="35"/>
      <c r="AY840" s="35"/>
      <c r="AZ840" s="35"/>
      <c r="BA840" s="35"/>
      <c r="BB840" s="35"/>
      <c r="BC840" s="35"/>
    </row>
    <row r="841" spans="1:55" ht="15.75" customHeight="1" x14ac:dyDescent="0.2">
      <c r="A841" s="34"/>
      <c r="B841" s="34"/>
      <c r="C841" s="34"/>
      <c r="D841" s="34"/>
      <c r="E841" s="34"/>
      <c r="AU841" s="35"/>
      <c r="AV841" s="35"/>
      <c r="AW841" s="35"/>
      <c r="AX841" s="35"/>
      <c r="AY841" s="35"/>
      <c r="AZ841" s="35"/>
      <c r="BA841" s="35"/>
      <c r="BB841" s="35"/>
      <c r="BC841" s="35"/>
    </row>
    <row r="842" spans="1:55" ht="15.75" customHeight="1" x14ac:dyDescent="0.2">
      <c r="A842" s="34"/>
      <c r="B842" s="34"/>
      <c r="C842" s="34"/>
      <c r="D842" s="34"/>
      <c r="E842" s="34"/>
      <c r="AU842" s="35"/>
      <c r="AV842" s="35"/>
      <c r="AW842" s="35"/>
      <c r="AX842" s="35"/>
      <c r="AY842" s="35"/>
      <c r="AZ842" s="35"/>
      <c r="BA842" s="35"/>
      <c r="BB842" s="35"/>
      <c r="BC842" s="35"/>
    </row>
    <row r="843" spans="1:55" ht="15.75" customHeight="1" x14ac:dyDescent="0.2">
      <c r="A843" s="34"/>
      <c r="B843" s="34"/>
      <c r="C843" s="34"/>
      <c r="D843" s="34"/>
      <c r="E843" s="34"/>
      <c r="AU843" s="35"/>
      <c r="AV843" s="35"/>
      <c r="AW843" s="35"/>
      <c r="AX843" s="35"/>
      <c r="AY843" s="35"/>
      <c r="AZ843" s="35"/>
      <c r="BA843" s="35"/>
      <c r="BB843" s="35"/>
      <c r="BC843" s="35"/>
    </row>
    <row r="844" spans="1:55" ht="15.75" customHeight="1" x14ac:dyDescent="0.2">
      <c r="A844" s="34"/>
      <c r="B844" s="34"/>
      <c r="C844" s="34"/>
      <c r="D844" s="34"/>
      <c r="E844" s="34"/>
      <c r="AU844" s="35"/>
      <c r="AV844" s="35"/>
      <c r="AW844" s="35"/>
      <c r="AX844" s="35"/>
      <c r="AY844" s="35"/>
      <c r="AZ844" s="35"/>
      <c r="BA844" s="35"/>
      <c r="BB844" s="35"/>
      <c r="BC844" s="35"/>
    </row>
    <row r="845" spans="1:55" ht="15.75" customHeight="1" x14ac:dyDescent="0.2">
      <c r="A845" s="34"/>
      <c r="B845" s="34"/>
      <c r="C845" s="34"/>
      <c r="D845" s="34"/>
      <c r="E845" s="34"/>
    </row>
    <row r="846" spans="1:55" ht="15.75" customHeight="1" x14ac:dyDescent="0.2">
      <c r="A846" s="34"/>
      <c r="B846" s="34"/>
      <c r="C846" s="34"/>
      <c r="D846" s="34"/>
      <c r="E846" s="34"/>
    </row>
    <row r="847" spans="1:55" ht="15.75" customHeight="1" x14ac:dyDescent="0.2">
      <c r="A847" s="34"/>
      <c r="B847" s="34"/>
      <c r="C847" s="34"/>
      <c r="D847" s="34"/>
      <c r="E847" s="34"/>
    </row>
    <row r="848" spans="1:55" ht="15.75" customHeight="1" x14ac:dyDescent="0.2">
      <c r="A848" s="34"/>
      <c r="B848" s="34"/>
      <c r="C848" s="34"/>
      <c r="D848" s="34"/>
      <c r="E848" s="34"/>
    </row>
  </sheetData>
  <mergeCells count="16">
    <mergeCell ref="B84:B87"/>
    <mergeCell ref="AI41:AM41"/>
    <mergeCell ref="B73:B77"/>
    <mergeCell ref="D82:H82"/>
    <mergeCell ref="B5:B9"/>
    <mergeCell ref="B12:B16"/>
    <mergeCell ref="B19:B23"/>
    <mergeCell ref="B26:B30"/>
    <mergeCell ref="B33:B37"/>
    <mergeCell ref="B45:B49"/>
    <mergeCell ref="B52:B56"/>
    <mergeCell ref="D41:H41"/>
    <mergeCell ref="J41:N41"/>
    <mergeCell ref="W41:AA41"/>
    <mergeCell ref="B59:B63"/>
    <mergeCell ref="B66:B7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Milka Kaplan  </cp:lastModifiedBy>
  <dcterms:created xsi:type="dcterms:W3CDTF">2025-10-16T10:26:36Z</dcterms:created>
  <dcterms:modified xsi:type="dcterms:W3CDTF">2026-03-24T18:24:26Z</dcterms:modified>
</cp:coreProperties>
</file>