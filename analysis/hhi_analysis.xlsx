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ilka/Downloads/"/>
    </mc:Choice>
  </mc:AlternateContent>
  <xr:revisionPtr revIDLastSave="0" documentId="13_ncr:1_{9108F882-8347-8348-8D7C-AB5A6CE69CE1}" xr6:coauthVersionLast="47" xr6:coauthVersionMax="47" xr10:uidLastSave="{00000000-0000-0000-0000-000000000000}"/>
  <bookViews>
    <workbookView xWindow="7160" yWindow="7120" windowWidth="21640" windowHeight="10880" xr2:uid="{00000000-000D-0000-FFFF-FFFF00000000}"/>
  </bookViews>
  <sheets>
    <sheet name="HHI" sheetId="8" r:id="rId1"/>
    <sheet name="Binom_test" sheetId="9" r:id="rId2"/>
    <sheet name="Recall_Precision" sheetId="10" r:id="rId3"/>
    <sheet name="eval_5_novellas" sheetId="11" r:id="rId4"/>
    <sheet name="Лист2" sheetId="12" r:id="rId5"/>
    <sheet name="pivot_table" sheetId="13" r:id="rId6"/>
    <sheet name="blocks" sheetId="14" r:id="rId7"/>
    <sheet name="total_334" sheetId="15" r:id="rId8"/>
    <sheet name="scores_all" sheetId="16" r:id="rId9"/>
  </sheets>
  <definedNames>
    <definedName name="_xlnm._FilterDatabase" localSheetId="8" hidden="1">scores_all!$A$1:$CQ$312</definedName>
    <definedName name="_xlnm._FilterDatabase" localSheetId="7" hidden="1">total_334!$A$1:$BB$334</definedName>
  </definedNames>
  <calcPr calcId="191029"/>
  <pivotCaches>
    <pivotCache cacheId="4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zN5iHD+tzro9voNBZvK+1THDplQ+VQXBcGMri6efGgw="/>
    </ext>
  </extLst>
</workbook>
</file>

<file path=xl/calcChain.xml><?xml version="1.0" encoding="utf-8"?>
<calcChain xmlns="http://schemas.openxmlformats.org/spreadsheetml/2006/main">
  <c r="D312" i="16" l="1"/>
  <c r="C312" i="16"/>
  <c r="X311" i="16"/>
  <c r="W311" i="16"/>
  <c r="V311" i="16"/>
  <c r="U311" i="16"/>
  <c r="T311" i="16"/>
  <c r="S311" i="16"/>
  <c r="R311" i="16"/>
  <c r="Q311" i="16"/>
  <c r="P311" i="16"/>
  <c r="O311" i="16"/>
  <c r="N311" i="16"/>
  <c r="M311" i="16"/>
  <c r="L311" i="16"/>
  <c r="K311" i="16"/>
  <c r="J311" i="16"/>
  <c r="I311" i="16"/>
  <c r="H311" i="16"/>
  <c r="G311" i="16"/>
  <c r="F311" i="16"/>
  <c r="E311" i="16"/>
  <c r="D311" i="16"/>
  <c r="C311" i="16"/>
  <c r="X310" i="16"/>
  <c r="W310" i="16"/>
  <c r="V310" i="16"/>
  <c r="U310" i="16"/>
  <c r="T310" i="16"/>
  <c r="S310" i="16"/>
  <c r="R310" i="16"/>
  <c r="Q310" i="16"/>
  <c r="P310" i="16"/>
  <c r="O310" i="16"/>
  <c r="N310" i="16"/>
  <c r="M310" i="16"/>
  <c r="L310" i="16"/>
  <c r="K310" i="16"/>
  <c r="J310" i="16"/>
  <c r="I310" i="16"/>
  <c r="H310" i="16"/>
  <c r="G310" i="16"/>
  <c r="F310" i="16"/>
  <c r="E310" i="16"/>
  <c r="D310" i="16"/>
  <c r="C310" i="16"/>
  <c r="X309" i="16"/>
  <c r="W309" i="16"/>
  <c r="V309" i="16"/>
  <c r="U309" i="16"/>
  <c r="T309" i="16"/>
  <c r="S309" i="16"/>
  <c r="R309" i="16"/>
  <c r="Q309" i="16"/>
  <c r="P309" i="16"/>
  <c r="O309" i="16"/>
  <c r="N309" i="16"/>
  <c r="M309" i="16"/>
  <c r="L309" i="16"/>
  <c r="K309" i="16"/>
  <c r="J309" i="16"/>
  <c r="I309" i="16"/>
  <c r="H309" i="16"/>
  <c r="G309" i="16"/>
  <c r="F309" i="16"/>
  <c r="E309" i="16"/>
  <c r="D309" i="16"/>
  <c r="C309" i="16"/>
  <c r="I411" i="15"/>
  <c r="I410" i="15"/>
  <c r="I409" i="15"/>
  <c r="A383" i="15"/>
  <c r="AI339" i="15"/>
  <c r="AH339" i="15"/>
  <c r="AG339" i="15"/>
  <c r="AF339" i="15"/>
  <c r="AE339" i="15"/>
  <c r="AD339" i="15"/>
  <c r="AC339" i="15"/>
  <c r="AB339" i="15"/>
  <c r="AA339" i="15"/>
  <c r="Z339" i="15"/>
  <c r="Y339" i="15"/>
  <c r="X339" i="15"/>
  <c r="W339" i="15"/>
  <c r="V339" i="15"/>
  <c r="U339" i="15"/>
  <c r="T339" i="15"/>
  <c r="S339" i="15"/>
  <c r="R339" i="15"/>
  <c r="Q339" i="15"/>
  <c r="P339" i="15"/>
  <c r="O339" i="15"/>
  <c r="N339" i="15"/>
  <c r="M339" i="15"/>
  <c r="L339" i="15"/>
  <c r="K339" i="15"/>
  <c r="J339" i="15"/>
  <c r="I339" i="15"/>
  <c r="H339" i="15"/>
  <c r="AI338" i="15"/>
  <c r="AH338" i="15"/>
  <c r="AG338" i="15"/>
  <c r="AF338" i="15"/>
  <c r="AE338" i="15"/>
  <c r="AD338" i="15"/>
  <c r="AC338" i="15"/>
  <c r="AB338" i="15"/>
  <c r="AA338" i="15"/>
  <c r="Z338" i="15"/>
  <c r="Y338" i="15"/>
  <c r="X338" i="15"/>
  <c r="W338" i="15"/>
  <c r="V338" i="15"/>
  <c r="U338" i="15"/>
  <c r="T338" i="15"/>
  <c r="S338" i="15"/>
  <c r="R338" i="15"/>
  <c r="Q338" i="15"/>
  <c r="P338" i="15"/>
  <c r="O338" i="15"/>
  <c r="N338" i="15"/>
  <c r="M338" i="15"/>
  <c r="L338" i="15"/>
  <c r="K338" i="15"/>
  <c r="J338" i="15"/>
  <c r="I338" i="15"/>
  <c r="H338" i="15"/>
  <c r="AI337" i="15"/>
  <c r="AH337" i="15"/>
  <c r="AG337" i="15"/>
  <c r="AF337" i="15"/>
  <c r="AE337" i="15"/>
  <c r="AD337" i="15"/>
  <c r="AC337" i="15"/>
  <c r="AB337" i="15"/>
  <c r="AA337" i="15"/>
  <c r="Z337" i="15"/>
  <c r="Y337" i="15"/>
  <c r="X337" i="15"/>
  <c r="W337" i="15"/>
  <c r="V337" i="15"/>
  <c r="U337" i="15"/>
  <c r="T337" i="15"/>
  <c r="S337" i="15"/>
  <c r="R337" i="15"/>
  <c r="Q337" i="15"/>
  <c r="P337" i="15"/>
  <c r="O337" i="15"/>
  <c r="N337" i="15"/>
  <c r="M337" i="15"/>
  <c r="L337" i="15"/>
  <c r="K337" i="15"/>
  <c r="J337" i="15"/>
  <c r="I337" i="15"/>
  <c r="H337" i="15"/>
  <c r="R336" i="15"/>
  <c r="AL19" i="15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AF62" i="11"/>
  <c r="AE62" i="11"/>
  <c r="AD62" i="11"/>
  <c r="AC62" i="11"/>
  <c r="AB62" i="11"/>
  <c r="AF61" i="11"/>
  <c r="AE61" i="11"/>
  <c r="AD61" i="11"/>
  <c r="AC61" i="11"/>
  <c r="AB61" i="11"/>
  <c r="AF60" i="11"/>
  <c r="AE60" i="11"/>
  <c r="AD60" i="11"/>
  <c r="AC60" i="11"/>
  <c r="AB60" i="11"/>
  <c r="AF59" i="11"/>
  <c r="AE59" i="11"/>
  <c r="AD59" i="11"/>
  <c r="AC59" i="11"/>
  <c r="AB59" i="11"/>
  <c r="AF58" i="11"/>
  <c r="AE58" i="11"/>
  <c r="AD58" i="11"/>
  <c r="AC58" i="11"/>
  <c r="AB58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AL7" i="10"/>
  <c r="AK7" i="10"/>
  <c r="AJ7" i="10"/>
  <c r="AI7" i="10"/>
  <c r="AE7" i="10"/>
  <c r="AD7" i="10"/>
  <c r="AC7" i="10"/>
  <c r="AB7" i="10"/>
  <c r="AG7" i="10" s="1"/>
  <c r="F7" i="10"/>
  <c r="E7" i="10"/>
  <c r="D7" i="10"/>
  <c r="C7" i="10"/>
  <c r="AL6" i="10"/>
  <c r="AK6" i="10"/>
  <c r="AJ6" i="10"/>
  <c r="AI6" i="10"/>
  <c r="AN6" i="10" s="1"/>
  <c r="AE6" i="10"/>
  <c r="AD6" i="10"/>
  <c r="AC6" i="10"/>
  <c r="AB6" i="10"/>
  <c r="AF6" i="10" s="1"/>
  <c r="H6" i="10"/>
  <c r="G6" i="10"/>
  <c r="I6" i="10" s="1"/>
  <c r="F6" i="10"/>
  <c r="E6" i="10"/>
  <c r="D6" i="10"/>
  <c r="C6" i="10"/>
  <c r="AL5" i="10"/>
  <c r="AK5" i="10"/>
  <c r="AK8" i="10" s="1"/>
  <c r="AJ5" i="10"/>
  <c r="AM5" i="10" s="1"/>
  <c r="AI5" i="10"/>
  <c r="AE5" i="10"/>
  <c r="AD5" i="10"/>
  <c r="AC5" i="10"/>
  <c r="AB5" i="10"/>
  <c r="AG5" i="10" s="1"/>
  <c r="F5" i="10"/>
  <c r="E5" i="10"/>
  <c r="D5" i="10"/>
  <c r="C5" i="10"/>
  <c r="AL4" i="10"/>
  <c r="AK4" i="10"/>
  <c r="AJ4" i="10"/>
  <c r="AI4" i="10"/>
  <c r="AN4" i="10" s="1"/>
  <c r="AE4" i="10"/>
  <c r="AD4" i="10"/>
  <c r="AC4" i="10"/>
  <c r="AB4" i="10"/>
  <c r="F4" i="10"/>
  <c r="E4" i="10"/>
  <c r="D4" i="10"/>
  <c r="C4" i="10"/>
  <c r="H4" i="10" s="1"/>
  <c r="AL3" i="10"/>
  <c r="AL8" i="10" s="1"/>
  <c r="AK3" i="10"/>
  <c r="AJ3" i="10"/>
  <c r="AJ8" i="10" s="1"/>
  <c r="AI3" i="10"/>
  <c r="AI8" i="10" s="1"/>
  <c r="AG3" i="10"/>
  <c r="AE3" i="10"/>
  <c r="AE8" i="10" s="1"/>
  <c r="AD3" i="10"/>
  <c r="AD8" i="10" s="1"/>
  <c r="AC3" i="10"/>
  <c r="AC8" i="10" s="1"/>
  <c r="AB3" i="10"/>
  <c r="AB8" i="10" s="1"/>
  <c r="G3" i="10"/>
  <c r="F3" i="10"/>
  <c r="F8" i="10" s="1"/>
  <c r="E3" i="10"/>
  <c r="E8" i="10" s="1"/>
  <c r="D3" i="10"/>
  <c r="D8" i="10" s="1"/>
  <c r="C3" i="10"/>
  <c r="AS198" i="9"/>
  <c r="AS199" i="9" s="1"/>
  <c r="AS200" i="9" s="1"/>
  <c r="AF198" i="9"/>
  <c r="AS197" i="9"/>
  <c r="AV194" i="9"/>
  <c r="AV193" i="9"/>
  <c r="AJ193" i="9"/>
  <c r="AJ194" i="9" s="1"/>
  <c r="AH193" i="9"/>
  <c r="AX189" i="9"/>
  <c r="AR189" i="9"/>
  <c r="AQ189" i="9"/>
  <c r="AO189" i="9"/>
  <c r="AM189" i="9"/>
  <c r="AL189" i="9"/>
  <c r="AE189" i="9"/>
  <c r="AB189" i="9"/>
  <c r="AG189" i="9" s="1"/>
  <c r="AH189" i="9" s="1"/>
  <c r="Z189" i="9"/>
  <c r="Y189" i="9"/>
  <c r="X189" i="9"/>
  <c r="W189" i="9"/>
  <c r="V189" i="9"/>
  <c r="AI189" i="9" s="1"/>
  <c r="AJ189" i="9" s="1"/>
  <c r="AX188" i="9"/>
  <c r="AS188" i="9"/>
  <c r="AR188" i="9"/>
  <c r="AQ188" i="9"/>
  <c r="AP188" i="9"/>
  <c r="AO188" i="9"/>
  <c r="AM188" i="9"/>
  <c r="AL188" i="9"/>
  <c r="AG188" i="9"/>
  <c r="AH188" i="9" s="1"/>
  <c r="AF188" i="9"/>
  <c r="AE188" i="9"/>
  <c r="AD188" i="9"/>
  <c r="AC188" i="9"/>
  <c r="AB188" i="9"/>
  <c r="AU188" i="9" s="1"/>
  <c r="AV188" i="9" s="1"/>
  <c r="Z188" i="9"/>
  <c r="Y188" i="9"/>
  <c r="X188" i="9"/>
  <c r="AI188" i="9" s="1"/>
  <c r="AJ188" i="9" s="1"/>
  <c r="W188" i="9"/>
  <c r="V188" i="9"/>
  <c r="AX187" i="9"/>
  <c r="AS187" i="9"/>
  <c r="AR187" i="9"/>
  <c r="AQ187" i="9"/>
  <c r="AP187" i="9"/>
  <c r="AO187" i="9"/>
  <c r="AM187" i="9"/>
  <c r="AL187" i="9"/>
  <c r="AG187" i="9"/>
  <c r="AH187" i="9" s="1"/>
  <c r="AE187" i="9"/>
  <c r="AD187" i="9"/>
  <c r="AC187" i="9"/>
  <c r="AB187" i="9"/>
  <c r="AU187" i="9" s="1"/>
  <c r="AV187" i="9" s="1"/>
  <c r="Z187" i="9"/>
  <c r="Y187" i="9"/>
  <c r="X187" i="9"/>
  <c r="W187" i="9"/>
  <c r="AI187" i="9" s="1"/>
  <c r="AJ187" i="9" s="1"/>
  <c r="V187" i="9"/>
  <c r="AX186" i="9"/>
  <c r="AS186" i="9"/>
  <c r="AR186" i="9"/>
  <c r="AQ186" i="9"/>
  <c r="AP186" i="9"/>
  <c r="AO186" i="9"/>
  <c r="AM186" i="9"/>
  <c r="AL186" i="9"/>
  <c r="AF186" i="9"/>
  <c r="AE186" i="9"/>
  <c r="AD186" i="9"/>
  <c r="AG186" i="9" s="1"/>
  <c r="AH186" i="9" s="1"/>
  <c r="AC186" i="9"/>
  <c r="AB186" i="9"/>
  <c r="AU186" i="9" s="1"/>
  <c r="AV186" i="9" s="1"/>
  <c r="Z186" i="9"/>
  <c r="Y186" i="9"/>
  <c r="X186" i="9"/>
  <c r="W186" i="9"/>
  <c r="V186" i="9"/>
  <c r="AI186" i="9" s="1"/>
  <c r="AJ186" i="9" s="1"/>
  <c r="AX185" i="9"/>
  <c r="AS185" i="9"/>
  <c r="AR185" i="9"/>
  <c r="AQ185" i="9"/>
  <c r="AP185" i="9"/>
  <c r="AO185" i="9"/>
  <c r="AM185" i="9"/>
  <c r="AL185" i="9"/>
  <c r="AE185" i="9"/>
  <c r="AD185" i="9"/>
  <c r="AC185" i="9"/>
  <c r="AU185" i="9" s="1"/>
  <c r="AV185" i="9" s="1"/>
  <c r="AB185" i="9"/>
  <c r="Z185" i="9"/>
  <c r="Y185" i="9"/>
  <c r="X185" i="9"/>
  <c r="W185" i="9"/>
  <c r="V185" i="9"/>
  <c r="AI185" i="9" s="1"/>
  <c r="AJ185" i="9" s="1"/>
  <c r="AX184" i="9"/>
  <c r="AS184" i="9"/>
  <c r="AR184" i="9"/>
  <c r="AQ184" i="9"/>
  <c r="AP184" i="9"/>
  <c r="AO184" i="9"/>
  <c r="AM184" i="9"/>
  <c r="AL184" i="9"/>
  <c r="AF184" i="9"/>
  <c r="AD184" i="9"/>
  <c r="AC184" i="9"/>
  <c r="AB184" i="9"/>
  <c r="AU184" i="9" s="1"/>
  <c r="AV184" i="9" s="1"/>
  <c r="Z184" i="9"/>
  <c r="Y184" i="9"/>
  <c r="X184" i="9"/>
  <c r="W184" i="9"/>
  <c r="V184" i="9"/>
  <c r="AI184" i="9" s="1"/>
  <c r="AJ184" i="9" s="1"/>
  <c r="AX183" i="9"/>
  <c r="AU183" i="9"/>
  <c r="AV183" i="9" s="1"/>
  <c r="AR183" i="9"/>
  <c r="AQ183" i="9"/>
  <c r="AP183" i="9"/>
  <c r="AO183" i="9"/>
  <c r="AM183" i="9"/>
  <c r="AL183" i="9"/>
  <c r="AF183" i="9"/>
  <c r="AE183" i="9"/>
  <c r="AD183" i="9"/>
  <c r="AC183" i="9"/>
  <c r="AG183" i="9" s="1"/>
  <c r="AH183" i="9" s="1"/>
  <c r="AB183" i="9"/>
  <c r="Z183" i="9"/>
  <c r="AI183" i="9" s="1"/>
  <c r="AJ183" i="9" s="1"/>
  <c r="Y183" i="9"/>
  <c r="X183" i="9"/>
  <c r="W183" i="9"/>
  <c r="V183" i="9"/>
  <c r="AX182" i="9"/>
  <c r="AQ182" i="9"/>
  <c r="AP182" i="9"/>
  <c r="AM182" i="9"/>
  <c r="AL182" i="9"/>
  <c r="AF182" i="9"/>
  <c r="AE182" i="9"/>
  <c r="AD182" i="9"/>
  <c r="AC182" i="9"/>
  <c r="AB182" i="9"/>
  <c r="AU182" i="9" s="1"/>
  <c r="AV182" i="9" s="1"/>
  <c r="Z182" i="9"/>
  <c r="Y182" i="9"/>
  <c r="X182" i="9"/>
  <c r="W182" i="9"/>
  <c r="AI182" i="9" s="1"/>
  <c r="AJ182" i="9" s="1"/>
  <c r="V182" i="9"/>
  <c r="AX181" i="9"/>
  <c r="AR181" i="9"/>
  <c r="AQ181" i="9"/>
  <c r="AP181" i="9"/>
  <c r="AO181" i="9"/>
  <c r="AU181" i="9" s="1"/>
  <c r="AV181" i="9" s="1"/>
  <c r="AM181" i="9"/>
  <c r="AL181" i="9"/>
  <c r="AF181" i="9"/>
  <c r="AE181" i="9"/>
  <c r="AG181" i="9" s="1"/>
  <c r="AH181" i="9" s="1"/>
  <c r="AD181" i="9"/>
  <c r="AC181" i="9"/>
  <c r="AB181" i="9"/>
  <c r="Z181" i="9"/>
  <c r="Y181" i="9"/>
  <c r="X181" i="9"/>
  <c r="W181" i="9"/>
  <c r="V181" i="9"/>
  <c r="AI181" i="9" s="1"/>
  <c r="AJ181" i="9" s="1"/>
  <c r="AX180" i="9"/>
  <c r="AS180" i="9"/>
  <c r="AR180" i="9"/>
  <c r="AQ180" i="9"/>
  <c r="AO180" i="9"/>
  <c r="AM180" i="9"/>
  <c r="AL180" i="9"/>
  <c r="AF180" i="9"/>
  <c r="AD180" i="9"/>
  <c r="AB180" i="9"/>
  <c r="AU180" i="9" s="1"/>
  <c r="AV180" i="9" s="1"/>
  <c r="Z180" i="9"/>
  <c r="Y180" i="9"/>
  <c r="X180" i="9"/>
  <c r="W180" i="9"/>
  <c r="V180" i="9"/>
  <c r="AI180" i="9" s="1"/>
  <c r="AJ180" i="9" s="1"/>
  <c r="AX179" i="9"/>
  <c r="AU179" i="9"/>
  <c r="AV179" i="9" s="1"/>
  <c r="AR179" i="9"/>
  <c r="AQ179" i="9"/>
  <c r="AP179" i="9"/>
  <c r="AO179" i="9"/>
  <c r="AM179" i="9"/>
  <c r="AL179" i="9"/>
  <c r="AE179" i="9"/>
  <c r="AD179" i="9"/>
  <c r="AC179" i="9"/>
  <c r="AB179" i="9"/>
  <c r="AG179" i="9" s="1"/>
  <c r="AH179" i="9" s="1"/>
  <c r="Z179" i="9"/>
  <c r="Y179" i="9"/>
  <c r="AI179" i="9" s="1"/>
  <c r="AJ179" i="9" s="1"/>
  <c r="X179" i="9"/>
  <c r="W179" i="9"/>
  <c r="V179" i="9"/>
  <c r="AX178" i="9"/>
  <c r="AR178" i="9"/>
  <c r="AQ178" i="9"/>
  <c r="AU178" i="9" s="1"/>
  <c r="AV178" i="9" s="1"/>
  <c r="AP178" i="9"/>
  <c r="AO178" i="9"/>
  <c r="AM178" i="9"/>
  <c r="AL178" i="9"/>
  <c r="AG178" i="9"/>
  <c r="AH178" i="9" s="1"/>
  <c r="AD178" i="9"/>
  <c r="AC178" i="9"/>
  <c r="AB178" i="9"/>
  <c r="Z178" i="9"/>
  <c r="Y178" i="9"/>
  <c r="X178" i="9"/>
  <c r="W178" i="9"/>
  <c r="V178" i="9"/>
  <c r="AI178" i="9" s="1"/>
  <c r="AJ178" i="9" s="1"/>
  <c r="AX177" i="9"/>
  <c r="AR177" i="9"/>
  <c r="AQ177" i="9"/>
  <c r="AP177" i="9"/>
  <c r="AO177" i="9"/>
  <c r="AM177" i="9"/>
  <c r="AL177" i="9"/>
  <c r="AF177" i="9"/>
  <c r="AE177" i="9"/>
  <c r="AD177" i="9"/>
  <c r="AG177" i="9" s="1"/>
  <c r="AH177" i="9" s="1"/>
  <c r="AC177" i="9"/>
  <c r="AB177" i="9"/>
  <c r="AU177" i="9" s="1"/>
  <c r="AV177" i="9" s="1"/>
  <c r="Z177" i="9"/>
  <c r="Y177" i="9"/>
  <c r="X177" i="9"/>
  <c r="W177" i="9"/>
  <c r="V177" i="9"/>
  <c r="AX176" i="9"/>
  <c r="AR176" i="9"/>
  <c r="AQ176" i="9"/>
  <c r="AP176" i="9"/>
  <c r="AO176" i="9"/>
  <c r="AM176" i="9"/>
  <c r="AL176" i="9"/>
  <c r="AE176" i="9"/>
  <c r="AD176" i="9"/>
  <c r="AC176" i="9"/>
  <c r="AB176" i="9"/>
  <c r="AU176" i="9" s="1"/>
  <c r="AV176" i="9" s="1"/>
  <c r="Z176" i="9"/>
  <c r="Y176" i="9"/>
  <c r="X176" i="9"/>
  <c r="W176" i="9"/>
  <c r="V176" i="9"/>
  <c r="AI176" i="9" s="1"/>
  <c r="AJ176" i="9" s="1"/>
  <c r="AX175" i="9"/>
  <c r="AU175" i="9"/>
  <c r="AV175" i="9" s="1"/>
  <c r="AS175" i="9"/>
  <c r="AR175" i="9"/>
  <c r="AQ175" i="9"/>
  <c r="AP175" i="9"/>
  <c r="AO175" i="9"/>
  <c r="AM175" i="9"/>
  <c r="AL175" i="9"/>
  <c r="AE175" i="9"/>
  <c r="AD175" i="9"/>
  <c r="AC175" i="9"/>
  <c r="AG175" i="9" s="1"/>
  <c r="AH175" i="9" s="1"/>
  <c r="AB175" i="9"/>
  <c r="Z175" i="9"/>
  <c r="Y175" i="9"/>
  <c r="X175" i="9"/>
  <c r="W175" i="9"/>
  <c r="V175" i="9"/>
  <c r="AI175" i="9" s="1"/>
  <c r="AJ175" i="9" s="1"/>
  <c r="AX174" i="9"/>
  <c r="AS174" i="9"/>
  <c r="AR174" i="9"/>
  <c r="AQ174" i="9"/>
  <c r="AP174" i="9"/>
  <c r="AO174" i="9"/>
  <c r="AM174" i="9"/>
  <c r="AL174" i="9"/>
  <c r="AE174" i="9"/>
  <c r="AC174" i="9"/>
  <c r="AB174" i="9"/>
  <c r="AG174" i="9" s="1"/>
  <c r="AH174" i="9" s="1"/>
  <c r="Z174" i="9"/>
  <c r="Y174" i="9"/>
  <c r="X174" i="9"/>
  <c r="AI174" i="9" s="1"/>
  <c r="AJ174" i="9" s="1"/>
  <c r="W174" i="9"/>
  <c r="V174" i="9"/>
  <c r="AX173" i="9"/>
  <c r="AS173" i="9"/>
  <c r="AR173" i="9"/>
  <c r="AQ173" i="9"/>
  <c r="AP173" i="9"/>
  <c r="AO173" i="9"/>
  <c r="AM173" i="9"/>
  <c r="AL173" i="9"/>
  <c r="AG173" i="9"/>
  <c r="AH173" i="9" s="1"/>
  <c r="AF173" i="9"/>
  <c r="AE173" i="9"/>
  <c r="AD173" i="9"/>
  <c r="AC173" i="9"/>
  <c r="AB173" i="9"/>
  <c r="AU173" i="9" s="1"/>
  <c r="AV173" i="9" s="1"/>
  <c r="Z173" i="9"/>
  <c r="Y173" i="9"/>
  <c r="X173" i="9"/>
  <c r="AI173" i="9" s="1"/>
  <c r="AJ173" i="9" s="1"/>
  <c r="W173" i="9"/>
  <c r="V173" i="9"/>
  <c r="AX172" i="9"/>
  <c r="AS172" i="9"/>
  <c r="AR172" i="9"/>
  <c r="AQ172" i="9"/>
  <c r="AP172" i="9"/>
  <c r="AO172" i="9"/>
  <c r="AM172" i="9"/>
  <c r="AL172" i="9"/>
  <c r="AG172" i="9"/>
  <c r="AH172" i="9" s="1"/>
  <c r="AE172" i="9"/>
  <c r="AD172" i="9"/>
  <c r="AC172" i="9"/>
  <c r="AB172" i="9"/>
  <c r="AU172" i="9" s="1"/>
  <c r="AV172" i="9" s="1"/>
  <c r="Z172" i="9"/>
  <c r="Y172" i="9"/>
  <c r="X172" i="9"/>
  <c r="W172" i="9"/>
  <c r="AI172" i="9" s="1"/>
  <c r="AJ172" i="9" s="1"/>
  <c r="V172" i="9"/>
  <c r="AX171" i="9"/>
  <c r="AS171" i="9"/>
  <c r="AR171" i="9"/>
  <c r="AQ171" i="9"/>
  <c r="AP171" i="9"/>
  <c r="AU171" i="9" s="1"/>
  <c r="AV171" i="9" s="1"/>
  <c r="AO171" i="9"/>
  <c r="AM171" i="9"/>
  <c r="AL171" i="9"/>
  <c r="AE171" i="9"/>
  <c r="AC171" i="9"/>
  <c r="AB171" i="9"/>
  <c r="AG171" i="9" s="1"/>
  <c r="AH171" i="9" s="1"/>
  <c r="Z171" i="9"/>
  <c r="Y171" i="9"/>
  <c r="X171" i="9"/>
  <c r="W171" i="9"/>
  <c r="AI171" i="9" s="1"/>
  <c r="AJ171" i="9" s="1"/>
  <c r="V171" i="9"/>
  <c r="AX170" i="9"/>
  <c r="AS170" i="9"/>
  <c r="AR170" i="9"/>
  <c r="AQ170" i="9"/>
  <c r="AP170" i="9"/>
  <c r="AO170" i="9"/>
  <c r="AM170" i="9"/>
  <c r="AL170" i="9"/>
  <c r="AF170" i="9"/>
  <c r="AE170" i="9"/>
  <c r="AD170" i="9"/>
  <c r="AG170" i="9" s="1"/>
  <c r="AH170" i="9" s="1"/>
  <c r="AC170" i="9"/>
  <c r="AB170" i="9"/>
  <c r="AU170" i="9" s="1"/>
  <c r="AV170" i="9" s="1"/>
  <c r="Z170" i="9"/>
  <c r="Y170" i="9"/>
  <c r="X170" i="9"/>
  <c r="W170" i="9"/>
  <c r="AI170" i="9" s="1"/>
  <c r="AJ170" i="9" s="1"/>
  <c r="V170" i="9"/>
  <c r="AX169" i="9"/>
  <c r="AR169" i="9"/>
  <c r="AQ169" i="9"/>
  <c r="AP169" i="9"/>
  <c r="AO169" i="9"/>
  <c r="AU169" i="9" s="1"/>
  <c r="AV169" i="9" s="1"/>
  <c r="AM169" i="9"/>
  <c r="AL169" i="9"/>
  <c r="AF169" i="9"/>
  <c r="AE169" i="9"/>
  <c r="AD169" i="9"/>
  <c r="AC169" i="9"/>
  <c r="AG169" i="9" s="1"/>
  <c r="AH169" i="9" s="1"/>
  <c r="AB169" i="9"/>
  <c r="Z169" i="9"/>
  <c r="Y169" i="9"/>
  <c r="X169" i="9"/>
  <c r="W169" i="9"/>
  <c r="V169" i="9"/>
  <c r="AI169" i="9" s="1"/>
  <c r="AJ169" i="9" s="1"/>
  <c r="AX168" i="9"/>
  <c r="AS168" i="9"/>
  <c r="AR168" i="9"/>
  <c r="AQ168" i="9"/>
  <c r="AP168" i="9"/>
  <c r="AO168" i="9"/>
  <c r="AM168" i="9"/>
  <c r="AL168" i="9"/>
  <c r="AE168" i="9"/>
  <c r="AD168" i="9"/>
  <c r="AC168" i="9"/>
  <c r="AB168" i="9"/>
  <c r="AU168" i="9" s="1"/>
  <c r="AV168" i="9" s="1"/>
  <c r="Z168" i="9"/>
  <c r="Y168" i="9"/>
  <c r="X168" i="9"/>
  <c r="W168" i="9"/>
  <c r="V168" i="9"/>
  <c r="AI168" i="9" s="1"/>
  <c r="AJ168" i="9" s="1"/>
  <c r="AX167" i="9"/>
  <c r="AS167" i="9"/>
  <c r="AR167" i="9"/>
  <c r="AQ167" i="9"/>
  <c r="AP167" i="9"/>
  <c r="AO167" i="9"/>
  <c r="AM167" i="9"/>
  <c r="AL167" i="9"/>
  <c r="AF167" i="9"/>
  <c r="AE167" i="9"/>
  <c r="AD167" i="9"/>
  <c r="AC167" i="9"/>
  <c r="AB167" i="9"/>
  <c r="AG167" i="9" s="1"/>
  <c r="AH167" i="9" s="1"/>
  <c r="Z167" i="9"/>
  <c r="Y167" i="9"/>
  <c r="X167" i="9"/>
  <c r="W167" i="9"/>
  <c r="V167" i="9"/>
  <c r="AI167" i="9" s="1"/>
  <c r="AJ167" i="9" s="1"/>
  <c r="AX166" i="9"/>
  <c r="AU166" i="9"/>
  <c r="AV166" i="9" s="1"/>
  <c r="AS166" i="9"/>
  <c r="AR166" i="9"/>
  <c r="AQ166" i="9"/>
  <c r="AP166" i="9"/>
  <c r="AO166" i="9"/>
  <c r="AM166" i="9"/>
  <c r="AL166" i="9"/>
  <c r="AD166" i="9"/>
  <c r="AC166" i="9"/>
  <c r="AB166" i="9"/>
  <c r="AG166" i="9" s="1"/>
  <c r="AH166" i="9" s="1"/>
  <c r="Z166" i="9"/>
  <c r="Y166" i="9"/>
  <c r="X166" i="9"/>
  <c r="W166" i="9"/>
  <c r="V166" i="9"/>
  <c r="AI166" i="9" s="1"/>
  <c r="AJ166" i="9" s="1"/>
  <c r="AX165" i="9"/>
  <c r="AS165" i="9"/>
  <c r="AR165" i="9"/>
  <c r="AU165" i="9" s="1"/>
  <c r="AV165" i="9" s="1"/>
  <c r="AQ165" i="9"/>
  <c r="AP165" i="9"/>
  <c r="AO165" i="9"/>
  <c r="AM165" i="9"/>
  <c r="AL165" i="9"/>
  <c r="AC165" i="9"/>
  <c r="AB165" i="9"/>
  <c r="AG165" i="9" s="1"/>
  <c r="AH165" i="9" s="1"/>
  <c r="Z165" i="9"/>
  <c r="Y165" i="9"/>
  <c r="X165" i="9"/>
  <c r="W165" i="9"/>
  <c r="V165" i="9"/>
  <c r="AI165" i="9" s="1"/>
  <c r="AJ165" i="9" s="1"/>
  <c r="AX164" i="9"/>
  <c r="AS164" i="9"/>
  <c r="AR164" i="9"/>
  <c r="AQ164" i="9"/>
  <c r="AP164" i="9"/>
  <c r="AO164" i="9"/>
  <c r="AU164" i="9" s="1"/>
  <c r="AV164" i="9" s="1"/>
  <c r="AM164" i="9"/>
  <c r="AL164" i="9"/>
  <c r="AE164" i="9"/>
  <c r="AD164" i="9"/>
  <c r="AG164" i="9" s="1"/>
  <c r="AH164" i="9" s="1"/>
  <c r="AC164" i="9"/>
  <c r="AB164" i="9"/>
  <c r="Z164" i="9"/>
  <c r="Y164" i="9"/>
  <c r="X164" i="9"/>
  <c r="W164" i="9"/>
  <c r="AI164" i="9" s="1"/>
  <c r="AJ164" i="9" s="1"/>
  <c r="V164" i="9"/>
  <c r="AX163" i="9"/>
  <c r="AR163" i="9"/>
  <c r="AQ163" i="9"/>
  <c r="AP163" i="9"/>
  <c r="AO163" i="9"/>
  <c r="AU163" i="9" s="1"/>
  <c r="AV163" i="9" s="1"/>
  <c r="AM163" i="9"/>
  <c r="AL163" i="9"/>
  <c r="AF163" i="9"/>
  <c r="AE163" i="9"/>
  <c r="AD163" i="9"/>
  <c r="AC163" i="9"/>
  <c r="AG163" i="9" s="1"/>
  <c r="AH163" i="9" s="1"/>
  <c r="AB163" i="9"/>
  <c r="Z163" i="9"/>
  <c r="Y163" i="9"/>
  <c r="X163" i="9"/>
  <c r="W163" i="9"/>
  <c r="V163" i="9"/>
  <c r="AI163" i="9" s="1"/>
  <c r="AJ163" i="9" s="1"/>
  <c r="AX162" i="9"/>
  <c r="AR162" i="9"/>
  <c r="AQ162" i="9"/>
  <c r="AP162" i="9"/>
  <c r="AO162" i="9"/>
  <c r="AM162" i="9"/>
  <c r="AL162" i="9"/>
  <c r="AF162" i="9"/>
  <c r="AE162" i="9"/>
  <c r="AD162" i="9"/>
  <c r="AC162" i="9"/>
  <c r="AB162" i="9"/>
  <c r="AU162" i="9" s="1"/>
  <c r="AV162" i="9" s="1"/>
  <c r="Z162" i="9"/>
  <c r="Y162" i="9"/>
  <c r="X162" i="9"/>
  <c r="W162" i="9"/>
  <c r="V162" i="9"/>
  <c r="AI162" i="9" s="1"/>
  <c r="AJ162" i="9" s="1"/>
  <c r="AX161" i="9"/>
  <c r="AS161" i="9"/>
  <c r="AR161" i="9"/>
  <c r="AQ161" i="9"/>
  <c r="AP161" i="9"/>
  <c r="AO161" i="9"/>
  <c r="AM161" i="9"/>
  <c r="AL161" i="9"/>
  <c r="AF161" i="9"/>
  <c r="AE161" i="9"/>
  <c r="AD161" i="9"/>
  <c r="AC161" i="9"/>
  <c r="AB161" i="9"/>
  <c r="AG161" i="9" s="1"/>
  <c r="AH161" i="9" s="1"/>
  <c r="Z161" i="9"/>
  <c r="Y161" i="9"/>
  <c r="X161" i="9"/>
  <c r="W161" i="9"/>
  <c r="V161" i="9"/>
  <c r="AI161" i="9" s="1"/>
  <c r="AJ161" i="9" s="1"/>
  <c r="AX160" i="9"/>
  <c r="AU160" i="9"/>
  <c r="AV160" i="9" s="1"/>
  <c r="AR160" i="9"/>
  <c r="AQ160" i="9"/>
  <c r="AP160" i="9"/>
  <c r="AO160" i="9"/>
  <c r="AM160" i="9"/>
  <c r="AL160" i="9"/>
  <c r="AE160" i="9"/>
  <c r="AD160" i="9"/>
  <c r="AC160" i="9"/>
  <c r="AB160" i="9"/>
  <c r="AG160" i="9" s="1"/>
  <c r="AH160" i="9" s="1"/>
  <c r="Z160" i="9"/>
  <c r="Y160" i="9"/>
  <c r="AI160" i="9" s="1"/>
  <c r="AJ160" i="9" s="1"/>
  <c r="X160" i="9"/>
  <c r="W160" i="9"/>
  <c r="V160" i="9"/>
  <c r="AX159" i="9"/>
  <c r="AS159" i="9"/>
  <c r="AR159" i="9"/>
  <c r="AU159" i="9" s="1"/>
  <c r="AV159" i="9" s="1"/>
  <c r="AQ159" i="9"/>
  <c r="AP159" i="9"/>
  <c r="AO159" i="9"/>
  <c r="AM159" i="9"/>
  <c r="AL159" i="9"/>
  <c r="AE159" i="9"/>
  <c r="AD159" i="9"/>
  <c r="AC159" i="9"/>
  <c r="AB159" i="9"/>
  <c r="AG159" i="9" s="1"/>
  <c r="AH159" i="9" s="1"/>
  <c r="Z159" i="9"/>
  <c r="Y159" i="9"/>
  <c r="X159" i="9"/>
  <c r="W159" i="9"/>
  <c r="V159" i="9"/>
  <c r="AI159" i="9" s="1"/>
  <c r="AJ159" i="9" s="1"/>
  <c r="AX158" i="9"/>
  <c r="AS158" i="9"/>
  <c r="AR158" i="9"/>
  <c r="AQ158" i="9"/>
  <c r="AP158" i="9"/>
  <c r="AO158" i="9"/>
  <c r="AM158" i="9"/>
  <c r="AL158" i="9"/>
  <c r="AG158" i="9"/>
  <c r="AH158" i="9" s="1"/>
  <c r="AE158" i="9"/>
  <c r="AD158" i="9"/>
  <c r="AC158" i="9"/>
  <c r="AB158" i="9"/>
  <c r="AU158" i="9" s="1"/>
  <c r="AV158" i="9" s="1"/>
  <c r="Z158" i="9"/>
  <c r="Y158" i="9"/>
  <c r="X158" i="9"/>
  <c r="W158" i="9"/>
  <c r="AI158" i="9" s="1"/>
  <c r="AJ158" i="9" s="1"/>
  <c r="V158" i="9"/>
  <c r="AX157" i="9"/>
  <c r="AS157" i="9"/>
  <c r="AR157" i="9"/>
  <c r="AQ157" i="9"/>
  <c r="AP157" i="9"/>
  <c r="AO157" i="9"/>
  <c r="AM157" i="9"/>
  <c r="AL157" i="9"/>
  <c r="AF157" i="9"/>
  <c r="AE157" i="9"/>
  <c r="AD157" i="9"/>
  <c r="AC157" i="9"/>
  <c r="AB157" i="9"/>
  <c r="AU157" i="9" s="1"/>
  <c r="AV157" i="9" s="1"/>
  <c r="Z157" i="9"/>
  <c r="Y157" i="9"/>
  <c r="X157" i="9"/>
  <c r="W157" i="9"/>
  <c r="V157" i="9"/>
  <c r="AX156" i="9"/>
  <c r="AS156" i="9"/>
  <c r="AR156" i="9"/>
  <c r="AQ156" i="9"/>
  <c r="AP156" i="9"/>
  <c r="AU156" i="9" s="1"/>
  <c r="AV156" i="9" s="1"/>
  <c r="AO156" i="9"/>
  <c r="AM156" i="9"/>
  <c r="AL156" i="9"/>
  <c r="AF156" i="9"/>
  <c r="AD156" i="9"/>
  <c r="AC156" i="9"/>
  <c r="AB156" i="9"/>
  <c r="AG156" i="9" s="1"/>
  <c r="AH156" i="9" s="1"/>
  <c r="Z156" i="9"/>
  <c r="Y156" i="9"/>
  <c r="X156" i="9"/>
  <c r="W156" i="9"/>
  <c r="V156" i="9"/>
  <c r="AI156" i="9" s="1"/>
  <c r="AJ156" i="9" s="1"/>
  <c r="AX155" i="9"/>
  <c r="AX190" i="9" s="1"/>
  <c r="AS155" i="9"/>
  <c r="AR155" i="9"/>
  <c r="AQ155" i="9"/>
  <c r="AP155" i="9"/>
  <c r="AO155" i="9"/>
  <c r="AM155" i="9"/>
  <c r="AM190" i="9" s="1"/>
  <c r="AL155" i="9"/>
  <c r="AL190" i="9" s="1"/>
  <c r="AF155" i="9"/>
  <c r="AE155" i="9"/>
  <c r="AG155" i="9" s="1"/>
  <c r="AD155" i="9"/>
  <c r="AC155" i="9"/>
  <c r="AB155" i="9"/>
  <c r="AU155" i="9" s="1"/>
  <c r="AV155" i="9" s="1"/>
  <c r="Z155" i="9"/>
  <c r="Y155" i="9"/>
  <c r="X155" i="9"/>
  <c r="W155" i="9"/>
  <c r="V155" i="9"/>
  <c r="AI155" i="9" s="1"/>
  <c r="AJ155" i="9" s="1"/>
  <c r="AB150" i="9"/>
  <c r="AA150" i="9"/>
  <c r="Y150" i="9"/>
  <c r="X150" i="9"/>
  <c r="AD150" i="9" s="1"/>
  <c r="AB149" i="9"/>
  <c r="AA149" i="9"/>
  <c r="Y149" i="9"/>
  <c r="X149" i="9"/>
  <c r="AD149" i="9" s="1"/>
  <c r="AB148" i="9"/>
  <c r="AA148" i="9"/>
  <c r="Y148" i="9"/>
  <c r="X148" i="9"/>
  <c r="AD148" i="9" s="1"/>
  <c r="AB147" i="9"/>
  <c r="AC147" i="9" s="1"/>
  <c r="AA147" i="9"/>
  <c r="AD147" i="9" s="1"/>
  <c r="Y147" i="9"/>
  <c r="X147" i="9"/>
  <c r="AD146" i="9"/>
  <c r="AC146" i="9"/>
  <c r="AB146" i="9"/>
  <c r="AA146" i="9"/>
  <c r="Y146" i="9"/>
  <c r="X146" i="9"/>
  <c r="AB145" i="9"/>
  <c r="AD145" i="9" s="1"/>
  <c r="AA145" i="9"/>
  <c r="Y145" i="9"/>
  <c r="X145" i="9"/>
  <c r="AC145" i="9" s="1"/>
  <c r="AB144" i="9"/>
  <c r="AA144" i="9"/>
  <c r="Y144" i="9"/>
  <c r="X144" i="9"/>
  <c r="AD144" i="9" s="1"/>
  <c r="AB143" i="9"/>
  <c r="AC143" i="9" s="1"/>
  <c r="AA143" i="9"/>
  <c r="AD143" i="9" s="1"/>
  <c r="Y143" i="9"/>
  <c r="X143" i="9"/>
  <c r="AD142" i="9"/>
  <c r="AC142" i="9"/>
  <c r="AB142" i="9"/>
  <c r="AA142" i="9"/>
  <c r="Y142" i="9"/>
  <c r="X142" i="9"/>
  <c r="AB141" i="9"/>
  <c r="AA141" i="9"/>
  <c r="AD141" i="9" s="1"/>
  <c r="Y141" i="9"/>
  <c r="X141" i="9"/>
  <c r="AC141" i="9" s="1"/>
  <c r="AB140" i="9"/>
  <c r="AA140" i="9"/>
  <c r="Y140" i="9"/>
  <c r="X140" i="9"/>
  <c r="AD140" i="9" s="1"/>
  <c r="AB139" i="9"/>
  <c r="AA139" i="9"/>
  <c r="Y139" i="9"/>
  <c r="X139" i="9"/>
  <c r="AD139" i="9" s="1"/>
  <c r="AB138" i="9"/>
  <c r="AA138" i="9"/>
  <c r="Y138" i="9"/>
  <c r="X138" i="9"/>
  <c r="AD138" i="9" s="1"/>
  <c r="V138" i="9"/>
  <c r="U138" i="9"/>
  <c r="AB137" i="9"/>
  <c r="AA137" i="9"/>
  <c r="Y137" i="9"/>
  <c r="X137" i="9"/>
  <c r="AD137" i="9" s="1"/>
  <c r="V137" i="9"/>
  <c r="AB136" i="9"/>
  <c r="AA136" i="9"/>
  <c r="Y136" i="9"/>
  <c r="X136" i="9"/>
  <c r="AD136" i="9" s="1"/>
  <c r="T136" i="9" a="1"/>
  <c r="T136" i="9" s="1"/>
  <c r="AB135" i="9"/>
  <c r="AA135" i="9"/>
  <c r="Y135" i="9"/>
  <c r="V128" i="9" s="1"/>
  <c r="X135" i="9"/>
  <c r="AB134" i="9"/>
  <c r="AA134" i="9"/>
  <c r="Y134" i="9"/>
  <c r="X134" i="9"/>
  <c r="AD133" i="9"/>
  <c r="AC133" i="9"/>
  <c r="AB133" i="9"/>
  <c r="AA133" i="9"/>
  <c r="Y133" i="9"/>
  <c r="X133" i="9"/>
  <c r="AC132" i="9"/>
  <c r="AB132" i="9"/>
  <c r="AA132" i="9"/>
  <c r="AD132" i="9" s="1"/>
  <c r="Y132" i="9"/>
  <c r="X132" i="9"/>
  <c r="AB131" i="9"/>
  <c r="AA131" i="9"/>
  <c r="Y131" i="9"/>
  <c r="X131" i="9"/>
  <c r="AM130" i="9"/>
  <c r="AL130" i="9"/>
  <c r="AK130" i="9"/>
  <c r="AJ130" i="9"/>
  <c r="AI130" i="9"/>
  <c r="AB130" i="9"/>
  <c r="AA130" i="9"/>
  <c r="Y130" i="9"/>
  <c r="X130" i="9"/>
  <c r="AD129" i="9"/>
  <c r="AB129" i="9"/>
  <c r="AA129" i="9"/>
  <c r="Y129" i="9"/>
  <c r="X129" i="9"/>
  <c r="AC129" i="9" s="1"/>
  <c r="V129" i="9"/>
  <c r="AB128" i="9"/>
  <c r="AA128" i="9"/>
  <c r="Y128" i="9"/>
  <c r="X128" i="9"/>
  <c r="AD127" i="9"/>
  <c r="AB127" i="9"/>
  <c r="AA127" i="9"/>
  <c r="Y127" i="9"/>
  <c r="X127" i="9"/>
  <c r="V127" i="9"/>
  <c r="T127" i="9" a="1"/>
  <c r="T127" i="9" s="1"/>
  <c r="AG126" i="9"/>
  <c r="AD126" i="9"/>
  <c r="AC126" i="9"/>
  <c r="AB126" i="9"/>
  <c r="AA126" i="9"/>
  <c r="U137" i="9" s="1"/>
  <c r="X126" i="9"/>
  <c r="AG125" i="9"/>
  <c r="Z119" i="9"/>
  <c r="Y119" i="9"/>
  <c r="Y118" i="9"/>
  <c r="X118" i="9"/>
  <c r="Y117" i="9"/>
  <c r="Y116" i="9"/>
  <c r="Z113" i="9"/>
  <c r="Z111" i="9"/>
  <c r="AA110" i="9"/>
  <c r="X110" i="9"/>
  <c r="Y109" i="9"/>
  <c r="X106" i="9"/>
  <c r="X101" i="9"/>
  <c r="AP83" i="9"/>
  <c r="AO83" i="9"/>
  <c r="AN83" i="9"/>
  <c r="AA121" i="9" s="1"/>
  <c r="AM83" i="9"/>
  <c r="AL83" i="9"/>
  <c r="Y121" i="9" s="1"/>
  <c r="AK83" i="9"/>
  <c r="AG83" i="9"/>
  <c r="AF83" i="9"/>
  <c r="AB83" i="9"/>
  <c r="AC83" i="9" s="1"/>
  <c r="AI83" i="9" s="1"/>
  <c r="Z83" i="9"/>
  <c r="Y83" i="9"/>
  <c r="V83" i="9"/>
  <c r="W83" i="9" s="1"/>
  <c r="R83" i="9"/>
  <c r="Q83" i="9"/>
  <c r="P83" i="9"/>
  <c r="AO82" i="9"/>
  <c r="AN82" i="9"/>
  <c r="AM82" i="9"/>
  <c r="AL82" i="9"/>
  <c r="AK82" i="9"/>
  <c r="AS82" i="9" s="1"/>
  <c r="AG82" i="9"/>
  <c r="AF82" i="9"/>
  <c r="AC82" i="9"/>
  <c r="AA82" i="9" s="1"/>
  <c r="AB82" i="9"/>
  <c r="Y82" i="9"/>
  <c r="Z82" i="9" s="1"/>
  <c r="W82" i="9"/>
  <c r="V82" i="9"/>
  <c r="R82" i="9"/>
  <c r="X120" i="9" s="1"/>
  <c r="Q82" i="9"/>
  <c r="P82" i="9"/>
  <c r="AS81" i="9"/>
  <c r="AP81" i="9"/>
  <c r="AO81" i="9"/>
  <c r="AN81" i="9"/>
  <c r="AA119" i="9" s="1"/>
  <c r="AM81" i="9"/>
  <c r="AL81" i="9"/>
  <c r="AK81" i="9"/>
  <c r="AQ81" i="9" s="1"/>
  <c r="AF81" i="9"/>
  <c r="AG81" i="9" s="1"/>
  <c r="AE81" i="9"/>
  <c r="AB81" i="9"/>
  <c r="AC81" i="9" s="1"/>
  <c r="AA81" i="9" s="1"/>
  <c r="Z81" i="9"/>
  <c r="Y81" i="9"/>
  <c r="V81" i="9"/>
  <c r="W81" i="9" s="1"/>
  <c r="S81" i="9"/>
  <c r="T81" i="9" s="1"/>
  <c r="R81" i="9"/>
  <c r="Q81" i="9"/>
  <c r="P81" i="9"/>
  <c r="AQ80" i="9"/>
  <c r="AP80" i="9"/>
  <c r="AO80" i="9"/>
  <c r="AN80" i="9"/>
  <c r="AM80" i="9"/>
  <c r="AL80" i="9"/>
  <c r="AK80" i="9"/>
  <c r="AG80" i="9"/>
  <c r="AF80" i="9"/>
  <c r="AC80" i="9"/>
  <c r="AI80" i="9" s="1"/>
  <c r="AB80" i="9"/>
  <c r="AA80" i="9"/>
  <c r="Z80" i="9"/>
  <c r="Y80" i="9"/>
  <c r="W80" i="9"/>
  <c r="V80" i="9"/>
  <c r="S80" i="9"/>
  <c r="R80" i="9"/>
  <c r="Q80" i="9"/>
  <c r="P80" i="9"/>
  <c r="AO79" i="9"/>
  <c r="AN79" i="9"/>
  <c r="AM79" i="9"/>
  <c r="Z117" i="9" s="1"/>
  <c r="AL79" i="9"/>
  <c r="AK79" i="9"/>
  <c r="AG79" i="9"/>
  <c r="AF79" i="9"/>
  <c r="AE79" i="9"/>
  <c r="AB79" i="9"/>
  <c r="AC79" i="9" s="1"/>
  <c r="AA79" i="9" s="1"/>
  <c r="Y79" i="9"/>
  <c r="Z79" i="9" s="1"/>
  <c r="V79" i="9"/>
  <c r="W79" i="9" s="1"/>
  <c r="T79" i="9"/>
  <c r="R79" i="9"/>
  <c r="Q79" i="9"/>
  <c r="X117" i="9" s="1"/>
  <c r="P79" i="9"/>
  <c r="S79" i="9" s="1"/>
  <c r="AO78" i="9"/>
  <c r="AN78" i="9"/>
  <c r="AM78" i="9"/>
  <c r="AL78" i="9"/>
  <c r="AK78" i="9"/>
  <c r="AI78" i="9"/>
  <c r="AF78" i="9"/>
  <c r="AG78" i="9" s="1"/>
  <c r="AB78" i="9"/>
  <c r="AC78" i="9" s="1"/>
  <c r="W78" i="9"/>
  <c r="V78" i="9"/>
  <c r="R78" i="9"/>
  <c r="Q78" i="9"/>
  <c r="P78" i="9"/>
  <c r="AO77" i="9"/>
  <c r="AN77" i="9"/>
  <c r="AM77" i="9"/>
  <c r="AL77" i="9"/>
  <c r="AK77" i="9"/>
  <c r="AF77" i="9"/>
  <c r="AG77" i="9" s="1"/>
  <c r="AB77" i="9"/>
  <c r="AC77" i="9" s="1"/>
  <c r="AI77" i="9" s="1"/>
  <c r="W77" i="9"/>
  <c r="V77" i="9"/>
  <c r="R77" i="9"/>
  <c r="Q77" i="9"/>
  <c r="P77" i="9"/>
  <c r="AP76" i="9"/>
  <c r="AO76" i="9"/>
  <c r="AN76" i="9"/>
  <c r="AM76" i="9"/>
  <c r="AL76" i="9"/>
  <c r="AK76" i="9"/>
  <c r="AF76" i="9"/>
  <c r="AG76" i="9" s="1"/>
  <c r="AC76" i="9"/>
  <c r="AB76" i="9"/>
  <c r="AA76" i="9"/>
  <c r="Z76" i="9"/>
  <c r="Y76" i="9"/>
  <c r="V76" i="9"/>
  <c r="W76" i="9" s="1"/>
  <c r="R76" i="9"/>
  <c r="Q76" i="9"/>
  <c r="X116" i="9" s="1"/>
  <c r="P76" i="9"/>
  <c r="AO75" i="9"/>
  <c r="AN75" i="9"/>
  <c r="AA115" i="9" s="1"/>
  <c r="AM75" i="9"/>
  <c r="Z115" i="9" s="1"/>
  <c r="AL75" i="9"/>
  <c r="AK75" i="9"/>
  <c r="AF75" i="9"/>
  <c r="AG75" i="9" s="1"/>
  <c r="AE75" i="9"/>
  <c r="AB75" i="9"/>
  <c r="AC75" i="9" s="1"/>
  <c r="Y75" i="9"/>
  <c r="Z75" i="9" s="1"/>
  <c r="V75" i="9"/>
  <c r="W75" i="9" s="1"/>
  <c r="R75" i="9"/>
  <c r="Q75" i="9"/>
  <c r="X115" i="9" s="1"/>
  <c r="P75" i="9"/>
  <c r="AO74" i="9"/>
  <c r="AN74" i="9"/>
  <c r="AA114" i="9" s="1"/>
  <c r="AM74" i="9"/>
  <c r="Z114" i="9" s="1"/>
  <c r="AL74" i="9"/>
  <c r="Y114" i="9" s="1"/>
  <c r="AK74" i="9"/>
  <c r="AF74" i="9"/>
  <c r="AG74" i="9" s="1"/>
  <c r="AC74" i="9"/>
  <c r="AB74" i="9"/>
  <c r="Y74" i="9"/>
  <c r="Z74" i="9" s="1"/>
  <c r="W74" i="9"/>
  <c r="V74" i="9"/>
  <c r="R74" i="9"/>
  <c r="Q74" i="9"/>
  <c r="X114" i="9" s="1"/>
  <c r="P74" i="9"/>
  <c r="AO73" i="9"/>
  <c r="AN73" i="9"/>
  <c r="AA113" i="9" s="1"/>
  <c r="AM73" i="9"/>
  <c r="AL73" i="9"/>
  <c r="AK73" i="9"/>
  <c r="AG73" i="9"/>
  <c r="AI73" i="9" s="1"/>
  <c r="AF73" i="9"/>
  <c r="AB73" i="9"/>
  <c r="AC73" i="9" s="1"/>
  <c r="Y73" i="9"/>
  <c r="Z73" i="9" s="1"/>
  <c r="W73" i="9"/>
  <c r="V73" i="9"/>
  <c r="R73" i="9"/>
  <c r="Q73" i="9"/>
  <c r="X113" i="9" s="1"/>
  <c r="P73" i="9"/>
  <c r="AO72" i="9"/>
  <c r="AN72" i="9"/>
  <c r="AA112" i="9" s="1"/>
  <c r="AM72" i="9"/>
  <c r="Z112" i="9" s="1"/>
  <c r="AL72" i="9"/>
  <c r="AK72" i="9"/>
  <c r="AF72" i="9"/>
  <c r="AG72" i="9" s="1"/>
  <c r="AB72" i="9"/>
  <c r="AC72" i="9" s="1"/>
  <c r="Y72" i="9"/>
  <c r="Z72" i="9" s="1"/>
  <c r="AA72" i="9" s="1"/>
  <c r="W72" i="9"/>
  <c r="V72" i="9"/>
  <c r="R72" i="9"/>
  <c r="Q72" i="9"/>
  <c r="X112" i="9" s="1"/>
  <c r="P72" i="9"/>
  <c r="AS71" i="9"/>
  <c r="AO71" i="9"/>
  <c r="AN71" i="9"/>
  <c r="AM71" i="9"/>
  <c r="AL71" i="9"/>
  <c r="AK71" i="9"/>
  <c r="AP71" i="9" s="1"/>
  <c r="AG71" i="9"/>
  <c r="AF71" i="9"/>
  <c r="AB71" i="9"/>
  <c r="AC71" i="9" s="1"/>
  <c r="AI71" i="9" s="1"/>
  <c r="W71" i="9"/>
  <c r="V71" i="9"/>
  <c r="R71" i="9"/>
  <c r="Q71" i="9"/>
  <c r="P71" i="9"/>
  <c r="AP70" i="9"/>
  <c r="AO70" i="9"/>
  <c r="AN70" i="9"/>
  <c r="AM70" i="9"/>
  <c r="AL70" i="9"/>
  <c r="AR70" i="9" s="1"/>
  <c r="AK70" i="9"/>
  <c r="AG70" i="9"/>
  <c r="AF70" i="9"/>
  <c r="AB70" i="9"/>
  <c r="AC70" i="9" s="1"/>
  <c r="AI70" i="9" s="1"/>
  <c r="W70" i="9"/>
  <c r="V70" i="9"/>
  <c r="R70" i="9"/>
  <c r="Q70" i="9"/>
  <c r="P70" i="9"/>
  <c r="AQ69" i="9"/>
  <c r="AO69" i="9"/>
  <c r="AN69" i="9"/>
  <c r="AM69" i="9"/>
  <c r="AL69" i="9"/>
  <c r="Y111" i="9" s="1"/>
  <c r="AK69" i="9"/>
  <c r="AP69" i="9" s="1"/>
  <c r="AG69" i="9"/>
  <c r="AF69" i="9"/>
  <c r="AB69" i="9"/>
  <c r="AC69" i="9" s="1"/>
  <c r="Y69" i="9"/>
  <c r="Z69" i="9" s="1"/>
  <c r="W69" i="9"/>
  <c r="V69" i="9"/>
  <c r="R69" i="9"/>
  <c r="Q69" i="9"/>
  <c r="X111" i="9" s="1"/>
  <c r="P69" i="9"/>
  <c r="AO68" i="9"/>
  <c r="AN68" i="9"/>
  <c r="AM68" i="9"/>
  <c r="Z110" i="9" s="1"/>
  <c r="AL68" i="9"/>
  <c r="AK68" i="9"/>
  <c r="AF68" i="9"/>
  <c r="AG68" i="9" s="1"/>
  <c r="AI68" i="9" s="1"/>
  <c r="AC68" i="9"/>
  <c r="AB68" i="9"/>
  <c r="Z68" i="9"/>
  <c r="AA68" i="9" s="1"/>
  <c r="Y68" i="9"/>
  <c r="V68" i="9"/>
  <c r="W68" i="9" s="1"/>
  <c r="R68" i="9"/>
  <c r="Q68" i="9"/>
  <c r="P68" i="9"/>
  <c r="AS67" i="9"/>
  <c r="AO67" i="9"/>
  <c r="AN67" i="9"/>
  <c r="AA109" i="9" s="1"/>
  <c r="AM67" i="9"/>
  <c r="AL67" i="9"/>
  <c r="AK67" i="9"/>
  <c r="AP67" i="9" s="1"/>
  <c r="AI67" i="9"/>
  <c r="AG67" i="9"/>
  <c r="AF67" i="9"/>
  <c r="AE67" i="9"/>
  <c r="AC67" i="9"/>
  <c r="AB67" i="9"/>
  <c r="Y67" i="9"/>
  <c r="Z67" i="9" s="1"/>
  <c r="W67" i="9"/>
  <c r="V67" i="9"/>
  <c r="S67" i="9"/>
  <c r="R67" i="9"/>
  <c r="Q67" i="9"/>
  <c r="P67" i="9"/>
  <c r="T67" i="9" s="1"/>
  <c r="AS66" i="9"/>
  <c r="AR66" i="9"/>
  <c r="AO66" i="9"/>
  <c r="AN66" i="9"/>
  <c r="AA108" i="9" s="1"/>
  <c r="AM66" i="9"/>
  <c r="Z108" i="9" s="1"/>
  <c r="AL66" i="9"/>
  <c r="Y108" i="9" s="1"/>
  <c r="AK66" i="9"/>
  <c r="AF66" i="9"/>
  <c r="AG66" i="9" s="1"/>
  <c r="AB66" i="9"/>
  <c r="AC66" i="9" s="1"/>
  <c r="Y66" i="9"/>
  <c r="Z66" i="9" s="1"/>
  <c r="V66" i="9"/>
  <c r="W66" i="9" s="1"/>
  <c r="S66" i="9"/>
  <c r="T66" i="9" s="1"/>
  <c r="R66" i="9"/>
  <c r="Q66" i="9"/>
  <c r="P66" i="9"/>
  <c r="AO65" i="9"/>
  <c r="AN65" i="9"/>
  <c r="AA107" i="9" s="1"/>
  <c r="AM65" i="9"/>
  <c r="Z107" i="9" s="1"/>
  <c r="AL65" i="9"/>
  <c r="AK65" i="9"/>
  <c r="AF65" i="9"/>
  <c r="AG65" i="9" s="1"/>
  <c r="AE65" i="9"/>
  <c r="AC65" i="9"/>
  <c r="AI65" i="9" s="1"/>
  <c r="AB65" i="9"/>
  <c r="Z65" i="9"/>
  <c r="Y65" i="9"/>
  <c r="V65" i="9"/>
  <c r="W65" i="9" s="1"/>
  <c r="S65" i="9"/>
  <c r="T65" i="9" s="1"/>
  <c r="R65" i="9"/>
  <c r="Q65" i="9"/>
  <c r="P65" i="9"/>
  <c r="AP64" i="9"/>
  <c r="AO64" i="9"/>
  <c r="AN64" i="9"/>
  <c r="AM64" i="9"/>
  <c r="AL64" i="9"/>
  <c r="AK64" i="9"/>
  <c r="AF64" i="9"/>
  <c r="AG64" i="9" s="1"/>
  <c r="AB64" i="9"/>
  <c r="AC64" i="9" s="1"/>
  <c r="AI64" i="9" s="1"/>
  <c r="W64" i="9"/>
  <c r="V64" i="9"/>
  <c r="R64" i="9"/>
  <c r="Q64" i="9"/>
  <c r="P64" i="9"/>
  <c r="AR63" i="9"/>
  <c r="AQ63" i="9"/>
  <c r="AP63" i="9"/>
  <c r="AO63" i="9"/>
  <c r="AN63" i="9"/>
  <c r="AM63" i="9"/>
  <c r="AL63" i="9"/>
  <c r="AK63" i="9"/>
  <c r="AS63" i="9" s="1"/>
  <c r="AF63" i="9"/>
  <c r="AG63" i="9" s="1"/>
  <c r="AI63" i="9" s="1"/>
  <c r="AC63" i="9"/>
  <c r="AB63" i="9"/>
  <c r="V63" i="9"/>
  <c r="W63" i="9" s="1"/>
  <c r="R63" i="9"/>
  <c r="Q63" i="9"/>
  <c r="P63" i="9"/>
  <c r="AS62" i="9"/>
  <c r="AR62" i="9"/>
  <c r="AO62" i="9"/>
  <c r="AN62" i="9"/>
  <c r="AA106" i="9" s="1"/>
  <c r="AM62" i="9"/>
  <c r="Z106" i="9" s="1"/>
  <c r="AL62" i="9"/>
  <c r="AK62" i="9"/>
  <c r="AF62" i="9"/>
  <c r="AG62" i="9" s="1"/>
  <c r="AI62" i="9" s="1"/>
  <c r="AB62" i="9"/>
  <c r="AC62" i="9" s="1"/>
  <c r="Z62" i="9"/>
  <c r="AA62" i="9" s="1"/>
  <c r="Y62" i="9"/>
  <c r="V62" i="9"/>
  <c r="W62" i="9" s="1"/>
  <c r="S62" i="9"/>
  <c r="T62" i="9" s="1"/>
  <c r="R62" i="9"/>
  <c r="Q62" i="9"/>
  <c r="P62" i="9"/>
  <c r="AE62" i="9" s="1"/>
  <c r="AO61" i="9"/>
  <c r="AN61" i="9"/>
  <c r="AM61" i="9"/>
  <c r="AL61" i="9"/>
  <c r="Y105" i="9" s="1"/>
  <c r="AK61" i="9"/>
  <c r="AQ61" i="9" s="1"/>
  <c r="AG61" i="9"/>
  <c r="AF61" i="9"/>
  <c r="AE61" i="9"/>
  <c r="AB61" i="9"/>
  <c r="AC61" i="9" s="1"/>
  <c r="Z61" i="9"/>
  <c r="Y61" i="9"/>
  <c r="V61" i="9"/>
  <c r="W61" i="9" s="1"/>
  <c r="S61" i="9"/>
  <c r="T61" i="9" s="1"/>
  <c r="R61" i="9"/>
  <c r="Q61" i="9"/>
  <c r="X105" i="9" s="1"/>
  <c r="P61" i="9"/>
  <c r="AO60" i="9"/>
  <c r="AN60" i="9"/>
  <c r="AA104" i="9" s="1"/>
  <c r="AM60" i="9"/>
  <c r="Z104" i="9" s="1"/>
  <c r="AL60" i="9"/>
  <c r="AK60" i="9"/>
  <c r="AF60" i="9"/>
  <c r="AG60" i="9" s="1"/>
  <c r="AB60" i="9"/>
  <c r="AC60" i="9" s="1"/>
  <c r="Y60" i="9"/>
  <c r="Z60" i="9" s="1"/>
  <c r="V60" i="9"/>
  <c r="W60" i="9" s="1"/>
  <c r="S60" i="9"/>
  <c r="T60" i="9" s="1"/>
  <c r="R60" i="9"/>
  <c r="Q60" i="9"/>
  <c r="X104" i="9" s="1"/>
  <c r="P60" i="9"/>
  <c r="AR59" i="9"/>
  <c r="AO59" i="9"/>
  <c r="AN59" i="9"/>
  <c r="AA103" i="9" s="1"/>
  <c r="AM59" i="9"/>
  <c r="Y103" i="9" s="1"/>
  <c r="AL59" i="9"/>
  <c r="AK59" i="9"/>
  <c r="AS59" i="9" s="1"/>
  <c r="AF59" i="9"/>
  <c r="AG59" i="9" s="1"/>
  <c r="AI59" i="9" s="1"/>
  <c r="AE59" i="9"/>
  <c r="AC59" i="9"/>
  <c r="AB59" i="9"/>
  <c r="Z59" i="9"/>
  <c r="Y59" i="9"/>
  <c r="W59" i="9"/>
  <c r="V59" i="9"/>
  <c r="S59" i="9"/>
  <c r="T59" i="9" s="1"/>
  <c r="R59" i="9"/>
  <c r="Q59" i="9"/>
  <c r="P59" i="9"/>
  <c r="AR58" i="9"/>
  <c r="AQ58" i="9"/>
  <c r="AP58" i="9"/>
  <c r="AO58" i="9"/>
  <c r="AN58" i="9"/>
  <c r="AA102" i="9" s="1"/>
  <c r="AM58" i="9"/>
  <c r="Z102" i="9" s="1"/>
  <c r="AL58" i="9"/>
  <c r="Y102" i="9" s="1"/>
  <c r="AK58" i="9"/>
  <c r="AG58" i="9"/>
  <c r="AI58" i="9" s="1"/>
  <c r="AF58" i="9"/>
  <c r="AE58" i="9"/>
  <c r="AC58" i="9"/>
  <c r="AA58" i="9" s="1"/>
  <c r="AB58" i="9"/>
  <c r="Y58" i="9"/>
  <c r="Z58" i="9" s="1"/>
  <c r="V58" i="9"/>
  <c r="W58" i="9" s="1"/>
  <c r="T58" i="9"/>
  <c r="S58" i="9"/>
  <c r="R58" i="9"/>
  <c r="Q58" i="9"/>
  <c r="X102" i="9" s="1"/>
  <c r="P58" i="9"/>
  <c r="AR57" i="9"/>
  <c r="AQ57" i="9"/>
  <c r="AO57" i="9"/>
  <c r="AN57" i="9"/>
  <c r="AM57" i="9"/>
  <c r="AL57" i="9"/>
  <c r="AK57" i="9"/>
  <c r="AS57" i="9" s="1"/>
  <c r="AF57" i="9"/>
  <c r="AC57" i="9"/>
  <c r="AB57" i="9"/>
  <c r="W57" i="9"/>
  <c r="V57" i="9"/>
  <c r="R57" i="9"/>
  <c r="Q57" i="9"/>
  <c r="P57" i="9"/>
  <c r="AS56" i="9"/>
  <c r="AO56" i="9"/>
  <c r="AN56" i="9"/>
  <c r="AM56" i="9"/>
  <c r="AL56" i="9"/>
  <c r="AK56" i="9"/>
  <c r="AQ56" i="9" s="1"/>
  <c r="AI56" i="9"/>
  <c r="AF56" i="9"/>
  <c r="AG56" i="9" s="1"/>
  <c r="AC56" i="9"/>
  <c r="AB56" i="9"/>
  <c r="V56" i="9"/>
  <c r="W56" i="9" s="1"/>
  <c r="R56" i="9"/>
  <c r="Q56" i="9"/>
  <c r="P56" i="9"/>
  <c r="AS55" i="9"/>
  <c r="AO55" i="9"/>
  <c r="AN55" i="9"/>
  <c r="AA101" i="9" s="1"/>
  <c r="AM55" i="9"/>
  <c r="AL55" i="9"/>
  <c r="AK55" i="9"/>
  <c r="AG55" i="9"/>
  <c r="AF55" i="9"/>
  <c r="AB55" i="9"/>
  <c r="AC55" i="9" s="1"/>
  <c r="Y55" i="9"/>
  <c r="Z55" i="9" s="1"/>
  <c r="W55" i="9"/>
  <c r="V55" i="9"/>
  <c r="R55" i="9"/>
  <c r="Q55" i="9"/>
  <c r="P55" i="9"/>
  <c r="AO54" i="9"/>
  <c r="AN54" i="9"/>
  <c r="AM54" i="9"/>
  <c r="AL54" i="9"/>
  <c r="Y100" i="9" s="1"/>
  <c r="AK54" i="9"/>
  <c r="AS54" i="9" s="1"/>
  <c r="AG54" i="9"/>
  <c r="AF54" i="9"/>
  <c r="AE54" i="9"/>
  <c r="AC54" i="9"/>
  <c r="AB54" i="9"/>
  <c r="Y54" i="9"/>
  <c r="Z54" i="9" s="1"/>
  <c r="W54" i="9"/>
  <c r="V54" i="9"/>
  <c r="S54" i="9"/>
  <c r="T54" i="9" s="1"/>
  <c r="R54" i="9"/>
  <c r="Q54" i="9"/>
  <c r="X100" i="9" s="1"/>
  <c r="P54" i="9"/>
  <c r="AO53" i="9"/>
  <c r="AN53" i="9"/>
  <c r="AA99" i="9" s="1"/>
  <c r="AM53" i="9"/>
  <c r="AL53" i="9"/>
  <c r="AK53" i="9"/>
  <c r="AP53" i="9" s="1"/>
  <c r="AF53" i="9"/>
  <c r="AG53" i="9" s="1"/>
  <c r="AE53" i="9"/>
  <c r="AB53" i="9"/>
  <c r="AC53" i="9" s="1"/>
  <c r="Y53" i="9"/>
  <c r="Z53" i="9" s="1"/>
  <c r="AA53" i="9" s="1"/>
  <c r="W53" i="9"/>
  <c r="V53" i="9"/>
  <c r="T53" i="9"/>
  <c r="R53" i="9"/>
  <c r="Q53" i="9"/>
  <c r="X99" i="9" s="1"/>
  <c r="P53" i="9"/>
  <c r="S53" i="9" s="1"/>
  <c r="AS52" i="9"/>
  <c r="AR52" i="9"/>
  <c r="AO52" i="9"/>
  <c r="AN52" i="9"/>
  <c r="AA98" i="9" s="1"/>
  <c r="AM52" i="9"/>
  <c r="Z98" i="9" s="1"/>
  <c r="AL52" i="9"/>
  <c r="Y98" i="9" s="1"/>
  <c r="AK52" i="9"/>
  <c r="AG52" i="9"/>
  <c r="AF52" i="9"/>
  <c r="AB52" i="9"/>
  <c r="AC52" i="9" s="1"/>
  <c r="Z52" i="9"/>
  <c r="Y52" i="9"/>
  <c r="W52" i="9"/>
  <c r="V52" i="9"/>
  <c r="R52" i="9"/>
  <c r="Q52" i="9"/>
  <c r="P52" i="9"/>
  <c r="AO51" i="9"/>
  <c r="AN51" i="9"/>
  <c r="AA97" i="9" s="1"/>
  <c r="AM51" i="9"/>
  <c r="AL51" i="9"/>
  <c r="AK51" i="9"/>
  <c r="AP51" i="9" s="1"/>
  <c r="AG51" i="9"/>
  <c r="AI51" i="9" s="1"/>
  <c r="AF51" i="9"/>
  <c r="AB51" i="9"/>
  <c r="AC51" i="9" s="1"/>
  <c r="Z51" i="9"/>
  <c r="Y51" i="9"/>
  <c r="W51" i="9"/>
  <c r="V51" i="9"/>
  <c r="R51" i="9"/>
  <c r="Q51" i="9"/>
  <c r="P51" i="9"/>
  <c r="AS50" i="9"/>
  <c r="AR50" i="9"/>
  <c r="AO50" i="9"/>
  <c r="AN50" i="9"/>
  <c r="AM50" i="9"/>
  <c r="AL50" i="9"/>
  <c r="AK50" i="9"/>
  <c r="AF50" i="9"/>
  <c r="AG50" i="9" s="1"/>
  <c r="AC50" i="9"/>
  <c r="AB50" i="9"/>
  <c r="V50" i="9"/>
  <c r="W50" i="9" s="1"/>
  <c r="R50" i="9"/>
  <c r="Q50" i="9"/>
  <c r="P50" i="9"/>
  <c r="AS49" i="9"/>
  <c r="AR49" i="9"/>
  <c r="AO49" i="9"/>
  <c r="AN49" i="9"/>
  <c r="AM49" i="9"/>
  <c r="AL49" i="9"/>
  <c r="AK49" i="9"/>
  <c r="AG49" i="9"/>
  <c r="AF49" i="9"/>
  <c r="AB49" i="9"/>
  <c r="AC49" i="9" s="1"/>
  <c r="W49" i="9"/>
  <c r="V49" i="9"/>
  <c r="R49" i="9"/>
  <c r="Q49" i="9"/>
  <c r="P49" i="9"/>
  <c r="BC38" i="9"/>
  <c r="BD38" i="9" s="1"/>
  <c r="BB38" i="9"/>
  <c r="BA38" i="9"/>
  <c r="AZ38" i="9"/>
  <c r="AR38" i="9"/>
  <c r="AQ38" i="9"/>
  <c r="AP38" i="9"/>
  <c r="AN38" i="9"/>
  <c r="AM38" i="9"/>
  <c r="AC38" i="9"/>
  <c r="AB38" i="9"/>
  <c r="AA38" i="9"/>
  <c r="N38" i="9"/>
  <c r="M38" i="9"/>
  <c r="BC37" i="9"/>
  <c r="BD37" i="9" s="1"/>
  <c r="BB37" i="9"/>
  <c r="BA37" i="9"/>
  <c r="AZ37" i="9"/>
  <c r="AP37" i="9"/>
  <c r="AQ37" i="9" s="1"/>
  <c r="AN37" i="9"/>
  <c r="AM37" i="9"/>
  <c r="AC37" i="9"/>
  <c r="AB37" i="9"/>
  <c r="AA37" i="9"/>
  <c r="N37" i="9"/>
  <c r="M37" i="9"/>
  <c r="BD36" i="9"/>
  <c r="BC36" i="9"/>
  <c r="BB36" i="9"/>
  <c r="BA36" i="9"/>
  <c r="AZ36" i="9"/>
  <c r="AQ36" i="9"/>
  <c r="AR36" i="9" s="1"/>
  <c r="AP36" i="9"/>
  <c r="AN36" i="9"/>
  <c r="AM36" i="9"/>
  <c r="AC36" i="9"/>
  <c r="AB36" i="9"/>
  <c r="AA36" i="9"/>
  <c r="R36" i="9"/>
  <c r="Q36" i="9"/>
  <c r="N36" i="9"/>
  <c r="M36" i="9"/>
  <c r="O36" i="9" s="1"/>
  <c r="BC35" i="9"/>
  <c r="BD35" i="9" s="1"/>
  <c r="BB35" i="9"/>
  <c r="BA35" i="9"/>
  <c r="AZ35" i="9"/>
  <c r="AR35" i="9"/>
  <c r="AQ35" i="9"/>
  <c r="AP35" i="9"/>
  <c r="AN35" i="9"/>
  <c r="AM35" i="9"/>
  <c r="AC35" i="9"/>
  <c r="AB35" i="9"/>
  <c r="AA35" i="9"/>
  <c r="S35" i="9"/>
  <c r="N35" i="9"/>
  <c r="M35" i="9"/>
  <c r="BD34" i="9"/>
  <c r="BC34" i="9"/>
  <c r="BB34" i="9"/>
  <c r="BA34" i="9"/>
  <c r="AZ34" i="9"/>
  <c r="AP34" i="9"/>
  <c r="AQ34" i="9" s="1"/>
  <c r="AR34" i="9" s="1"/>
  <c r="AN34" i="9"/>
  <c r="AM34" i="9"/>
  <c r="AC34" i="9"/>
  <c r="AB34" i="9"/>
  <c r="AA34" i="9"/>
  <c r="R34" i="9"/>
  <c r="Q34" i="9"/>
  <c r="P34" i="9"/>
  <c r="N34" i="9"/>
  <c r="S34" i="9" s="1"/>
  <c r="M34" i="9"/>
  <c r="Q33" i="9"/>
  <c r="N33" i="9"/>
  <c r="M33" i="9"/>
  <c r="N32" i="9"/>
  <c r="M32" i="9"/>
  <c r="BC31" i="9"/>
  <c r="BD31" i="9" s="1"/>
  <c r="BB31" i="9"/>
  <c r="BA31" i="9"/>
  <c r="AZ31" i="9"/>
  <c r="AP31" i="9"/>
  <c r="AQ31" i="9" s="1"/>
  <c r="AR31" i="9" s="1"/>
  <c r="AN31" i="9"/>
  <c r="AM31" i="9"/>
  <c r="AC31" i="9"/>
  <c r="AB31" i="9"/>
  <c r="AA31" i="9"/>
  <c r="S31" i="9"/>
  <c r="R31" i="9"/>
  <c r="Q31" i="9"/>
  <c r="P31" i="9"/>
  <c r="O31" i="9"/>
  <c r="N31" i="9"/>
  <c r="M31" i="9"/>
  <c r="BC30" i="9"/>
  <c r="BD30" i="9" s="1"/>
  <c r="BB30" i="9"/>
  <c r="BA30" i="9"/>
  <c r="AZ30" i="9"/>
  <c r="AP30" i="9"/>
  <c r="AQ30" i="9" s="1"/>
  <c r="AR30" i="9" s="1"/>
  <c r="AN30" i="9"/>
  <c r="AM30" i="9"/>
  <c r="AC30" i="9"/>
  <c r="AB30" i="9"/>
  <c r="AA30" i="9"/>
  <c r="S30" i="9"/>
  <c r="N30" i="9"/>
  <c r="M30" i="9"/>
  <c r="O30" i="9" s="1"/>
  <c r="BC29" i="9"/>
  <c r="BD29" i="9" s="1"/>
  <c r="BB29" i="9"/>
  <c r="BA29" i="9"/>
  <c r="AZ29" i="9"/>
  <c r="AP29" i="9"/>
  <c r="AQ29" i="9" s="1"/>
  <c r="AN29" i="9"/>
  <c r="AM29" i="9"/>
  <c r="AC29" i="9"/>
  <c r="AB29" i="9"/>
  <c r="AA29" i="9"/>
  <c r="Q29" i="9"/>
  <c r="N29" i="9"/>
  <c r="M29" i="9"/>
  <c r="BD28" i="9"/>
  <c r="BC28" i="9"/>
  <c r="BB28" i="9"/>
  <c r="BA28" i="9"/>
  <c r="AZ28" i="9"/>
  <c r="AP28" i="9"/>
  <c r="AQ28" i="9" s="1"/>
  <c r="AR28" i="9" s="1"/>
  <c r="AN28" i="9"/>
  <c r="AM28" i="9"/>
  <c r="AC28" i="9"/>
  <c r="AB28" i="9"/>
  <c r="AA28" i="9"/>
  <c r="N28" i="9"/>
  <c r="M28" i="9"/>
  <c r="BD27" i="9"/>
  <c r="BC27" i="9"/>
  <c r="BB27" i="9"/>
  <c r="BA27" i="9"/>
  <c r="AZ27" i="9"/>
  <c r="AP27" i="9"/>
  <c r="AQ27" i="9" s="1"/>
  <c r="AN27" i="9"/>
  <c r="AM27" i="9"/>
  <c r="AC27" i="9"/>
  <c r="AB27" i="9"/>
  <c r="AA27" i="9"/>
  <c r="N27" i="9"/>
  <c r="M27" i="9"/>
  <c r="S26" i="9"/>
  <c r="N26" i="9"/>
  <c r="M26" i="9"/>
  <c r="O25" i="9"/>
  <c r="N25" i="9"/>
  <c r="M25" i="9"/>
  <c r="BC24" i="9"/>
  <c r="BD24" i="9" s="1"/>
  <c r="BB24" i="9"/>
  <c r="BA24" i="9"/>
  <c r="AZ24" i="9"/>
  <c r="AQ24" i="9"/>
  <c r="AR24" i="9" s="1"/>
  <c r="AP24" i="9"/>
  <c r="AN24" i="9"/>
  <c r="AM24" i="9"/>
  <c r="AC24" i="9"/>
  <c r="AB24" i="9"/>
  <c r="AA24" i="9"/>
  <c r="S24" i="9"/>
  <c r="R24" i="9"/>
  <c r="N24" i="9"/>
  <c r="M24" i="9"/>
  <c r="BC23" i="9"/>
  <c r="BD23" i="9" s="1"/>
  <c r="BB23" i="9"/>
  <c r="BA23" i="9"/>
  <c r="AZ23" i="9"/>
  <c r="AQ23" i="9"/>
  <c r="AR23" i="9" s="1"/>
  <c r="AP23" i="9"/>
  <c r="AN23" i="9"/>
  <c r="AM23" i="9"/>
  <c r="AC23" i="9"/>
  <c r="AB23" i="9"/>
  <c r="AA23" i="9"/>
  <c r="S23" i="9"/>
  <c r="R23" i="9"/>
  <c r="O23" i="9"/>
  <c r="N23" i="9"/>
  <c r="M23" i="9"/>
  <c r="BC22" i="9"/>
  <c r="BD22" i="9" s="1"/>
  <c r="BB22" i="9"/>
  <c r="BA22" i="9"/>
  <c r="AZ22" i="9"/>
  <c r="AR22" i="9"/>
  <c r="AP22" i="9"/>
  <c r="AQ22" i="9" s="1"/>
  <c r="AN22" i="9"/>
  <c r="AM22" i="9"/>
  <c r="AC22" i="9"/>
  <c r="AB22" i="9"/>
  <c r="AA22" i="9"/>
  <c r="S22" i="9"/>
  <c r="R22" i="9"/>
  <c r="Q22" i="9"/>
  <c r="P22" i="9"/>
  <c r="O22" i="9"/>
  <c r="N22" i="9"/>
  <c r="M22" i="9"/>
  <c r="BC21" i="9"/>
  <c r="BD21" i="9" s="1"/>
  <c r="BB21" i="9"/>
  <c r="BA21" i="9"/>
  <c r="AZ21" i="9"/>
  <c r="AQ21" i="9"/>
  <c r="AP21" i="9"/>
  <c r="AN21" i="9"/>
  <c r="AM21" i="9"/>
  <c r="AC21" i="9"/>
  <c r="AB21" i="9"/>
  <c r="AA21" i="9"/>
  <c r="S21" i="9"/>
  <c r="R21" i="9"/>
  <c r="N21" i="9"/>
  <c r="M21" i="9"/>
  <c r="BD20" i="9"/>
  <c r="BC20" i="9"/>
  <c r="BB20" i="9"/>
  <c r="BA20" i="9"/>
  <c r="AZ20" i="9"/>
  <c r="AP20" i="9"/>
  <c r="AQ20" i="9" s="1"/>
  <c r="AN20" i="9"/>
  <c r="AM20" i="9"/>
  <c r="AC20" i="9"/>
  <c r="AB20" i="9"/>
  <c r="AA20" i="9"/>
  <c r="R20" i="9"/>
  <c r="Q20" i="9"/>
  <c r="P20" i="9"/>
  <c r="N20" i="9"/>
  <c r="S20" i="9" s="1"/>
  <c r="M20" i="9"/>
  <c r="R19" i="9"/>
  <c r="N19" i="9"/>
  <c r="M19" i="9"/>
  <c r="P18" i="9"/>
  <c r="O18" i="9"/>
  <c r="N18" i="9"/>
  <c r="M18" i="9"/>
  <c r="Q18" i="9" s="1"/>
  <c r="BD17" i="9"/>
  <c r="BC17" i="9"/>
  <c r="BB17" i="9"/>
  <c r="BA17" i="9"/>
  <c r="AZ17" i="9"/>
  <c r="AP17" i="9"/>
  <c r="AQ17" i="9" s="1"/>
  <c r="AR17" i="9" s="1"/>
  <c r="AN17" i="9"/>
  <c r="AM17" i="9"/>
  <c r="AC17" i="9"/>
  <c r="AB17" i="9"/>
  <c r="AA17" i="9"/>
  <c r="S17" i="9"/>
  <c r="Q17" i="9"/>
  <c r="P17" i="9"/>
  <c r="N17" i="9"/>
  <c r="M17" i="9"/>
  <c r="O17" i="9" s="1"/>
  <c r="BC16" i="9"/>
  <c r="BD16" i="9" s="1"/>
  <c r="BB16" i="9"/>
  <c r="BA16" i="9"/>
  <c r="AZ16" i="9"/>
  <c r="AP16" i="9"/>
  <c r="AQ16" i="9" s="1"/>
  <c r="AN16" i="9"/>
  <c r="AM16" i="9"/>
  <c r="AC16" i="9"/>
  <c r="AB16" i="9"/>
  <c r="AA16" i="9"/>
  <c r="O16" i="9"/>
  <c r="N16" i="9"/>
  <c r="M16" i="9"/>
  <c r="BD15" i="9"/>
  <c r="BC15" i="9"/>
  <c r="BB15" i="9"/>
  <c r="BA15" i="9"/>
  <c r="AZ15" i="9"/>
  <c r="AR15" i="9"/>
  <c r="AQ15" i="9"/>
  <c r="AP15" i="9"/>
  <c r="AN15" i="9"/>
  <c r="AM15" i="9"/>
  <c r="AC15" i="9"/>
  <c r="AB15" i="9"/>
  <c r="AA15" i="9"/>
  <c r="S15" i="9"/>
  <c r="R15" i="9"/>
  <c r="N15" i="9"/>
  <c r="M15" i="9"/>
  <c r="BC14" i="9"/>
  <c r="BD14" i="9" s="1"/>
  <c r="BB14" i="9"/>
  <c r="BA14" i="9"/>
  <c r="AZ14" i="9"/>
  <c r="AP14" i="9"/>
  <c r="AQ14" i="9" s="1"/>
  <c r="AN14" i="9"/>
  <c r="AM14" i="9"/>
  <c r="AC14" i="9"/>
  <c r="AB14" i="9"/>
  <c r="AA14" i="9"/>
  <c r="Q14" i="9"/>
  <c r="N14" i="9"/>
  <c r="M14" i="9"/>
  <c r="BD13" i="9"/>
  <c r="BC13" i="9"/>
  <c r="BB13" i="9"/>
  <c r="BA13" i="9"/>
  <c r="AZ13" i="9"/>
  <c r="AQ13" i="9"/>
  <c r="AP13" i="9"/>
  <c r="AN13" i="9"/>
  <c r="AM13" i="9"/>
  <c r="AC13" i="9"/>
  <c r="AB13" i="9"/>
  <c r="AA13" i="9"/>
  <c r="Q13" i="9"/>
  <c r="N13" i="9"/>
  <c r="M13" i="9"/>
  <c r="S12" i="9"/>
  <c r="R12" i="9"/>
  <c r="Q12" i="9"/>
  <c r="P12" i="9"/>
  <c r="O12" i="9"/>
  <c r="N12" i="9"/>
  <c r="M12" i="9"/>
  <c r="S11" i="9"/>
  <c r="R11" i="9"/>
  <c r="N11" i="9"/>
  <c r="M11" i="9"/>
  <c r="BC10" i="9"/>
  <c r="BD10" i="9" s="1"/>
  <c r="BB10" i="9"/>
  <c r="BA10" i="9"/>
  <c r="AZ10" i="9"/>
  <c r="AQ10" i="9"/>
  <c r="AP10" i="9"/>
  <c r="AN10" i="9"/>
  <c r="AM10" i="9"/>
  <c r="AC10" i="9"/>
  <c r="AB10" i="9"/>
  <c r="AA10" i="9"/>
  <c r="R10" i="9"/>
  <c r="O10" i="9"/>
  <c r="N10" i="9"/>
  <c r="M10" i="9"/>
  <c r="S10" i="9" s="1"/>
  <c r="BC9" i="9"/>
  <c r="BD9" i="9" s="1"/>
  <c r="BB9" i="9"/>
  <c r="BA9" i="9"/>
  <c r="AZ9" i="9"/>
  <c r="AR9" i="9"/>
  <c r="AP9" i="9"/>
  <c r="AQ9" i="9" s="1"/>
  <c r="AN9" i="9"/>
  <c r="AM9" i="9"/>
  <c r="AC9" i="9"/>
  <c r="AB9" i="9"/>
  <c r="AA9" i="9"/>
  <c r="S9" i="9"/>
  <c r="Q9" i="9"/>
  <c r="P9" i="9"/>
  <c r="O9" i="9"/>
  <c r="N9" i="9"/>
  <c r="R9" i="9" s="1"/>
  <c r="M9" i="9"/>
  <c r="BC8" i="9"/>
  <c r="BD8" i="9" s="1"/>
  <c r="BB8" i="9"/>
  <c r="BA8" i="9"/>
  <c r="AZ8" i="9"/>
  <c r="AQ8" i="9"/>
  <c r="AR8" i="9" s="1"/>
  <c r="AP8" i="9"/>
  <c r="AN8" i="9"/>
  <c r="AM8" i="9"/>
  <c r="AC8" i="9"/>
  <c r="AB8" i="9"/>
  <c r="AA8" i="9"/>
  <c r="N8" i="9"/>
  <c r="M8" i="9"/>
  <c r="S8" i="9" s="1"/>
  <c r="BD7" i="9"/>
  <c r="BC7" i="9"/>
  <c r="BB7" i="9"/>
  <c r="BA7" i="9"/>
  <c r="AZ7" i="9"/>
  <c r="AP7" i="9"/>
  <c r="AQ7" i="9" s="1"/>
  <c r="AN7" i="9"/>
  <c r="AM7" i="9"/>
  <c r="AC7" i="9"/>
  <c r="AB7" i="9"/>
  <c r="AA7" i="9"/>
  <c r="N7" i="9"/>
  <c r="M7" i="9"/>
  <c r="P7" i="9" s="1"/>
  <c r="BC6" i="9"/>
  <c r="BD6" i="9" s="1"/>
  <c r="BB6" i="9"/>
  <c r="BA6" i="9"/>
  <c r="AZ6" i="9"/>
  <c r="AR6" i="9"/>
  <c r="AP6" i="9"/>
  <c r="AQ6" i="9" s="1"/>
  <c r="AN6" i="9"/>
  <c r="AM6" i="9"/>
  <c r="AC6" i="9"/>
  <c r="AB6" i="9"/>
  <c r="AA6" i="9"/>
  <c r="S6" i="9"/>
  <c r="O6" i="9"/>
  <c r="N6" i="9"/>
  <c r="M6" i="9"/>
  <c r="N5" i="9"/>
  <c r="S5" i="9" s="1"/>
  <c r="M5" i="9"/>
  <c r="R5" i="9" s="1"/>
  <c r="S4" i="9"/>
  <c r="P4" i="9"/>
  <c r="O4" i="9"/>
  <c r="N4" i="9"/>
  <c r="M4" i="9"/>
  <c r="R4" i="9" s="1"/>
  <c r="AG83" i="8"/>
  <c r="AH83" i="8" s="1"/>
  <c r="AE83" i="8"/>
  <c r="AD83" i="8"/>
  <c r="AC83" i="8"/>
  <c r="AB83" i="8"/>
  <c r="R83" i="8"/>
  <c r="S83" i="8" s="1"/>
  <c r="P83" i="8"/>
  <c r="O83" i="8"/>
  <c r="N83" i="8"/>
  <c r="M83" i="8"/>
  <c r="AG82" i="8"/>
  <c r="AH82" i="8" s="1"/>
  <c r="AE82" i="8"/>
  <c r="AD82" i="8"/>
  <c r="AC82" i="8"/>
  <c r="AB82" i="8"/>
  <c r="R82" i="8"/>
  <c r="S82" i="8" s="1"/>
  <c r="P82" i="8"/>
  <c r="O82" i="8"/>
  <c r="N82" i="8"/>
  <c r="M82" i="8"/>
  <c r="AG81" i="8"/>
  <c r="AH81" i="8" s="1"/>
  <c r="AE81" i="8"/>
  <c r="AD81" i="8"/>
  <c r="AC81" i="8"/>
  <c r="AB81" i="8"/>
  <c r="R81" i="8"/>
  <c r="S81" i="8" s="1"/>
  <c r="P81" i="8"/>
  <c r="O81" i="8"/>
  <c r="N81" i="8"/>
  <c r="M81" i="8"/>
  <c r="AG80" i="8"/>
  <c r="AH80" i="8" s="1"/>
  <c r="AE80" i="8"/>
  <c r="AD80" i="8"/>
  <c r="AC80" i="8"/>
  <c r="AB80" i="8"/>
  <c r="R80" i="8"/>
  <c r="S80" i="8" s="1"/>
  <c r="P80" i="8"/>
  <c r="O80" i="8"/>
  <c r="N80" i="8"/>
  <c r="M80" i="8"/>
  <c r="AG79" i="8"/>
  <c r="AH79" i="8" s="1"/>
  <c r="AE79" i="8"/>
  <c r="AD79" i="8"/>
  <c r="AC79" i="8"/>
  <c r="AB79" i="8"/>
  <c r="R79" i="8"/>
  <c r="S79" i="8" s="1"/>
  <c r="P79" i="8"/>
  <c r="O79" i="8"/>
  <c r="N79" i="8"/>
  <c r="M79" i="8"/>
  <c r="AG78" i="8"/>
  <c r="AH78" i="8" s="1"/>
  <c r="AE78" i="8"/>
  <c r="AD78" i="8"/>
  <c r="AC78" i="8"/>
  <c r="AB78" i="8"/>
  <c r="R78" i="8"/>
  <c r="S78" i="8" s="1"/>
  <c r="P78" i="8"/>
  <c r="O78" i="8"/>
  <c r="N78" i="8"/>
  <c r="M78" i="8"/>
  <c r="AG77" i="8"/>
  <c r="AH77" i="8" s="1"/>
  <c r="AE77" i="8"/>
  <c r="AD77" i="8"/>
  <c r="AC77" i="8"/>
  <c r="AB77" i="8"/>
  <c r="R77" i="8"/>
  <c r="S77" i="8" s="1"/>
  <c r="P77" i="8"/>
  <c r="O77" i="8"/>
  <c r="N77" i="8"/>
  <c r="M77" i="8"/>
  <c r="AG76" i="8"/>
  <c r="AH76" i="8" s="1"/>
  <c r="AE76" i="8"/>
  <c r="AD76" i="8"/>
  <c r="AC76" i="8"/>
  <c r="AB76" i="8"/>
  <c r="R76" i="8"/>
  <c r="S76" i="8" s="1"/>
  <c r="P76" i="8"/>
  <c r="O76" i="8"/>
  <c r="N76" i="8"/>
  <c r="M76" i="8"/>
  <c r="AG75" i="8"/>
  <c r="AH75" i="8" s="1"/>
  <c r="AE75" i="8"/>
  <c r="AD75" i="8"/>
  <c r="AC75" i="8"/>
  <c r="AB75" i="8"/>
  <c r="R75" i="8"/>
  <c r="S75" i="8" s="1"/>
  <c r="P75" i="8"/>
  <c r="O75" i="8"/>
  <c r="N75" i="8"/>
  <c r="M75" i="8"/>
  <c r="AG74" i="8"/>
  <c r="AH74" i="8" s="1"/>
  <c r="AE74" i="8"/>
  <c r="AD74" i="8"/>
  <c r="AC74" i="8"/>
  <c r="AB74" i="8"/>
  <c r="R74" i="8"/>
  <c r="S74" i="8" s="1"/>
  <c r="P74" i="8"/>
  <c r="O74" i="8"/>
  <c r="N74" i="8"/>
  <c r="M74" i="8"/>
  <c r="AG73" i="8"/>
  <c r="AH73" i="8" s="1"/>
  <c r="AE73" i="8"/>
  <c r="AD73" i="8"/>
  <c r="AC73" i="8"/>
  <c r="AB73" i="8"/>
  <c r="R73" i="8"/>
  <c r="S73" i="8" s="1"/>
  <c r="P73" i="8"/>
  <c r="O73" i="8"/>
  <c r="N73" i="8"/>
  <c r="M73" i="8"/>
  <c r="AG72" i="8"/>
  <c r="AH72" i="8" s="1"/>
  <c r="AE72" i="8"/>
  <c r="AD72" i="8"/>
  <c r="AC72" i="8"/>
  <c r="AB72" i="8"/>
  <c r="R72" i="8"/>
  <c r="S72" i="8" s="1"/>
  <c r="P72" i="8"/>
  <c r="O72" i="8"/>
  <c r="N72" i="8"/>
  <c r="M72" i="8"/>
  <c r="AG71" i="8"/>
  <c r="AH71" i="8" s="1"/>
  <c r="AE71" i="8"/>
  <c r="AD71" i="8"/>
  <c r="AC71" i="8"/>
  <c r="AB71" i="8"/>
  <c r="R71" i="8"/>
  <c r="S71" i="8" s="1"/>
  <c r="P71" i="8"/>
  <c r="O71" i="8"/>
  <c r="N71" i="8"/>
  <c r="M71" i="8"/>
  <c r="AG70" i="8"/>
  <c r="AH70" i="8" s="1"/>
  <c r="AE70" i="8"/>
  <c r="AD70" i="8"/>
  <c r="AC70" i="8"/>
  <c r="AB70" i="8"/>
  <c r="R70" i="8"/>
  <c r="S70" i="8" s="1"/>
  <c r="P70" i="8"/>
  <c r="O70" i="8"/>
  <c r="N70" i="8"/>
  <c r="M70" i="8"/>
  <c r="AG69" i="8"/>
  <c r="AH69" i="8" s="1"/>
  <c r="AE69" i="8"/>
  <c r="AD69" i="8"/>
  <c r="AC69" i="8"/>
  <c r="AB69" i="8"/>
  <c r="R69" i="8"/>
  <c r="S69" i="8" s="1"/>
  <c r="P69" i="8"/>
  <c r="O69" i="8"/>
  <c r="N69" i="8"/>
  <c r="M69" i="8"/>
  <c r="AG68" i="8"/>
  <c r="AH68" i="8" s="1"/>
  <c r="AE68" i="8"/>
  <c r="AD68" i="8"/>
  <c r="AC68" i="8"/>
  <c r="AB68" i="8"/>
  <c r="R68" i="8"/>
  <c r="S68" i="8" s="1"/>
  <c r="P68" i="8"/>
  <c r="O68" i="8"/>
  <c r="N68" i="8"/>
  <c r="M68" i="8"/>
  <c r="AG67" i="8"/>
  <c r="AH67" i="8" s="1"/>
  <c r="AE67" i="8"/>
  <c r="AD67" i="8"/>
  <c r="AC67" i="8"/>
  <c r="AB67" i="8"/>
  <c r="R67" i="8"/>
  <c r="S67" i="8" s="1"/>
  <c r="P67" i="8"/>
  <c r="O67" i="8"/>
  <c r="N67" i="8"/>
  <c r="M67" i="8"/>
  <c r="AG66" i="8"/>
  <c r="AH66" i="8" s="1"/>
  <c r="AE66" i="8"/>
  <c r="AD66" i="8"/>
  <c r="AC66" i="8"/>
  <c r="AB66" i="8"/>
  <c r="R66" i="8"/>
  <c r="S66" i="8" s="1"/>
  <c r="P66" i="8"/>
  <c r="O66" i="8"/>
  <c r="N66" i="8"/>
  <c r="M66" i="8"/>
  <c r="AG65" i="8"/>
  <c r="AH65" i="8" s="1"/>
  <c r="AE65" i="8"/>
  <c r="AD65" i="8"/>
  <c r="AC65" i="8"/>
  <c r="AB65" i="8"/>
  <c r="R65" i="8"/>
  <c r="S65" i="8" s="1"/>
  <c r="P65" i="8"/>
  <c r="O65" i="8"/>
  <c r="N65" i="8"/>
  <c r="M65" i="8"/>
  <c r="AG64" i="8"/>
  <c r="AH64" i="8" s="1"/>
  <c r="AE64" i="8"/>
  <c r="AD64" i="8"/>
  <c r="AC64" i="8"/>
  <c r="AB64" i="8"/>
  <c r="R64" i="8"/>
  <c r="S64" i="8" s="1"/>
  <c r="P64" i="8"/>
  <c r="O64" i="8"/>
  <c r="N64" i="8"/>
  <c r="M64" i="8"/>
  <c r="AG63" i="8"/>
  <c r="AH63" i="8" s="1"/>
  <c r="AE63" i="8"/>
  <c r="AD63" i="8"/>
  <c r="AC63" i="8"/>
  <c r="AB63" i="8"/>
  <c r="R63" i="8"/>
  <c r="S63" i="8" s="1"/>
  <c r="P63" i="8"/>
  <c r="O63" i="8"/>
  <c r="N63" i="8"/>
  <c r="M63" i="8"/>
  <c r="AG62" i="8"/>
  <c r="AH62" i="8" s="1"/>
  <c r="AE62" i="8"/>
  <c r="AD62" i="8"/>
  <c r="AC62" i="8"/>
  <c r="AB62" i="8"/>
  <c r="R62" i="8"/>
  <c r="S62" i="8" s="1"/>
  <c r="P62" i="8"/>
  <c r="O62" i="8"/>
  <c r="N62" i="8"/>
  <c r="M62" i="8"/>
  <c r="AG61" i="8"/>
  <c r="AH61" i="8" s="1"/>
  <c r="AE61" i="8"/>
  <c r="AD61" i="8"/>
  <c r="AC61" i="8"/>
  <c r="AB61" i="8"/>
  <c r="R61" i="8"/>
  <c r="S61" i="8" s="1"/>
  <c r="P61" i="8"/>
  <c r="O61" i="8"/>
  <c r="N61" i="8"/>
  <c r="M61" i="8"/>
  <c r="AG60" i="8"/>
  <c r="AH60" i="8" s="1"/>
  <c r="AE60" i="8"/>
  <c r="AD60" i="8"/>
  <c r="AC60" i="8"/>
  <c r="AB60" i="8"/>
  <c r="R60" i="8"/>
  <c r="S60" i="8" s="1"/>
  <c r="P60" i="8"/>
  <c r="O60" i="8"/>
  <c r="N60" i="8"/>
  <c r="M60" i="8"/>
  <c r="AG59" i="8"/>
  <c r="AH59" i="8" s="1"/>
  <c r="AE59" i="8"/>
  <c r="AD59" i="8"/>
  <c r="AC59" i="8"/>
  <c r="AB59" i="8"/>
  <c r="R59" i="8"/>
  <c r="S59" i="8" s="1"/>
  <c r="P59" i="8"/>
  <c r="O59" i="8"/>
  <c r="N59" i="8"/>
  <c r="M59" i="8"/>
  <c r="AG58" i="8"/>
  <c r="AH58" i="8" s="1"/>
  <c r="AE58" i="8"/>
  <c r="AD58" i="8"/>
  <c r="AC58" i="8"/>
  <c r="AB58" i="8"/>
  <c r="R58" i="8"/>
  <c r="S58" i="8" s="1"/>
  <c r="P58" i="8"/>
  <c r="O58" i="8"/>
  <c r="N58" i="8"/>
  <c r="M58" i="8"/>
  <c r="AG57" i="8"/>
  <c r="AH57" i="8" s="1"/>
  <c r="AE57" i="8"/>
  <c r="AD57" i="8"/>
  <c r="AC57" i="8"/>
  <c r="AB57" i="8"/>
  <c r="R57" i="8"/>
  <c r="S57" i="8" s="1"/>
  <c r="P57" i="8"/>
  <c r="O57" i="8"/>
  <c r="N57" i="8"/>
  <c r="M57" i="8"/>
  <c r="AG56" i="8"/>
  <c r="AH56" i="8" s="1"/>
  <c r="AE56" i="8"/>
  <c r="AD56" i="8"/>
  <c r="AC56" i="8"/>
  <c r="AB56" i="8"/>
  <c r="R56" i="8"/>
  <c r="S56" i="8" s="1"/>
  <c r="P56" i="8"/>
  <c r="O56" i="8"/>
  <c r="N56" i="8"/>
  <c r="M56" i="8"/>
  <c r="AG55" i="8"/>
  <c r="AH55" i="8" s="1"/>
  <c r="AE55" i="8"/>
  <c r="AD55" i="8"/>
  <c r="AC55" i="8"/>
  <c r="AB55" i="8"/>
  <c r="R55" i="8"/>
  <c r="S55" i="8" s="1"/>
  <c r="P55" i="8"/>
  <c r="O55" i="8"/>
  <c r="N55" i="8"/>
  <c r="M55" i="8"/>
  <c r="AG54" i="8"/>
  <c r="AH54" i="8" s="1"/>
  <c r="AE54" i="8"/>
  <c r="AD54" i="8"/>
  <c r="AC54" i="8"/>
  <c r="AB54" i="8"/>
  <c r="R54" i="8"/>
  <c r="S54" i="8" s="1"/>
  <c r="P54" i="8"/>
  <c r="O54" i="8"/>
  <c r="N54" i="8"/>
  <c r="M54" i="8"/>
  <c r="AG53" i="8"/>
  <c r="AH53" i="8" s="1"/>
  <c r="AE53" i="8"/>
  <c r="AD53" i="8"/>
  <c r="AC53" i="8"/>
  <c r="AB53" i="8"/>
  <c r="R53" i="8"/>
  <c r="S53" i="8" s="1"/>
  <c r="P53" i="8"/>
  <c r="O53" i="8"/>
  <c r="N53" i="8"/>
  <c r="M53" i="8"/>
  <c r="AG52" i="8"/>
  <c r="AH52" i="8" s="1"/>
  <c r="AE52" i="8"/>
  <c r="AD52" i="8"/>
  <c r="AC52" i="8"/>
  <c r="AB52" i="8"/>
  <c r="R52" i="8"/>
  <c r="S52" i="8" s="1"/>
  <c r="P52" i="8"/>
  <c r="O52" i="8"/>
  <c r="N52" i="8"/>
  <c r="M52" i="8"/>
  <c r="AG51" i="8"/>
  <c r="AH51" i="8" s="1"/>
  <c r="AE51" i="8"/>
  <c r="AD51" i="8"/>
  <c r="AC51" i="8"/>
  <c r="AB51" i="8"/>
  <c r="R51" i="8"/>
  <c r="S51" i="8" s="1"/>
  <c r="P51" i="8"/>
  <c r="O51" i="8"/>
  <c r="N51" i="8"/>
  <c r="M51" i="8"/>
  <c r="AG50" i="8"/>
  <c r="AH50" i="8" s="1"/>
  <c r="AE50" i="8"/>
  <c r="AD50" i="8"/>
  <c r="AC50" i="8"/>
  <c r="AB50" i="8"/>
  <c r="R50" i="8"/>
  <c r="S50" i="8" s="1"/>
  <c r="P50" i="8"/>
  <c r="O50" i="8"/>
  <c r="N50" i="8"/>
  <c r="M50" i="8"/>
  <c r="AG49" i="8"/>
  <c r="AH49" i="8" s="1"/>
  <c r="AE49" i="8"/>
  <c r="AD49" i="8"/>
  <c r="AC49" i="8"/>
  <c r="AB49" i="8"/>
  <c r="R49" i="8"/>
  <c r="S49" i="8" s="1"/>
  <c r="P49" i="8"/>
  <c r="O49" i="8"/>
  <c r="N49" i="8"/>
  <c r="M49" i="8"/>
  <c r="BE38" i="8"/>
  <c r="BF38" i="8" s="1"/>
  <c r="BD38" i="8"/>
  <c r="BC38" i="8"/>
  <c r="BB38" i="8"/>
  <c r="AR38" i="8"/>
  <c r="AS38" i="8" s="1"/>
  <c r="AP38" i="8"/>
  <c r="AO38" i="8"/>
  <c r="AN38" i="8"/>
  <c r="AD38" i="8"/>
  <c r="AE38" i="8" s="1"/>
  <c r="AC38" i="8"/>
  <c r="AB38" i="8"/>
  <c r="AA38" i="8"/>
  <c r="R38" i="8"/>
  <c r="S38" i="8" s="1"/>
  <c r="Q38" i="8"/>
  <c r="P38" i="8"/>
  <c r="O38" i="8"/>
  <c r="N38" i="8"/>
  <c r="M38" i="8"/>
  <c r="BE37" i="8"/>
  <c r="BF37" i="8" s="1"/>
  <c r="BD37" i="8"/>
  <c r="BC37" i="8"/>
  <c r="BB37" i="8"/>
  <c r="AR37" i="8"/>
  <c r="AS37" i="8" s="1"/>
  <c r="AP37" i="8"/>
  <c r="AO37" i="8"/>
  <c r="AN37" i="8"/>
  <c r="AD37" i="8"/>
  <c r="AE37" i="8" s="1"/>
  <c r="AC37" i="8"/>
  <c r="AB37" i="8"/>
  <c r="AA37" i="8"/>
  <c r="R37" i="8"/>
  <c r="S37" i="8" s="1"/>
  <c r="Q37" i="8"/>
  <c r="P37" i="8"/>
  <c r="O37" i="8"/>
  <c r="N37" i="8"/>
  <c r="M37" i="8"/>
  <c r="BE36" i="8"/>
  <c r="BF36" i="8" s="1"/>
  <c r="BD36" i="8"/>
  <c r="BC36" i="8"/>
  <c r="BB36" i="8"/>
  <c r="AR36" i="8"/>
  <c r="AS36" i="8" s="1"/>
  <c r="AP36" i="8"/>
  <c r="AO36" i="8"/>
  <c r="AN36" i="8"/>
  <c r="AD36" i="8"/>
  <c r="AE36" i="8" s="1"/>
  <c r="AC36" i="8"/>
  <c r="AB36" i="8"/>
  <c r="AA36" i="8"/>
  <c r="R36" i="8"/>
  <c r="S36" i="8" s="1"/>
  <c r="Q36" i="8"/>
  <c r="P36" i="8"/>
  <c r="O36" i="8"/>
  <c r="N36" i="8"/>
  <c r="M36" i="8"/>
  <c r="BE35" i="8"/>
  <c r="BF35" i="8" s="1"/>
  <c r="BD35" i="8"/>
  <c r="BC35" i="8"/>
  <c r="BB35" i="8"/>
  <c r="AR35" i="8"/>
  <c r="AS35" i="8" s="1"/>
  <c r="AP35" i="8"/>
  <c r="AO35" i="8"/>
  <c r="AN35" i="8"/>
  <c r="AD35" i="8"/>
  <c r="AE35" i="8" s="1"/>
  <c r="AC35" i="8"/>
  <c r="AB35" i="8"/>
  <c r="AA35" i="8"/>
  <c r="R35" i="8"/>
  <c r="S35" i="8" s="1"/>
  <c r="Q35" i="8"/>
  <c r="P35" i="8"/>
  <c r="O35" i="8"/>
  <c r="N35" i="8"/>
  <c r="M35" i="8"/>
  <c r="BE34" i="8"/>
  <c r="BF34" i="8" s="1"/>
  <c r="BD34" i="8"/>
  <c r="BC34" i="8"/>
  <c r="BB34" i="8"/>
  <c r="AR34" i="8"/>
  <c r="AS34" i="8" s="1"/>
  <c r="AP34" i="8"/>
  <c r="AO34" i="8"/>
  <c r="AN34" i="8"/>
  <c r="AD34" i="8"/>
  <c r="AE34" i="8" s="1"/>
  <c r="AC34" i="8"/>
  <c r="AB34" i="8"/>
  <c r="AA34" i="8"/>
  <c r="R34" i="8"/>
  <c r="S34" i="8" s="1"/>
  <c r="Q34" i="8"/>
  <c r="P34" i="8"/>
  <c r="O34" i="8"/>
  <c r="N34" i="8"/>
  <c r="M34" i="8"/>
  <c r="BE33" i="8"/>
  <c r="BF33" i="8" s="1"/>
  <c r="BD33" i="8"/>
  <c r="BC33" i="8"/>
  <c r="BB33" i="8"/>
  <c r="AR33" i="8"/>
  <c r="AS33" i="8" s="1"/>
  <c r="AP33" i="8"/>
  <c r="AO33" i="8"/>
  <c r="AN33" i="8"/>
  <c r="AD33" i="8"/>
  <c r="AE33" i="8" s="1"/>
  <c r="AC33" i="8"/>
  <c r="AB33" i="8"/>
  <c r="AA33" i="8"/>
  <c r="R33" i="8"/>
  <c r="S33" i="8" s="1"/>
  <c r="Q33" i="8"/>
  <c r="P33" i="8"/>
  <c r="O33" i="8"/>
  <c r="N33" i="8"/>
  <c r="M33" i="8"/>
  <c r="BE32" i="8"/>
  <c r="BF32" i="8" s="1"/>
  <c r="BD32" i="8"/>
  <c r="BC32" i="8"/>
  <c r="BB32" i="8"/>
  <c r="AR32" i="8"/>
  <c r="AS32" i="8" s="1"/>
  <c r="AP32" i="8"/>
  <c r="AO32" i="8"/>
  <c r="AN32" i="8"/>
  <c r="AD32" i="8"/>
  <c r="AE32" i="8" s="1"/>
  <c r="AC32" i="8"/>
  <c r="AB32" i="8"/>
  <c r="AA32" i="8"/>
  <c r="R32" i="8"/>
  <c r="S32" i="8" s="1"/>
  <c r="Q32" i="8"/>
  <c r="P32" i="8"/>
  <c r="O32" i="8"/>
  <c r="N32" i="8"/>
  <c r="M32" i="8"/>
  <c r="BE31" i="8"/>
  <c r="BF31" i="8" s="1"/>
  <c r="BD31" i="8"/>
  <c r="BC31" i="8"/>
  <c r="BB31" i="8"/>
  <c r="AR31" i="8"/>
  <c r="AS31" i="8" s="1"/>
  <c r="AP31" i="8"/>
  <c r="AO31" i="8"/>
  <c r="AN31" i="8"/>
  <c r="AD31" i="8"/>
  <c r="AE31" i="8" s="1"/>
  <c r="AC31" i="8"/>
  <c r="AB31" i="8"/>
  <c r="AA31" i="8"/>
  <c r="R31" i="8"/>
  <c r="S31" i="8" s="1"/>
  <c r="Q31" i="8"/>
  <c r="P31" i="8"/>
  <c r="O31" i="8"/>
  <c r="N31" i="8"/>
  <c r="M31" i="8"/>
  <c r="BE30" i="8"/>
  <c r="BF30" i="8" s="1"/>
  <c r="BD30" i="8"/>
  <c r="BC30" i="8"/>
  <c r="BB30" i="8"/>
  <c r="AR30" i="8"/>
  <c r="AS30" i="8" s="1"/>
  <c r="AP30" i="8"/>
  <c r="AO30" i="8"/>
  <c r="AN30" i="8"/>
  <c r="AD30" i="8"/>
  <c r="AE30" i="8" s="1"/>
  <c r="AC30" i="8"/>
  <c r="AB30" i="8"/>
  <c r="AA30" i="8"/>
  <c r="R30" i="8"/>
  <c r="S30" i="8" s="1"/>
  <c r="Q30" i="8"/>
  <c r="P30" i="8"/>
  <c r="O30" i="8"/>
  <c r="N30" i="8"/>
  <c r="M30" i="8"/>
  <c r="BE29" i="8"/>
  <c r="BF29" i="8" s="1"/>
  <c r="BD29" i="8"/>
  <c r="BC29" i="8"/>
  <c r="BB29" i="8"/>
  <c r="AR29" i="8"/>
  <c r="AS29" i="8" s="1"/>
  <c r="AP29" i="8"/>
  <c r="AO29" i="8"/>
  <c r="AN29" i="8"/>
  <c r="AD29" i="8"/>
  <c r="AE29" i="8" s="1"/>
  <c r="AC29" i="8"/>
  <c r="AB29" i="8"/>
  <c r="AA29" i="8"/>
  <c r="R29" i="8"/>
  <c r="S29" i="8" s="1"/>
  <c r="Q29" i="8"/>
  <c r="P29" i="8"/>
  <c r="O29" i="8"/>
  <c r="N29" i="8"/>
  <c r="M29" i="8"/>
  <c r="BE28" i="8"/>
  <c r="BF28" i="8" s="1"/>
  <c r="BD28" i="8"/>
  <c r="BC28" i="8"/>
  <c r="BB28" i="8"/>
  <c r="AR28" i="8"/>
  <c r="AS28" i="8" s="1"/>
  <c r="AP28" i="8"/>
  <c r="AO28" i="8"/>
  <c r="AN28" i="8"/>
  <c r="AD28" i="8"/>
  <c r="AE28" i="8" s="1"/>
  <c r="AC28" i="8"/>
  <c r="AB28" i="8"/>
  <c r="AA28" i="8"/>
  <c r="R28" i="8"/>
  <c r="S28" i="8" s="1"/>
  <c r="Q28" i="8"/>
  <c r="P28" i="8"/>
  <c r="O28" i="8"/>
  <c r="N28" i="8"/>
  <c r="M28" i="8"/>
  <c r="BE27" i="8"/>
  <c r="BF27" i="8" s="1"/>
  <c r="BD27" i="8"/>
  <c r="BC27" i="8"/>
  <c r="BB27" i="8"/>
  <c r="AR27" i="8"/>
  <c r="AS27" i="8" s="1"/>
  <c r="AP27" i="8"/>
  <c r="AO27" i="8"/>
  <c r="AN27" i="8"/>
  <c r="AD27" i="8"/>
  <c r="AE27" i="8" s="1"/>
  <c r="AC27" i="8"/>
  <c r="AB27" i="8"/>
  <c r="AA27" i="8"/>
  <c r="R27" i="8"/>
  <c r="S27" i="8" s="1"/>
  <c r="Q27" i="8"/>
  <c r="P27" i="8"/>
  <c r="O27" i="8"/>
  <c r="N27" i="8"/>
  <c r="M27" i="8"/>
  <c r="BE26" i="8"/>
  <c r="BF26" i="8" s="1"/>
  <c r="BD26" i="8"/>
  <c r="BC26" i="8"/>
  <c r="BB26" i="8"/>
  <c r="AR26" i="8"/>
  <c r="AS26" i="8" s="1"/>
  <c r="AP26" i="8"/>
  <c r="AO26" i="8"/>
  <c r="AN26" i="8"/>
  <c r="AD26" i="8"/>
  <c r="AE26" i="8" s="1"/>
  <c r="AC26" i="8"/>
  <c r="AB26" i="8"/>
  <c r="AA26" i="8"/>
  <c r="R26" i="8"/>
  <c r="S26" i="8" s="1"/>
  <c r="Q26" i="8"/>
  <c r="P26" i="8"/>
  <c r="O26" i="8"/>
  <c r="N26" i="8"/>
  <c r="M26" i="8"/>
  <c r="BE25" i="8"/>
  <c r="BF25" i="8" s="1"/>
  <c r="BD25" i="8"/>
  <c r="BC25" i="8"/>
  <c r="BB25" i="8"/>
  <c r="AR25" i="8"/>
  <c r="AS25" i="8" s="1"/>
  <c r="AP25" i="8"/>
  <c r="AO25" i="8"/>
  <c r="AN25" i="8"/>
  <c r="AD25" i="8"/>
  <c r="AE25" i="8" s="1"/>
  <c r="AC25" i="8"/>
  <c r="AB25" i="8"/>
  <c r="AA25" i="8"/>
  <c r="R25" i="8"/>
  <c r="S25" i="8" s="1"/>
  <c r="Q25" i="8"/>
  <c r="P25" i="8"/>
  <c r="O25" i="8"/>
  <c r="N25" i="8"/>
  <c r="M25" i="8"/>
  <c r="BE24" i="8"/>
  <c r="BF24" i="8" s="1"/>
  <c r="BD24" i="8"/>
  <c r="BC24" i="8"/>
  <c r="BB24" i="8"/>
  <c r="AR24" i="8"/>
  <c r="AS24" i="8" s="1"/>
  <c r="AP24" i="8"/>
  <c r="AO24" i="8"/>
  <c r="AN24" i="8"/>
  <c r="AD24" i="8"/>
  <c r="AE24" i="8" s="1"/>
  <c r="AC24" i="8"/>
  <c r="AB24" i="8"/>
  <c r="AA24" i="8"/>
  <c r="R24" i="8"/>
  <c r="S24" i="8" s="1"/>
  <c r="Q24" i="8"/>
  <c r="P24" i="8"/>
  <c r="O24" i="8"/>
  <c r="N24" i="8"/>
  <c r="M24" i="8"/>
  <c r="BE23" i="8"/>
  <c r="BF23" i="8" s="1"/>
  <c r="BD23" i="8"/>
  <c r="BC23" i="8"/>
  <c r="BB23" i="8"/>
  <c r="AR23" i="8"/>
  <c r="AS23" i="8" s="1"/>
  <c r="AP23" i="8"/>
  <c r="AO23" i="8"/>
  <c r="AN23" i="8"/>
  <c r="AD23" i="8"/>
  <c r="AE23" i="8" s="1"/>
  <c r="AC23" i="8"/>
  <c r="AB23" i="8"/>
  <c r="AA23" i="8"/>
  <c r="R23" i="8"/>
  <c r="S23" i="8" s="1"/>
  <c r="Q23" i="8"/>
  <c r="P23" i="8"/>
  <c r="O23" i="8"/>
  <c r="N23" i="8"/>
  <c r="M23" i="8"/>
  <c r="BE22" i="8"/>
  <c r="BF22" i="8" s="1"/>
  <c r="BD22" i="8"/>
  <c r="BC22" i="8"/>
  <c r="BB22" i="8"/>
  <c r="AR22" i="8"/>
  <c r="AS22" i="8" s="1"/>
  <c r="AP22" i="8"/>
  <c r="AO22" i="8"/>
  <c r="AN22" i="8"/>
  <c r="AD22" i="8"/>
  <c r="AE22" i="8" s="1"/>
  <c r="AC22" i="8"/>
  <c r="AB22" i="8"/>
  <c r="AA22" i="8"/>
  <c r="R22" i="8"/>
  <c r="S22" i="8" s="1"/>
  <c r="Q22" i="8"/>
  <c r="P22" i="8"/>
  <c r="O22" i="8"/>
  <c r="N22" i="8"/>
  <c r="M22" i="8"/>
  <c r="BE21" i="8"/>
  <c r="BF21" i="8" s="1"/>
  <c r="BD21" i="8"/>
  <c r="BC21" i="8"/>
  <c r="BB21" i="8"/>
  <c r="AR21" i="8"/>
  <c r="AS21" i="8" s="1"/>
  <c r="AP21" i="8"/>
  <c r="AO21" i="8"/>
  <c r="AN21" i="8"/>
  <c r="AD21" i="8"/>
  <c r="AE21" i="8" s="1"/>
  <c r="AC21" i="8"/>
  <c r="AB21" i="8"/>
  <c r="AA21" i="8"/>
  <c r="R21" i="8"/>
  <c r="S21" i="8" s="1"/>
  <c r="Q21" i="8"/>
  <c r="P21" i="8"/>
  <c r="O21" i="8"/>
  <c r="N21" i="8"/>
  <c r="M21" i="8"/>
  <c r="BE20" i="8"/>
  <c r="BF20" i="8" s="1"/>
  <c r="BD20" i="8"/>
  <c r="BC20" i="8"/>
  <c r="BB20" i="8"/>
  <c r="AR20" i="8"/>
  <c r="AS20" i="8" s="1"/>
  <c r="AP20" i="8"/>
  <c r="AO20" i="8"/>
  <c r="AN20" i="8"/>
  <c r="AD20" i="8"/>
  <c r="AE20" i="8" s="1"/>
  <c r="AC20" i="8"/>
  <c r="AB20" i="8"/>
  <c r="AA20" i="8"/>
  <c r="R20" i="8"/>
  <c r="S20" i="8" s="1"/>
  <c r="Q20" i="8"/>
  <c r="P20" i="8"/>
  <c r="O20" i="8"/>
  <c r="N20" i="8"/>
  <c r="M20" i="8"/>
  <c r="BE19" i="8"/>
  <c r="BF19" i="8" s="1"/>
  <c r="BD19" i="8"/>
  <c r="BC19" i="8"/>
  <c r="BB19" i="8"/>
  <c r="AR19" i="8"/>
  <c r="AS19" i="8" s="1"/>
  <c r="AP19" i="8"/>
  <c r="AO19" i="8"/>
  <c r="AN19" i="8"/>
  <c r="AD19" i="8"/>
  <c r="AE19" i="8" s="1"/>
  <c r="AC19" i="8"/>
  <c r="AB19" i="8"/>
  <c r="AA19" i="8"/>
  <c r="R19" i="8"/>
  <c r="S19" i="8" s="1"/>
  <c r="Q19" i="8"/>
  <c r="P19" i="8"/>
  <c r="O19" i="8"/>
  <c r="N19" i="8"/>
  <c r="M19" i="8"/>
  <c r="BE18" i="8"/>
  <c r="BF18" i="8" s="1"/>
  <c r="BD18" i="8"/>
  <c r="BC18" i="8"/>
  <c r="BB18" i="8"/>
  <c r="AR18" i="8"/>
  <c r="AS18" i="8" s="1"/>
  <c r="AP18" i="8"/>
  <c r="AO18" i="8"/>
  <c r="AN18" i="8"/>
  <c r="AD18" i="8"/>
  <c r="AE18" i="8" s="1"/>
  <c r="AC18" i="8"/>
  <c r="AB18" i="8"/>
  <c r="AA18" i="8"/>
  <c r="R18" i="8"/>
  <c r="S18" i="8" s="1"/>
  <c r="Q18" i="8"/>
  <c r="P18" i="8"/>
  <c r="O18" i="8"/>
  <c r="N18" i="8"/>
  <c r="M18" i="8"/>
  <c r="BE17" i="8"/>
  <c r="BF17" i="8" s="1"/>
  <c r="BD17" i="8"/>
  <c r="BC17" i="8"/>
  <c r="BB17" i="8"/>
  <c r="AR17" i="8"/>
  <c r="AS17" i="8" s="1"/>
  <c r="AP17" i="8"/>
  <c r="AO17" i="8"/>
  <c r="AN17" i="8"/>
  <c r="AD17" i="8"/>
  <c r="AE17" i="8" s="1"/>
  <c r="AC17" i="8"/>
  <c r="AB17" i="8"/>
  <c r="AA17" i="8"/>
  <c r="R17" i="8"/>
  <c r="S17" i="8" s="1"/>
  <c r="Q17" i="8"/>
  <c r="P17" i="8"/>
  <c r="O17" i="8"/>
  <c r="N17" i="8"/>
  <c r="M17" i="8"/>
  <c r="BE16" i="8"/>
  <c r="BF16" i="8" s="1"/>
  <c r="BD16" i="8"/>
  <c r="BC16" i="8"/>
  <c r="BB16" i="8"/>
  <c r="AR16" i="8"/>
  <c r="AS16" i="8" s="1"/>
  <c r="AP16" i="8"/>
  <c r="AO16" i="8"/>
  <c r="AN16" i="8"/>
  <c r="AD16" i="8"/>
  <c r="AE16" i="8" s="1"/>
  <c r="AC16" i="8"/>
  <c r="AB16" i="8"/>
  <c r="AA16" i="8"/>
  <c r="R16" i="8"/>
  <c r="S16" i="8" s="1"/>
  <c r="Q16" i="8"/>
  <c r="P16" i="8"/>
  <c r="O16" i="8"/>
  <c r="N16" i="8"/>
  <c r="M16" i="8"/>
  <c r="BE15" i="8"/>
  <c r="BF15" i="8" s="1"/>
  <c r="BD15" i="8"/>
  <c r="BC15" i="8"/>
  <c r="BB15" i="8"/>
  <c r="AR15" i="8"/>
  <c r="AS15" i="8" s="1"/>
  <c r="AP15" i="8"/>
  <c r="AO15" i="8"/>
  <c r="AN15" i="8"/>
  <c r="AD15" i="8"/>
  <c r="AE15" i="8" s="1"/>
  <c r="AC15" i="8"/>
  <c r="AB15" i="8"/>
  <c r="AA15" i="8"/>
  <c r="R15" i="8"/>
  <c r="S15" i="8" s="1"/>
  <c r="Q15" i="8"/>
  <c r="P15" i="8"/>
  <c r="O15" i="8"/>
  <c r="N15" i="8"/>
  <c r="M15" i="8"/>
  <c r="BE14" i="8"/>
  <c r="BF14" i="8" s="1"/>
  <c r="BD14" i="8"/>
  <c r="BC14" i="8"/>
  <c r="BB14" i="8"/>
  <c r="AR14" i="8"/>
  <c r="AS14" i="8" s="1"/>
  <c r="AP14" i="8"/>
  <c r="AO14" i="8"/>
  <c r="AN14" i="8"/>
  <c r="AD14" i="8"/>
  <c r="AE14" i="8" s="1"/>
  <c r="AC14" i="8"/>
  <c r="AB14" i="8"/>
  <c r="AA14" i="8"/>
  <c r="R14" i="8"/>
  <c r="S14" i="8" s="1"/>
  <c r="Q14" i="8"/>
  <c r="P14" i="8"/>
  <c r="O14" i="8"/>
  <c r="N14" i="8"/>
  <c r="M14" i="8"/>
  <c r="BE13" i="8"/>
  <c r="BF13" i="8" s="1"/>
  <c r="BD13" i="8"/>
  <c r="BC13" i="8"/>
  <c r="BB13" i="8"/>
  <c r="AR13" i="8"/>
  <c r="AS13" i="8" s="1"/>
  <c r="AP13" i="8"/>
  <c r="AO13" i="8"/>
  <c r="AN13" i="8"/>
  <c r="AD13" i="8"/>
  <c r="AE13" i="8" s="1"/>
  <c r="AC13" i="8"/>
  <c r="AB13" i="8"/>
  <c r="AA13" i="8"/>
  <c r="R13" i="8"/>
  <c r="S13" i="8" s="1"/>
  <c r="Q13" i="8"/>
  <c r="P13" i="8"/>
  <c r="O13" i="8"/>
  <c r="N13" i="8"/>
  <c r="M13" i="8"/>
  <c r="BE12" i="8"/>
  <c r="BF12" i="8" s="1"/>
  <c r="BD12" i="8"/>
  <c r="BC12" i="8"/>
  <c r="BB12" i="8"/>
  <c r="AR12" i="8"/>
  <c r="AS12" i="8" s="1"/>
  <c r="AP12" i="8"/>
  <c r="AO12" i="8"/>
  <c r="AN12" i="8"/>
  <c r="AD12" i="8"/>
  <c r="AE12" i="8" s="1"/>
  <c r="AC12" i="8"/>
  <c r="AB12" i="8"/>
  <c r="AA12" i="8"/>
  <c r="R12" i="8"/>
  <c r="S12" i="8" s="1"/>
  <c r="Q12" i="8"/>
  <c r="P12" i="8"/>
  <c r="O12" i="8"/>
  <c r="N12" i="8"/>
  <c r="M12" i="8"/>
  <c r="BE11" i="8"/>
  <c r="BF11" i="8" s="1"/>
  <c r="BD11" i="8"/>
  <c r="BC11" i="8"/>
  <c r="BB11" i="8"/>
  <c r="AR11" i="8"/>
  <c r="AS11" i="8" s="1"/>
  <c r="AP11" i="8"/>
  <c r="AO11" i="8"/>
  <c r="AN11" i="8"/>
  <c r="AD11" i="8"/>
  <c r="AE11" i="8" s="1"/>
  <c r="AC11" i="8"/>
  <c r="AB11" i="8"/>
  <c r="AA11" i="8"/>
  <c r="R11" i="8"/>
  <c r="S11" i="8" s="1"/>
  <c r="Q11" i="8"/>
  <c r="P11" i="8"/>
  <c r="O11" i="8"/>
  <c r="N11" i="8"/>
  <c r="M11" i="8"/>
  <c r="BE10" i="8"/>
  <c r="BF10" i="8" s="1"/>
  <c r="BD10" i="8"/>
  <c r="BC10" i="8"/>
  <c r="BB10" i="8"/>
  <c r="AR10" i="8"/>
  <c r="AS10" i="8" s="1"/>
  <c r="AP10" i="8"/>
  <c r="AO10" i="8"/>
  <c r="AN10" i="8"/>
  <c r="AD10" i="8"/>
  <c r="AE10" i="8" s="1"/>
  <c r="AC10" i="8"/>
  <c r="AB10" i="8"/>
  <c r="AA10" i="8"/>
  <c r="R10" i="8"/>
  <c r="S10" i="8" s="1"/>
  <c r="Q10" i="8"/>
  <c r="P10" i="8"/>
  <c r="O10" i="8"/>
  <c r="N10" i="8"/>
  <c r="M10" i="8"/>
  <c r="BE9" i="8"/>
  <c r="BF9" i="8" s="1"/>
  <c r="BD9" i="8"/>
  <c r="BC9" i="8"/>
  <c r="BB9" i="8"/>
  <c r="AR9" i="8"/>
  <c r="AS9" i="8" s="1"/>
  <c r="AP9" i="8"/>
  <c r="AO9" i="8"/>
  <c r="AN9" i="8"/>
  <c r="AD9" i="8"/>
  <c r="AE9" i="8" s="1"/>
  <c r="AC9" i="8"/>
  <c r="AB9" i="8"/>
  <c r="AA9" i="8"/>
  <c r="R9" i="8"/>
  <c r="S9" i="8" s="1"/>
  <c r="Q9" i="8"/>
  <c r="P9" i="8"/>
  <c r="O9" i="8"/>
  <c r="N9" i="8"/>
  <c r="M9" i="8"/>
  <c r="BE8" i="8"/>
  <c r="BF8" i="8" s="1"/>
  <c r="BD8" i="8"/>
  <c r="BC8" i="8"/>
  <c r="BB8" i="8"/>
  <c r="AR8" i="8"/>
  <c r="AS8" i="8" s="1"/>
  <c r="AP8" i="8"/>
  <c r="AO8" i="8"/>
  <c r="AN8" i="8"/>
  <c r="AD8" i="8"/>
  <c r="AE8" i="8" s="1"/>
  <c r="AC8" i="8"/>
  <c r="AB8" i="8"/>
  <c r="AA8" i="8"/>
  <c r="R8" i="8"/>
  <c r="S8" i="8" s="1"/>
  <c r="Q8" i="8"/>
  <c r="P8" i="8"/>
  <c r="O8" i="8"/>
  <c r="N8" i="8"/>
  <c r="M8" i="8"/>
  <c r="BE7" i="8"/>
  <c r="BF7" i="8" s="1"/>
  <c r="BD7" i="8"/>
  <c r="BC7" i="8"/>
  <c r="BB7" i="8"/>
  <c r="AR7" i="8"/>
  <c r="AS7" i="8" s="1"/>
  <c r="AP7" i="8"/>
  <c r="AO7" i="8"/>
  <c r="AN7" i="8"/>
  <c r="AD7" i="8"/>
  <c r="AE7" i="8" s="1"/>
  <c r="AC7" i="8"/>
  <c r="AB7" i="8"/>
  <c r="AA7" i="8"/>
  <c r="R7" i="8"/>
  <c r="S7" i="8" s="1"/>
  <c r="Q7" i="8"/>
  <c r="P7" i="8"/>
  <c r="O7" i="8"/>
  <c r="N7" i="8"/>
  <c r="M7" i="8"/>
  <c r="BE6" i="8"/>
  <c r="BF6" i="8" s="1"/>
  <c r="BD6" i="8"/>
  <c r="BC6" i="8"/>
  <c r="BB6" i="8"/>
  <c r="AR6" i="8"/>
  <c r="AS6" i="8" s="1"/>
  <c r="AP6" i="8"/>
  <c r="AO6" i="8"/>
  <c r="AN6" i="8"/>
  <c r="AD6" i="8"/>
  <c r="AE6" i="8" s="1"/>
  <c r="AC6" i="8"/>
  <c r="AB6" i="8"/>
  <c r="AA6" i="8"/>
  <c r="R6" i="8"/>
  <c r="S6" i="8" s="1"/>
  <c r="Q6" i="8"/>
  <c r="P6" i="8"/>
  <c r="O6" i="8"/>
  <c r="N6" i="8"/>
  <c r="M6" i="8"/>
  <c r="BE5" i="8"/>
  <c r="BF5" i="8" s="1"/>
  <c r="BD5" i="8"/>
  <c r="BC5" i="8"/>
  <c r="BB5" i="8"/>
  <c r="AR5" i="8"/>
  <c r="AS5" i="8" s="1"/>
  <c r="AP5" i="8"/>
  <c r="AO5" i="8"/>
  <c r="AN5" i="8"/>
  <c r="AD5" i="8"/>
  <c r="AE5" i="8" s="1"/>
  <c r="AC5" i="8"/>
  <c r="AB5" i="8"/>
  <c r="AA5" i="8"/>
  <c r="R5" i="8"/>
  <c r="S5" i="8" s="1"/>
  <c r="Q5" i="8"/>
  <c r="P5" i="8"/>
  <c r="O5" i="8"/>
  <c r="N5" i="8"/>
  <c r="M5" i="8"/>
  <c r="BE4" i="8"/>
  <c r="BF4" i="8" s="1"/>
  <c r="BD4" i="8"/>
  <c r="BC4" i="8"/>
  <c r="BB4" i="8"/>
  <c r="AR4" i="8"/>
  <c r="AS4" i="8" s="1"/>
  <c r="AP4" i="8"/>
  <c r="AO4" i="8"/>
  <c r="AN4" i="8"/>
  <c r="AD4" i="8"/>
  <c r="AE4" i="8" s="1"/>
  <c r="AC4" i="8"/>
  <c r="AB4" i="8"/>
  <c r="AA4" i="8"/>
  <c r="R4" i="8"/>
  <c r="S4" i="8" s="1"/>
  <c r="Q4" i="8"/>
  <c r="P4" i="8"/>
  <c r="O4" i="8"/>
  <c r="N4" i="8"/>
  <c r="M4" i="8"/>
  <c r="AD84" i="8" l="1"/>
  <c r="AC84" i="8"/>
  <c r="O84" i="8"/>
  <c r="AN39" i="8"/>
  <c r="BD39" i="8"/>
  <c r="M84" i="8"/>
  <c r="AA39" i="8"/>
  <c r="AO39" i="8"/>
  <c r="AF3" i="10"/>
  <c r="AH3" i="10" s="1"/>
  <c r="AF4" i="10"/>
  <c r="H5" i="10"/>
  <c r="AN5" i="10"/>
  <c r="AG6" i="10"/>
  <c r="AH6" i="10" s="1"/>
  <c r="G7" i="10"/>
  <c r="I7" i="10" s="1"/>
  <c r="I8" i="10" s="1"/>
  <c r="AN7" i="10"/>
  <c r="G4" i="10"/>
  <c r="I4" i="10" s="1"/>
  <c r="AM3" i="10"/>
  <c r="AM6" i="10"/>
  <c r="AO6" i="10" s="1"/>
  <c r="H3" i="10"/>
  <c r="I3" i="10" s="1"/>
  <c r="AN3" i="10"/>
  <c r="O39" i="8"/>
  <c r="N84" i="8"/>
  <c r="AB84" i="8"/>
  <c r="Z97" i="9"/>
  <c r="AS51" i="9"/>
  <c r="AR51" i="9"/>
  <c r="AR85" i="9" s="1"/>
  <c r="AR86" i="9" s="1"/>
  <c r="Z99" i="9"/>
  <c r="AS53" i="9"/>
  <c r="AG57" i="9"/>
  <c r="AI57" i="9" s="1"/>
  <c r="AP57" i="9"/>
  <c r="O93" i="8"/>
  <c r="O90" i="8"/>
  <c r="J92" i="8"/>
  <c r="J93" i="8" s="1"/>
  <c r="J90" i="8"/>
  <c r="J91" i="8" s="1"/>
  <c r="S39" i="8"/>
  <c r="AP39" i="8"/>
  <c r="N39" i="8"/>
  <c r="BC39" i="8"/>
  <c r="G90" i="8"/>
  <c r="G91" i="8" s="1"/>
  <c r="O91" i="8"/>
  <c r="AB39" i="8"/>
  <c r="K90" i="8"/>
  <c r="K91" i="8" s="1"/>
  <c r="P39" i="8"/>
  <c r="O92" i="8"/>
  <c r="H90" i="8"/>
  <c r="H91" i="8" s="1"/>
  <c r="H92" i="8"/>
  <c r="H93" i="8" s="1"/>
  <c r="K92" i="8"/>
  <c r="K93" i="8" s="1"/>
  <c r="Q7" i="9"/>
  <c r="S16" i="9"/>
  <c r="R16" i="9"/>
  <c r="Q16" i="9"/>
  <c r="P16" i="9"/>
  <c r="M96" i="9"/>
  <c r="Q24" i="9"/>
  <c r="P24" i="9"/>
  <c r="O24" i="9"/>
  <c r="Q25" i="9"/>
  <c r="P25" i="9"/>
  <c r="S25" i="9"/>
  <c r="R25" i="9"/>
  <c r="J98" i="9"/>
  <c r="P37" i="9"/>
  <c r="S37" i="9"/>
  <c r="R37" i="9"/>
  <c r="Q37" i="9"/>
  <c r="O37" i="9"/>
  <c r="Y107" i="9"/>
  <c r="AQ65" i="9"/>
  <c r="AP65" i="9"/>
  <c r="Y110" i="9"/>
  <c r="AR68" i="9"/>
  <c r="AQ68" i="9"/>
  <c r="AP68" i="9"/>
  <c r="Y112" i="9"/>
  <c r="AP72" i="9"/>
  <c r="Q39" i="8"/>
  <c r="L92" i="8"/>
  <c r="AE84" i="8"/>
  <c r="O13" i="9"/>
  <c r="P13" i="9"/>
  <c r="K95" i="9" s="1"/>
  <c r="S13" i="9"/>
  <c r="AA60" i="9"/>
  <c r="AI60" i="9"/>
  <c r="AI74" i="9"/>
  <c r="AR29" i="9"/>
  <c r="AA74" i="9"/>
  <c r="AQ78" i="9"/>
  <c r="AP78" i="9"/>
  <c r="AS78" i="9"/>
  <c r="AR78" i="9"/>
  <c r="AR79" i="9"/>
  <c r="AP79" i="9"/>
  <c r="AQ79" i="9"/>
  <c r="BB39" i="8"/>
  <c r="I90" i="8"/>
  <c r="I91" i="8" s="1"/>
  <c r="I92" i="8"/>
  <c r="I93" i="8" s="1"/>
  <c r="AH84" i="8"/>
  <c r="S14" i="9"/>
  <c r="R14" i="9"/>
  <c r="P14" i="9"/>
  <c r="O14" i="9"/>
  <c r="S19" i="9"/>
  <c r="Q19" i="9"/>
  <c r="P19" i="9"/>
  <c r="O19" i="9"/>
  <c r="O28" i="9"/>
  <c r="S28" i="9"/>
  <c r="R28" i="9"/>
  <c r="Q28" i="9"/>
  <c r="P28" i="9"/>
  <c r="M98" i="9"/>
  <c r="AA66" i="9"/>
  <c r="AI66" i="9"/>
  <c r="AA69" i="9"/>
  <c r="AI69" i="9"/>
  <c r="AA116" i="9"/>
  <c r="Z116" i="9"/>
  <c r="Q5" i="9"/>
  <c r="AI89" i="9"/>
  <c r="AE87" i="9"/>
  <c r="R13" i="9"/>
  <c r="R32" i="9"/>
  <c r="Q32" i="9"/>
  <c r="P32" i="9"/>
  <c r="S32" i="9"/>
  <c r="O32" i="9"/>
  <c r="Q38" i="9"/>
  <c r="P38" i="9"/>
  <c r="S38" i="9"/>
  <c r="R38" i="9"/>
  <c r="O38" i="9"/>
  <c r="S69" i="9"/>
  <c r="T69" i="9"/>
  <c r="AE69" i="9"/>
  <c r="S84" i="8"/>
  <c r="N96" i="9"/>
  <c r="Q27" i="9"/>
  <c r="P27" i="9"/>
  <c r="AI87" i="9"/>
  <c r="AC85" i="9"/>
  <c r="AC86" i="9" s="1"/>
  <c r="AC87" i="9"/>
  <c r="AA51" i="9"/>
  <c r="AA52" i="9"/>
  <c r="AR7" i="9"/>
  <c r="AE92" i="9" s="1"/>
  <c r="AE93" i="9" s="1"/>
  <c r="AI52" i="9"/>
  <c r="AA100" i="9"/>
  <c r="Z100" i="9"/>
  <c r="AA55" i="9"/>
  <c r="AR10" i="9"/>
  <c r="AI55" i="9"/>
  <c r="T76" i="9"/>
  <c r="AE76" i="9"/>
  <c r="S76" i="9"/>
  <c r="AC39" i="8"/>
  <c r="P84" i="8"/>
  <c r="G92" i="8"/>
  <c r="G93" i="8" s="1"/>
  <c r="O7" i="9"/>
  <c r="J99" i="9" s="1"/>
  <c r="R8" i="9"/>
  <c r="Q11" i="9"/>
  <c r="P11" i="9"/>
  <c r="O15" i="9"/>
  <c r="Q15" i="9"/>
  <c r="L95" i="9" s="1"/>
  <c r="P15" i="9"/>
  <c r="AA87" i="9"/>
  <c r="AI85" i="9"/>
  <c r="AA85" i="9"/>
  <c r="AA86" i="9" s="1"/>
  <c r="AI49" i="9"/>
  <c r="AI86" i="9"/>
  <c r="AA54" i="9"/>
  <c r="AI54" i="9"/>
  <c r="AA105" i="9"/>
  <c r="Z105" i="9"/>
  <c r="AS61" i="9"/>
  <c r="Y113" i="9"/>
  <c r="AS73" i="9"/>
  <c r="AR73" i="9"/>
  <c r="AQ73" i="9"/>
  <c r="BF39" i="8"/>
  <c r="O89" i="8"/>
  <c r="P6" i="9"/>
  <c r="R6" i="9"/>
  <c r="Q6" i="9"/>
  <c r="AD85" i="9"/>
  <c r="AD86" i="9" s="1"/>
  <c r="AI88" i="9"/>
  <c r="AD87" i="9"/>
  <c r="O11" i="9"/>
  <c r="AR21" i="9"/>
  <c r="AI50" i="9"/>
  <c r="AI61" i="9"/>
  <c r="AA61" i="9"/>
  <c r="AR16" i="9"/>
  <c r="AS68" i="9"/>
  <c r="AB105" i="9"/>
  <c r="AE68" i="9"/>
  <c r="AP82" i="9"/>
  <c r="AQ82" i="9"/>
  <c r="Y120" i="9"/>
  <c r="AR82" i="9"/>
  <c r="AQ83" i="9"/>
  <c r="AS83" i="9"/>
  <c r="Z103" i="9"/>
  <c r="AC130" i="9"/>
  <c r="AD130" i="9"/>
  <c r="AD134" i="9"/>
  <c r="AC134" i="9"/>
  <c r="Q4" i="9"/>
  <c r="R7" i="9"/>
  <c r="Q8" i="9"/>
  <c r="P8" i="9"/>
  <c r="AR13" i="9"/>
  <c r="S27" i="9"/>
  <c r="R27" i="9"/>
  <c r="S36" i="9"/>
  <c r="AQ50" i="9"/>
  <c r="AE51" i="9"/>
  <c r="S51" i="9"/>
  <c r="T51" i="9" s="1"/>
  <c r="AR54" i="9"/>
  <c r="AQ55" i="9"/>
  <c r="AP55" i="9"/>
  <c r="AS58" i="9"/>
  <c r="AS87" i="9" s="1"/>
  <c r="AS88" i="9" s="1"/>
  <c r="AP61" i="9"/>
  <c r="AQ62" i="9"/>
  <c r="AA65" i="9"/>
  <c r="AQ66" i="9"/>
  <c r="AR69" i="9"/>
  <c r="AQ71" i="9"/>
  <c r="AQ74" i="9"/>
  <c r="AP74" i="9"/>
  <c r="AS74" i="9"/>
  <c r="AR75" i="9"/>
  <c r="AQ75" i="9"/>
  <c r="AP75" i="9"/>
  <c r="AI76" i="9"/>
  <c r="AR77" i="9"/>
  <c r="AS77" i="9"/>
  <c r="AQ77" i="9"/>
  <c r="AD131" i="9"/>
  <c r="AC131" i="9"/>
  <c r="S7" i="9"/>
  <c r="N99" i="9" s="1"/>
  <c r="O8" i="9"/>
  <c r="J94" i="9" s="1"/>
  <c r="O20" i="9"/>
  <c r="J96" i="9" s="1"/>
  <c r="Q23" i="9"/>
  <c r="P23" i="9"/>
  <c r="K96" i="9" s="1"/>
  <c r="O27" i="9"/>
  <c r="J97" i="9" s="1"/>
  <c r="O34" i="9"/>
  <c r="L98" i="9" s="1"/>
  <c r="AQ49" i="9"/>
  <c r="AP49" i="9"/>
  <c r="X97" i="9"/>
  <c r="AQ51" i="9"/>
  <c r="AQ52" i="9"/>
  <c r="AP52" i="9"/>
  <c r="AI53" i="9"/>
  <c r="X103" i="9"/>
  <c r="AE60" i="9"/>
  <c r="Y106" i="9"/>
  <c r="X107" i="9"/>
  <c r="AS69" i="9"/>
  <c r="AQ70" i="9"/>
  <c r="AR71" i="9"/>
  <c r="AA73" i="9"/>
  <c r="T75" i="9"/>
  <c r="Y115" i="9"/>
  <c r="AR81" i="9"/>
  <c r="AA120" i="9"/>
  <c r="Z120" i="9"/>
  <c r="AA83" i="9"/>
  <c r="K98" i="9"/>
  <c r="T55" i="9"/>
  <c r="Z101" i="9"/>
  <c r="Y101" i="9"/>
  <c r="AA59" i="9"/>
  <c r="AR14" i="9"/>
  <c r="AP60" i="9"/>
  <c r="AS64" i="9"/>
  <c r="AA67" i="9"/>
  <c r="S68" i="9"/>
  <c r="T68" i="9" s="1"/>
  <c r="AI81" i="9"/>
  <c r="R26" i="9"/>
  <c r="Q26" i="9"/>
  <c r="S29" i="9"/>
  <c r="R29" i="9"/>
  <c r="S33" i="9"/>
  <c r="R33" i="9"/>
  <c r="AF87" i="9"/>
  <c r="AF88" i="9" s="1"/>
  <c r="AQ54" i="9"/>
  <c r="AP54" i="9"/>
  <c r="AQ60" i="9"/>
  <c r="AR61" i="9"/>
  <c r="AR64" i="9"/>
  <c r="AQ64" i="9"/>
  <c r="AS70" i="9"/>
  <c r="AS85" i="9" s="1"/>
  <c r="AS86" i="9" s="1"/>
  <c r="AE72" i="9"/>
  <c r="T72" i="9"/>
  <c r="S72" i="9"/>
  <c r="AI72" i="9"/>
  <c r="AR27" i="9"/>
  <c r="AE73" i="9"/>
  <c r="S73" i="9"/>
  <c r="T73" i="9" s="1"/>
  <c r="Z118" i="9"/>
  <c r="AS80" i="9"/>
  <c r="AA118" i="9"/>
  <c r="AI82" i="9"/>
  <c r="AR37" i="9"/>
  <c r="Z121" i="9"/>
  <c r="O5" i="9"/>
  <c r="Q21" i="9"/>
  <c r="L96" i="9" s="1"/>
  <c r="P21" i="9"/>
  <c r="O26" i="9"/>
  <c r="O29" i="9"/>
  <c r="P30" i="9"/>
  <c r="O33" i="9"/>
  <c r="P35" i="9"/>
  <c r="R35" i="9"/>
  <c r="Q35" i="9"/>
  <c r="N98" i="9" s="1"/>
  <c r="AE52" i="9"/>
  <c r="T52" i="9"/>
  <c r="S52" i="9"/>
  <c r="AR53" i="9"/>
  <c r="AQ53" i="9"/>
  <c r="AE55" i="9"/>
  <c r="AP56" i="9"/>
  <c r="AP59" i="9"/>
  <c r="AR60" i="9"/>
  <c r="AQ67" i="9"/>
  <c r="AE80" i="9"/>
  <c r="T80" i="9"/>
  <c r="U128" i="9"/>
  <c r="P5" i="9"/>
  <c r="Q10" i="9"/>
  <c r="P10" i="9"/>
  <c r="R17" i="9"/>
  <c r="S18" i="9"/>
  <c r="R18" i="9"/>
  <c r="AR20" i="9"/>
  <c r="O21" i="9"/>
  <c r="P26" i="9"/>
  <c r="P29" i="9"/>
  <c r="Q30" i="9"/>
  <c r="P33" i="9"/>
  <c r="O35" i="9"/>
  <c r="P36" i="9"/>
  <c r="AP50" i="9"/>
  <c r="Y97" i="9"/>
  <c r="X98" i="9"/>
  <c r="Y99" i="9"/>
  <c r="S55" i="9"/>
  <c r="AR55" i="9"/>
  <c r="AR56" i="9"/>
  <c r="AQ59" i="9"/>
  <c r="AP62" i="9"/>
  <c r="AS65" i="9"/>
  <c r="X108" i="9"/>
  <c r="AE66" i="9"/>
  <c r="AP66" i="9"/>
  <c r="AR67" i="9"/>
  <c r="AR87" i="9" s="1"/>
  <c r="AR88" i="9" s="1"/>
  <c r="AQ72" i="9"/>
  <c r="AS72" i="9"/>
  <c r="AR72" i="9"/>
  <c r="AP73" i="9"/>
  <c r="AE74" i="9"/>
  <c r="T74" i="9"/>
  <c r="S74" i="9"/>
  <c r="AR74" i="9"/>
  <c r="AA75" i="9"/>
  <c r="AS75" i="9"/>
  <c r="AP77" i="9"/>
  <c r="AF85" i="9"/>
  <c r="AF86" i="9" s="1"/>
  <c r="AC128" i="9"/>
  <c r="U127" i="9"/>
  <c r="AD135" i="9"/>
  <c r="AC135" i="9"/>
  <c r="R30" i="9"/>
  <c r="AS60" i="9"/>
  <c r="X109" i="9"/>
  <c r="AR76" i="9"/>
  <c r="AS76" i="9"/>
  <c r="AQ76" i="9"/>
  <c r="AA117" i="9"/>
  <c r="AE83" i="9"/>
  <c r="S83" i="9"/>
  <c r="T83" i="9" s="1"/>
  <c r="AD128" i="9"/>
  <c r="AF125" i="9" s="1"/>
  <c r="U130" i="9"/>
  <c r="AB87" i="9"/>
  <c r="Y104" i="9"/>
  <c r="AR65" i="9"/>
  <c r="Z109" i="9"/>
  <c r="S75" i="9"/>
  <c r="AI75" i="9"/>
  <c r="AI79" i="9"/>
  <c r="X121" i="9"/>
  <c r="U129" i="9"/>
  <c r="V130" i="9"/>
  <c r="AF8" i="10"/>
  <c r="AH155" i="9"/>
  <c r="AN8" i="10"/>
  <c r="AO5" i="10"/>
  <c r="AR80" i="9"/>
  <c r="S82" i="9"/>
  <c r="T82" i="9" s="1"/>
  <c r="AE82" i="9"/>
  <c r="AR83" i="9"/>
  <c r="U139" i="9"/>
  <c r="U135" i="9"/>
  <c r="U126" i="9"/>
  <c r="AC127" i="9"/>
  <c r="V126" i="9"/>
  <c r="V131" i="9" s="1"/>
  <c r="U136" i="9"/>
  <c r="AA111" i="9"/>
  <c r="AC105" i="9" s="1"/>
  <c r="AS79" i="9"/>
  <c r="X119" i="9"/>
  <c r="V139" i="9"/>
  <c r="V135" i="9"/>
  <c r="V136" i="9"/>
  <c r="AC149" i="9"/>
  <c r="AU161" i="9"/>
  <c r="AV161" i="9" s="1"/>
  <c r="AV192" i="9" s="1"/>
  <c r="AV195" i="9" s="1"/>
  <c r="AU167" i="9"/>
  <c r="AV167" i="9" s="1"/>
  <c r="AU189" i="9"/>
  <c r="AV189" i="9" s="1"/>
  <c r="AG4" i="10"/>
  <c r="AG8" i="10" s="1"/>
  <c r="H7" i="10"/>
  <c r="H8" i="10" s="1"/>
  <c r="C8" i="10"/>
  <c r="AG157" i="9"/>
  <c r="AH157" i="9" s="1"/>
  <c r="AU174" i="9"/>
  <c r="AV174" i="9" s="1"/>
  <c r="AG182" i="9"/>
  <c r="AH182" i="9" s="1"/>
  <c r="AC136" i="9"/>
  <c r="AC137" i="9"/>
  <c r="AC138" i="9"/>
  <c r="AC139" i="9"/>
  <c r="AC140" i="9"/>
  <c r="AC144" i="9"/>
  <c r="AC148" i="9"/>
  <c r="AI157" i="9"/>
  <c r="AJ157" i="9" s="1"/>
  <c r="AJ192" i="9" s="1"/>
  <c r="AJ195" i="9" s="1"/>
  <c r="AG180" i="9"/>
  <c r="AH180" i="9" s="1"/>
  <c r="AG185" i="9"/>
  <c r="AH185" i="9" s="1"/>
  <c r="AG168" i="9"/>
  <c r="AH168" i="9" s="1"/>
  <c r="AG176" i="9"/>
  <c r="AH176" i="9" s="1"/>
  <c r="AG184" i="9"/>
  <c r="AH184" i="9" s="1"/>
  <c r="AF5" i="10"/>
  <c r="AH5" i="10" s="1"/>
  <c r="G8" i="10"/>
  <c r="AG162" i="9"/>
  <c r="AH162" i="9" s="1"/>
  <c r="AI177" i="9"/>
  <c r="AJ177" i="9" s="1"/>
  <c r="G5" i="10"/>
  <c r="I5" i="10" s="1"/>
  <c r="AM7" i="10"/>
  <c r="AO7" i="10" s="1"/>
  <c r="AC150" i="9"/>
  <c r="AM4" i="10"/>
  <c r="AO4" i="10" s="1"/>
  <c r="AF7" i="10"/>
  <c r="AH7" i="10" s="1"/>
  <c r="AH4" i="10" l="1"/>
  <c r="AH8" i="10" s="1"/>
  <c r="AO3" i="10"/>
  <c r="AO8" i="10" s="1"/>
  <c r="V140" i="9"/>
  <c r="J95" i="9"/>
  <c r="AI126" i="9"/>
  <c r="AJ126" i="9" s="1"/>
  <c r="U131" i="9"/>
  <c r="AI125" i="9"/>
  <c r="AJ125" i="9" s="1"/>
  <c r="AG190" i="9"/>
  <c r="N97" i="9"/>
  <c r="AB85" i="9"/>
  <c r="AB86" i="9" s="1"/>
  <c r="AC97" i="9"/>
  <c r="AD97" i="9"/>
  <c r="AE97" i="9" s="1"/>
  <c r="AB97" i="9"/>
  <c r="L94" i="9"/>
  <c r="L99" i="9"/>
  <c r="M95" i="9"/>
  <c r="L90" i="8"/>
  <c r="L91" i="8" s="1"/>
  <c r="L93" i="8"/>
  <c r="AD92" i="9"/>
  <c r="AD93" i="9" s="1"/>
  <c r="AM8" i="10"/>
  <c r="AB88" i="9"/>
  <c r="AJ95" i="9"/>
  <c r="AJ96" i="9" s="1"/>
  <c r="AD94" i="9"/>
  <c r="AD95" i="9" s="1"/>
  <c r="AP87" i="9"/>
  <c r="AP88" i="9" s="1"/>
  <c r="AP85" i="9"/>
  <c r="AP86" i="9" s="1"/>
  <c r="M94" i="9"/>
  <c r="M99" i="9"/>
  <c r="AE88" i="9"/>
  <c r="AE85" i="9"/>
  <c r="AE86" i="9" s="1"/>
  <c r="AQ87" i="9"/>
  <c r="AQ88" i="9" s="1"/>
  <c r="AQ85" i="9"/>
  <c r="AQ86" i="9" s="1"/>
  <c r="K99" i="9"/>
  <c r="K94" i="9"/>
  <c r="AC88" i="9"/>
  <c r="AE94" i="9"/>
  <c r="AE95" i="9" s="1"/>
  <c r="N95" i="9"/>
  <c r="K97" i="9"/>
  <c r="N94" i="9"/>
  <c r="AD105" i="9"/>
  <c r="AE105" i="9" s="1"/>
  <c r="AB103" i="9"/>
  <c r="AD103" i="9" s="1"/>
  <c r="AE103" i="9" s="1"/>
  <c r="AC103" i="9"/>
  <c r="AF94" i="9"/>
  <c r="AF95" i="9" s="1"/>
  <c r="AD88" i="9"/>
  <c r="U140" i="9"/>
  <c r="AK193" i="9"/>
  <c r="AH190" i="9"/>
  <c r="M97" i="9"/>
  <c r="L97" i="9"/>
  <c r="AB104" i="9"/>
  <c r="AD104" i="9" s="1"/>
  <c r="AE104" i="9" s="1"/>
  <c r="AC104" i="9"/>
  <c r="AE125" i="9"/>
  <c r="AC92" i="9"/>
  <c r="AC93" i="9" s="1"/>
  <c r="AA88" i="9"/>
  <c r="AC94" i="9"/>
  <c r="AC95" i="9" s="1"/>
</calcChain>
</file>

<file path=xl/sharedStrings.xml><?xml version="1.0" encoding="utf-8"?>
<sst xmlns="http://schemas.openxmlformats.org/spreadsheetml/2006/main" count="3196" uniqueCount="1194">
  <si>
    <t>filename_full</t>
  </si>
  <si>
    <t>year</t>
  </si>
  <si>
    <t>author</t>
  </si>
  <si>
    <t>Comedy_Campbell_PatternTeller_claude</t>
  </si>
  <si>
    <t>Mystery_Campbell_PatternTeller_claude</t>
  </si>
  <si>
    <t>Romance_Campbell_PatternTeller_claude</t>
  </si>
  <si>
    <t>Satire_Campbell_PatternTeller_claude</t>
  </si>
  <si>
    <t>Tragedy_Campbell_PatternTeller_claude</t>
  </si>
  <si>
    <t>tragedy</t>
  </si>
  <si>
    <t>Copy of 000_the_old_man_and_the_sea.txt</t>
  </si>
  <si>
    <t>Ernest Hemingway</t>
  </si>
  <si>
    <t>Copy of 001_animal-farm.txt</t>
  </si>
  <si>
    <t>George Orwell</t>
  </si>
  <si>
    <t>Copy of 051_the_picture_of_dorian_gray.txt</t>
  </si>
  <si>
    <t>Oscar Wilde</t>
  </si>
  <si>
    <t>Copy of 028_Lord_of_the_flies.txt</t>
  </si>
  <si>
    <t>William Golding</t>
  </si>
  <si>
    <t>Copy of 093_to_kill_a_mocking_bird.txt</t>
  </si>
  <si>
    <t>Harper Lee</t>
  </si>
  <si>
    <t>satire</t>
  </si>
  <si>
    <t>Copy of 109_being_there.txt</t>
  </si>
  <si>
    <t>Jerzy Kosiński</t>
  </si>
  <si>
    <t>Copy of 156_the_13_clocks.txt</t>
  </si>
  <si>
    <t>James Thurber</t>
  </si>
  <si>
    <t>Copy of 258_farmer_giles_of_ham.txt</t>
  </si>
  <si>
    <t>J.R.R. Tolkien</t>
  </si>
  <si>
    <t>Copy of 317_the_wonderful_o.txt</t>
  </si>
  <si>
    <t>Copy of 407_the_restaurant_at_the_end.txt</t>
  </si>
  <si>
    <t>Douglas Adams</t>
  </si>
  <si>
    <t>romance</t>
  </si>
  <si>
    <t>Copy of 270_the_governess_affair.txt</t>
  </si>
  <si>
    <t>Courtney Milan</t>
  </si>
  <si>
    <t>Copy of 377_greater_than_rubies.txt</t>
  </si>
  <si>
    <t>Hallee Bridgeman</t>
  </si>
  <si>
    <t>Copy of 418_breathless.txt</t>
  </si>
  <si>
    <t>Sophie Jordan</t>
  </si>
  <si>
    <t>Copy of 489_skin_deep.txt</t>
  </si>
  <si>
    <t>Pamela Clare</t>
  </si>
  <si>
    <t>Copy of 560_how_to_marry_a_werewolf.txt</t>
  </si>
  <si>
    <t>Gail Carriger</t>
  </si>
  <si>
    <t>mystery</t>
  </si>
  <si>
    <t>Copy of 036_the_turn_of_the_screw.txt</t>
  </si>
  <si>
    <t>Henry James</t>
  </si>
  <si>
    <t>Copy of 191_every_heart_a_doorway.txt</t>
  </si>
  <si>
    <t>Seanan McGuire</t>
  </si>
  <si>
    <t>Copy of 337_the_library_window.txt</t>
  </si>
  <si>
    <t>Mrs. Oliphant</t>
  </si>
  <si>
    <t>Copy of 345_lyras_oxford.txt</t>
  </si>
  <si>
    <t>Philip Pullman</t>
  </si>
  <si>
    <t>Copy of 495_hammers_on_bone.txt</t>
  </si>
  <si>
    <t>Cassandra Khaw</t>
  </si>
  <si>
    <t>comedy</t>
  </si>
  <si>
    <t>Copy of 316_the_canterville_ghost.txt</t>
  </si>
  <si>
    <t>Copy of 046_cannery_row.txt</t>
  </si>
  <si>
    <t>John Steinbeck</t>
  </si>
  <si>
    <t>Copy of 268_under_the_greenwood_tree.txt</t>
  </si>
  <si>
    <t>Thomas Hardy</t>
  </si>
  <si>
    <t>Copy of 452_the_perilous_life_of_jade.txt</t>
  </si>
  <si>
    <t>Zen Cho</t>
  </si>
  <si>
    <t>Copy of 201_the_tiny_wife.txt</t>
  </si>
  <si>
    <t>Andrew Kaufman</t>
  </si>
  <si>
    <t>Save_the_cat_Score</t>
  </si>
  <si>
    <t>Grail_hero_Score</t>
  </si>
  <si>
    <t>Heroine_Journey_Score</t>
  </si>
  <si>
    <t>Hero_Journey_Neutral_Score</t>
  </si>
  <si>
    <t>Comedy_Score_Human</t>
  </si>
  <si>
    <t>Mystery_Score_Human</t>
  </si>
  <si>
    <t>Romance_Score_Human</t>
  </si>
  <si>
    <t>Satire_Score_Human</t>
  </si>
  <si>
    <t>Tragedy_Score_Human</t>
  </si>
  <si>
    <t>Save_the_cat_Score_Human</t>
  </si>
  <si>
    <t>Grail_hero_Score_Human</t>
  </si>
  <si>
    <t>Heroine_Journey_Score_Human</t>
  </si>
  <si>
    <t>Hero_Journey_Neutral_Score_Human</t>
  </si>
  <si>
    <t>Human</t>
  </si>
  <si>
    <t>Cambell</t>
  </si>
  <si>
    <t>Comedy_Score</t>
  </si>
  <si>
    <t>Mystery_Score</t>
  </si>
  <si>
    <t>Romance_Score</t>
  </si>
  <si>
    <t>Satire_Score</t>
  </si>
  <si>
    <t>Tragedy_Score</t>
  </si>
  <si>
    <t>Comedy_Campbell_PatternTeller</t>
  </si>
  <si>
    <t>Mystery_Campbell_PatternTeller</t>
  </si>
  <si>
    <t>Romance_Campbell_PatternTeller</t>
  </si>
  <si>
    <t>Satire_Campbell_PatternTeller</t>
  </si>
  <si>
    <t>Tragedy_Campbell_PatternTeller</t>
  </si>
  <si>
    <t>ttest_tragedy</t>
  </si>
  <si>
    <t>ttest_satire</t>
  </si>
  <si>
    <t>ttest_romance</t>
  </si>
  <si>
    <t>ttest_mystery</t>
  </si>
  <si>
    <t>ttest_comedy</t>
  </si>
  <si>
    <t>ttest_all_genres</t>
  </si>
  <si>
    <t>Comedy</t>
  </si>
  <si>
    <t>Mystery</t>
  </si>
  <si>
    <t>Romance</t>
  </si>
  <si>
    <t>Satire</t>
  </si>
  <si>
    <t>Tragedy</t>
  </si>
  <si>
    <t>Comedy_PatternTeller_claude</t>
  </si>
  <si>
    <t>Mystery_PatternTeller_claude</t>
  </si>
  <si>
    <t>Romance_PatternTeller_claude</t>
  </si>
  <si>
    <t>Satire_PatternTeller_claude</t>
  </si>
  <si>
    <t>Tragedy_PatternTeller_claude</t>
  </si>
  <si>
    <t>AVERAGE</t>
  </si>
  <si>
    <t>TTEST</t>
  </si>
  <si>
    <t>Human - LLM (Claude)</t>
  </si>
  <si>
    <t>Genre</t>
  </si>
  <si>
    <t>TP</t>
  </si>
  <si>
    <t>FP</t>
  </si>
  <si>
    <t>FN</t>
  </si>
  <si>
    <t>TN</t>
  </si>
  <si>
    <t>Precision</t>
  </si>
  <si>
    <t>Recall</t>
  </si>
  <si>
    <t>F1</t>
  </si>
  <si>
    <t>TOTAL/AVG</t>
  </si>
  <si>
    <t>Satire Human (PatternTeller)</t>
  </si>
  <si>
    <t>Tragedy Human (PatternTeller)</t>
  </si>
  <si>
    <t>Mystery Human (PatternTeller)</t>
  </si>
  <si>
    <t>Copy of 002_mice-and-men.txt</t>
  </si>
  <si>
    <t>Copy of 302_the_great_gatsby.txt</t>
  </si>
  <si>
    <t>Copy of 067_the_catcher_in_the_rye.txt</t>
  </si>
  <si>
    <t>Copy of 102_Miss_Lonelyhearts.txt</t>
  </si>
  <si>
    <t>Copy of 055_giovannis_room.txt</t>
  </si>
  <si>
    <t>Copy of 151_on_chesil_beach.txt</t>
  </si>
  <si>
    <t>Copy of 054_doyle-hound-383.txt</t>
  </si>
  <si>
    <t>Copy of 135_the_maltese_falcon.txt</t>
  </si>
  <si>
    <t>Copy of 043_the_prime_of_miss_jean_brodie.txt</t>
  </si>
  <si>
    <t>Copy of 079_shopgirl.txt</t>
  </si>
  <si>
    <t xml:space="preserve">satire_gemini							</t>
  </si>
  <si>
    <t>romance_gemini</t>
  </si>
  <si>
    <t>comedy_gemini</t>
  </si>
  <si>
    <t xml:space="preserve">tragedy__gemini                                                </t>
  </si>
  <si>
    <t>mystery_gemini</t>
  </si>
  <si>
    <t>Average</t>
  </si>
  <si>
    <t>st. deviation</t>
  </si>
  <si>
    <t>RelativeScore_Comedy</t>
  </si>
  <si>
    <t>RelativeScore_Mystery</t>
  </si>
  <si>
    <t>RelativeScore_Romance</t>
  </si>
  <si>
    <t>RelativeScore_Satire</t>
  </si>
  <si>
    <t>RelativeScore_Tragedy</t>
  </si>
  <si>
    <t>top 1</t>
  </si>
  <si>
    <t>top 2</t>
  </si>
  <si>
    <t>sum</t>
  </si>
  <si>
    <t>HHI_llm_Cluade</t>
  </si>
  <si>
    <t>Diff</t>
  </si>
  <si>
    <t xml:space="preserve">comedy_deepseek </t>
  </si>
  <si>
    <t xml:space="preserve">mystery_deepseek </t>
  </si>
  <si>
    <t xml:space="preserve">romance_deepseek </t>
  </si>
  <si>
    <t xml:space="preserve">satire_deepseek                                                       </t>
  </si>
  <si>
    <t xml:space="preserve">tragedy__deepseek                                             </t>
  </si>
  <si>
    <t>top 3</t>
  </si>
  <si>
    <t>HHI_llm_deepseek</t>
  </si>
  <si>
    <t>1) How clearly are one or two dominant genres identified for each text?</t>
  </si>
  <si>
    <t>2) To what extent are the ratings concentrated on several genres vs. evenly distributed?</t>
  </si>
  <si>
    <t>Top_1</t>
  </si>
  <si>
    <t>Top_2</t>
  </si>
  <si>
    <t>Top_3</t>
  </si>
  <si>
    <t>Average of the others</t>
  </si>
  <si>
    <t>Gap (between the top 2 and the rest)</t>
  </si>
  <si>
    <t>Sum_Human_Patternteller</t>
  </si>
  <si>
    <t>HHI (Human_Patternteller)</t>
  </si>
  <si>
    <t>Sum_pattern_gimini</t>
  </si>
  <si>
    <t>HHI_pattern_gimini</t>
  </si>
  <si>
    <t>Difference</t>
  </si>
  <si>
    <t>Sum</t>
  </si>
  <si>
    <t>HHI (Herfindahl index)</t>
  </si>
  <si>
    <t>Top2_Dominance</t>
  </si>
  <si>
    <t>Sum_Cambell</t>
  </si>
  <si>
    <t>HHI_Cambell</t>
  </si>
  <si>
    <t>Difference (Human_Cambell)</t>
  </si>
  <si>
    <t>Top_1_Campbell</t>
  </si>
  <si>
    <t>Top_2_Campbell</t>
  </si>
  <si>
    <t>Top_4</t>
  </si>
  <si>
    <t>Top_5</t>
  </si>
  <si>
    <t>Top2_Dominance_Campbell</t>
  </si>
  <si>
    <t>Top3_Dominance_Campbell</t>
  </si>
  <si>
    <t>Top4_Dominance_Campbell</t>
  </si>
  <si>
    <t>Top5_Dominance_Campbell</t>
  </si>
  <si>
    <t>human</t>
  </si>
  <si>
    <t>patern_claude</t>
  </si>
  <si>
    <t>pattern_gimini</t>
  </si>
  <si>
    <t>llm_claude</t>
  </si>
  <si>
    <t>llm_deepseek</t>
  </si>
  <si>
    <t>human_patternteller</t>
  </si>
  <si>
    <t>LLM_H</t>
  </si>
  <si>
    <t>LLM_Pattern_claude</t>
  </si>
  <si>
    <t>LLM_pattern_gimini</t>
  </si>
  <si>
    <t>LLM_claude</t>
  </si>
  <si>
    <t>LLM_deepseek</t>
  </si>
  <si>
    <t>one-sample t-test</t>
  </si>
  <si>
    <t>STDEV_human</t>
  </si>
  <si>
    <t>PatternTeller gives the same HHI ≈ 0.21 for EACH text. He does not distinguish between novels at all — they all receive the same "smeared" distribution. which makes it useless as a classifier.</t>
  </si>
  <si>
    <t>p-value</t>
  </si>
  <si>
    <t>STDEV_pattern_claude</t>
  </si>
  <si>
    <t>average HHI</t>
  </si>
  <si>
    <t>STDEV_pattern_gimini</t>
  </si>
  <si>
    <t>Effective N</t>
  </si>
  <si>
    <t>STDEV_llm_claude</t>
  </si>
  <si>
    <t>STDEV_llm_deepseek</t>
  </si>
  <si>
    <t>H_Pattern_claude</t>
  </si>
  <si>
    <t>H_pattern_gimini</t>
  </si>
  <si>
    <t>H_llm_claude</t>
  </si>
  <si>
    <t>t-stat</t>
  </si>
  <si>
    <t>Paired t-test показал статистически значимое различие между экспертными оценками и оценками PatternTeller (t(24) = 5.78, p &lt; 0.001). Индекс концентрации HHI для экспертных оценок (M = 0.40, Effective N = 2.64) значимо выше, чем для PatternTeller (M = 0.21, Effective N = 4.78). Это свидетельствует о том, что паттерны Campbell, извлечённые методом most specific generalization, не обеспечивают достаточной жанровой дифференциации: система присваивает высокие оценки почти всем жанрам одновременно, тогда как эксперт чётко выделяет 2-3 доминирующих жанра для каждого текста.</t>
  </si>
  <si>
    <t>"Анализ показал, что PatternTeller статистически значимо присваивает высокие оценки (≥4) четырём из пяти жанров одновременно (t(24) = 2.14, p = 0.021). Это подтверждает, что паттерны Campbell недостаточно специфичны: вместо того чтобы идентифицировать один-два доминирующих жанра (как делает эксперт с Effective N = 2.64), система считает почти все жанры одинаково применимыми (Effective N = 4.78)."</t>
  </si>
  <si>
    <t>не распределяет оценки случайно по пяти жанрам, а концентрирует их на определённых жанрах</t>
  </si>
  <si>
    <t>1) logic</t>
  </si>
  <si>
    <t>Make sure - that the top two genres are correct genres</t>
  </si>
  <si>
    <t xml:space="preserve">To check another LLM (maybe Gemini has more agreement) </t>
  </si>
  <si>
    <t>pattern based on gimini concentrated scores stronger than human</t>
  </si>
  <si>
    <t>PatternTeller демонстрирует HHI (0.21) ниже, чем при случайном угадывании (~0.29). Это указывает на систематическую проблему: паттерны, извлечённые методом most specific generalization, настолько универсальны, что система присваивает высокие оценки соответствия всем жанрам одновременно. Фактически, PatternTeller не может отвергнуть ни один жанр — любой текст "подходит" под любой паттерн."</t>
  </si>
  <si>
    <t>2) indentif best genre</t>
  </si>
  <si>
    <t>t-test Cambell vs. random</t>
  </si>
  <si>
    <t>3) Wheknesses in the structure get the lower grades - which  elements are driving down scores?</t>
  </si>
  <si>
    <t>Top-2_Top_3</t>
  </si>
  <si>
    <t>Top-2_Top_3_Cambell</t>
  </si>
  <si>
    <t>Top-3_Top_4_Cambell</t>
  </si>
  <si>
    <t>Top-4_Top_5_Cambell</t>
  </si>
  <si>
    <t>St dev Gap</t>
  </si>
  <si>
    <t>2) check structure in the novel</t>
  </si>
  <si>
    <t>A humann statistically significantly identifies the top 2 genres, that is, the gap between the second and third genres is systematically greater than zero.</t>
  </si>
  <si>
    <t>p-value (Top2_Top3)</t>
  </si>
  <si>
    <t>p-value (Top3_Top4)</t>
  </si>
  <si>
    <t>p-value (Top4_Top5)</t>
  </si>
  <si>
    <t>Точность совпадения топ-жанров</t>
  </si>
  <si>
    <t>% 1 genre</t>
  </si>
  <si>
    <t>% both top genres</t>
  </si>
  <si>
    <t>Kappa (Po)</t>
  </si>
  <si>
    <t>Pe</t>
  </si>
  <si>
    <t>Kappa</t>
  </si>
  <si>
    <t>Human 2</t>
  </si>
  <si>
    <t>Human_Top1_Genre</t>
  </si>
  <si>
    <t>Human_Top2_Genre</t>
  </si>
  <si>
    <t>PatternTeller_Top1_Genre</t>
  </si>
  <si>
    <t>PatternTeller_Top2_Genre</t>
  </si>
  <si>
    <t>Match 1 genre</t>
  </si>
  <si>
    <t>Match both genres</t>
  </si>
  <si>
    <t>Krippendorff’s α (nominal)</t>
  </si>
  <si>
    <t>Cambell 2</t>
  </si>
  <si>
    <t>Labels_TOP_2_Human</t>
  </si>
  <si>
    <t>Labels_TOP_2_Cambell</t>
  </si>
  <si>
    <t>Labels_TOP_2_Human_PatternTeller</t>
  </si>
  <si>
    <t xml:space="preserve">Comedy Human (PatternTeller)                                                                </t>
  </si>
  <si>
    <t xml:space="preserve">Romance Human (PatternTeller)									</t>
  </si>
  <si>
    <t>Overlap count</t>
  </si>
  <si>
    <t>Overlap_1</t>
  </si>
  <si>
    <t>Human_Top_2_count</t>
  </si>
  <si>
    <t>LLM_PatternTeller_Claude_Top_2_count</t>
  </si>
  <si>
    <t>Human_Patternteller_Top_2_count</t>
  </si>
  <si>
    <t>Анализ согласия топ-2 жанров (с порогом оценки ≥3) показал, что пересечение между экспертными оценками и PatternTeller (84%) не превышает значимо случайный уровень (p = 0.09). Ключевое объяснение: эксперт выделяет в среднем 1.48 жанра с высокой оценкой, тогда как PatternTeller — 3.04 жанра. Высокая доля пересечений объясняется не реальным согласием, а тем, что PatternTeller систематически присваивает высокие оценки большинству жанров, что делает пересечение почти неизбежным."</t>
  </si>
  <si>
    <t>Observed_Overlaps</t>
  </si>
  <si>
    <t>genre</t>
  </si>
  <si>
    <t>Title of novella</t>
  </si>
  <si>
    <t>Comedy_H</t>
  </si>
  <si>
    <t>Comedy_C_claude</t>
  </si>
  <si>
    <t>Mystery_H</t>
  </si>
  <si>
    <t>Mystery_C_claude</t>
  </si>
  <si>
    <t>Romance_H</t>
  </si>
  <si>
    <t>Romance_C_claude</t>
  </si>
  <si>
    <t>Satire_H</t>
  </si>
  <si>
    <t>Satire_C_claude</t>
  </si>
  <si>
    <t>Tragedy_H</t>
  </si>
  <si>
    <t>Tragedy_C_claude</t>
  </si>
  <si>
    <t>2 единицы</t>
  </si>
  <si>
    <t>P_random</t>
  </si>
  <si>
    <t>3 единицы</t>
  </si>
  <si>
    <t>Expected_random</t>
  </si>
  <si>
    <t>4 единицы</t>
  </si>
  <si>
    <t>5 единиц</t>
  </si>
  <si>
    <t>H1 не отвергнута (p &gt; 0.05): Согласие между Human и PatternTeller значимо выше случайного.</t>
  </si>
  <si>
    <t>Comedy_Score_H</t>
  </si>
  <si>
    <t>I</t>
  </si>
  <si>
    <t>LLM CLaude (Based on the PatternTeller)</t>
  </si>
  <si>
    <t>LLM CLaude (Based on the common knowleges about genres)</t>
  </si>
  <si>
    <t>LLM Gemini (Based on the PatternTeller)</t>
  </si>
  <si>
    <t>LLM DeepSeek (Based on the PatternTeller)</t>
  </si>
  <si>
    <t>HHI_claude_PatternTeller</t>
  </si>
  <si>
    <t>HHI_claude_common</t>
  </si>
  <si>
    <t xml:space="preserve">tragedy_deepseek                                             </t>
  </si>
  <si>
    <t>Human (Based on the common knowleges about genres)</t>
  </si>
  <si>
    <t>Human (Based on the PatternTeller)</t>
  </si>
  <si>
    <t>HHI_human</t>
  </si>
  <si>
    <t>HHI_human_Patternteller</t>
  </si>
  <si>
    <t>Claude_common_knowledges</t>
  </si>
  <si>
    <t>human_Patternteller</t>
  </si>
  <si>
    <t>Claude_PatternTeller</t>
  </si>
  <si>
    <t>Gemini_PatternTeller</t>
  </si>
  <si>
    <t>Deepseek_PatternTeller</t>
  </si>
  <si>
    <t>The analysis showed that PatternTeller statistically significantly assigns high scores (≥4) to four of the five genres simultaneously (Effective N = 4.72). This confirms that the Campbell patterns are not specific enough.: instead of identifying one or two dominant genres (as a human does).</t>
  </si>
  <si>
    <r>
      <rPr>
        <sz val="8"/>
        <color theme="1"/>
        <rFont val="Calibri"/>
        <family val="2"/>
      </rPr>
      <t xml:space="preserve">H1: </t>
    </r>
    <r>
      <rPr>
        <b/>
        <sz val="8"/>
        <color theme="1"/>
        <rFont val="Calibri"/>
        <family val="2"/>
      </rPr>
      <t>Human  and Campel  agree abour the top two genres of each novella</t>
    </r>
    <r>
      <rPr>
        <sz val="8"/>
        <color theme="1"/>
        <rFont val="Calibri"/>
        <family val="2"/>
      </rPr>
      <t xml:space="preserve"> (out of 5 )</t>
    </r>
  </si>
  <si>
    <r>
      <rPr>
        <sz val="8"/>
        <color theme="1"/>
        <rFont val="Calibri"/>
        <family val="2"/>
      </rPr>
      <t xml:space="preserve">H2: If the structure is correct. </t>
    </r>
    <r>
      <rPr>
        <i/>
        <sz val="8"/>
        <color theme="1"/>
        <rFont val="Calibri"/>
        <family val="2"/>
      </rPr>
      <t>(H1 - is accepted)</t>
    </r>
    <r>
      <rPr>
        <sz val="8"/>
        <color theme="1"/>
        <rFont val="Calibri"/>
        <family val="2"/>
      </rPr>
      <t xml:space="preserve"> - we expect the score of the top two genres to be high (above 3)</t>
    </r>
  </si>
  <si>
    <t>A</t>
  </si>
  <si>
    <t>B</t>
  </si>
  <si>
    <t>C</t>
  </si>
  <si>
    <t>D</t>
  </si>
  <si>
    <t>E</t>
  </si>
  <si>
    <t>F</t>
  </si>
  <si>
    <t>G</t>
  </si>
  <si>
    <t>H</t>
  </si>
  <si>
    <t>Human - Pattern (Claude haiku)</t>
  </si>
  <si>
    <t>Human - PatternTeller</t>
  </si>
  <si>
    <t>Human - Gimini</t>
  </si>
  <si>
    <t>Human - Deepseek</t>
  </si>
  <si>
    <t>Human - LLM (Claude haiku)</t>
  </si>
  <si>
    <t>Human - LLM gemini-3-pro-preview</t>
  </si>
  <si>
    <t>avg_rating</t>
  </si>
  <si>
    <t>ratings_count</t>
  </si>
  <si>
    <t>score</t>
  </si>
  <si>
    <t>characters</t>
  </si>
  <si>
    <t>words</t>
  </si>
  <si>
    <t>unic_w</t>
  </si>
  <si>
    <t>sentences</t>
  </si>
  <si>
    <t>tokens</t>
  </si>
  <si>
    <t>tokens_per_word</t>
  </si>
  <si>
    <t>words_per_sentence</t>
  </si>
  <si>
    <t>lexical_diversity (TTR)</t>
  </si>
  <si>
    <t>semantic_complexity (SC)</t>
  </si>
  <si>
    <t>propositional_density (PD)</t>
  </si>
  <si>
    <t>semantic_coherence</t>
  </si>
  <si>
    <t>semantic_coherence_SAMPLING</t>
  </si>
  <si>
    <t>Functional_Propp_Score</t>
  </si>
  <si>
    <t>Freytag_Score</t>
  </si>
  <si>
    <t>Three_part_Score</t>
  </si>
  <si>
    <t>Hero_Journey_Score</t>
  </si>
  <si>
    <t>Network_Dynamic_Score</t>
  </si>
  <si>
    <t>Linear_Score</t>
  </si>
  <si>
    <t>Biographical_Score</t>
  </si>
  <si>
    <t>Functional_Propp_Score_Human</t>
  </si>
  <si>
    <t>Freytag_Score_Human</t>
  </si>
  <si>
    <t>Three_part_Score_Human</t>
  </si>
  <si>
    <t>Hero_Journey_Score_Human</t>
  </si>
  <si>
    <t>Network_Dynamic_Score_Human</t>
  </si>
  <si>
    <t>Linear_Score_Human</t>
  </si>
  <si>
    <t>Biographical_Score_Human</t>
  </si>
  <si>
    <t>Wilcocson</t>
  </si>
  <si>
    <t>Number on Domin_genre</t>
  </si>
  <si>
    <t>Grand Total</t>
  </si>
  <si>
    <t>Количество по полю filename</t>
  </si>
  <si>
    <t>Сумма по полю Functional_Propp_Score</t>
  </si>
  <si>
    <t>Сумма по полю Freytag_Score</t>
  </si>
  <si>
    <t>Сумма по полю Three_part_Score</t>
  </si>
  <si>
    <t>Сумма по полю Hero_Journey_Score</t>
  </si>
  <si>
    <t>Сумма по полю Network_Dynamic_Score</t>
  </si>
  <si>
    <t>Сумма по полю Linear_Score</t>
  </si>
  <si>
    <t>Сумма по полю Biographical_Score</t>
  </si>
  <si>
    <t>Сумма по полю Comedy_Score</t>
  </si>
  <si>
    <t>Сумма по полю Mystery_Score</t>
  </si>
  <si>
    <t>Сумма по полю Romance_Score</t>
  </si>
  <si>
    <t>Сумма по полю Satire_Score</t>
  </si>
  <si>
    <t>Сумма по полю Tragedy_Score</t>
  </si>
  <si>
    <t>Сумма по полю Save_the_cat_Score</t>
  </si>
  <si>
    <t>Сумма по полю Grail_hero_Score</t>
  </si>
  <si>
    <t>Сумма по полю Heroine_Journey_Score</t>
  </si>
  <si>
    <t>Сумма по полю Hero_Journey_Neutral_Score</t>
  </si>
  <si>
    <t>A.S. Byatt</t>
  </si>
  <si>
    <t>Al Riske</t>
  </si>
  <si>
    <t>Alan Bennett</t>
  </si>
  <si>
    <t>Alan Sillitoe</t>
  </si>
  <si>
    <t>Alex Garland</t>
  </si>
  <si>
    <t>Algernon Blackwood</t>
  </si>
  <si>
    <t>Amal El-Mohtar</t>
  </si>
  <si>
    <t>Ambrose Bierce</t>
  </si>
  <si>
    <t>Anthony Burgess</t>
  </si>
  <si>
    <t>Anthony Doerr</t>
  </si>
  <si>
    <t>Aphra Behn</t>
  </si>
  <si>
    <t>Arthur C. Clarke</t>
  </si>
  <si>
    <t>Arthur Conan Doyle</t>
  </si>
  <si>
    <t>Ayn Rand</t>
  </si>
  <si>
    <t>Becky Chambers</t>
  </si>
  <si>
    <t>Ben Okri</t>
  </si>
  <si>
    <t>Brandon Sanderson</t>
  </si>
  <si>
    <t>C.S. Lewis</t>
  </si>
  <si>
    <t>Carole Giangrande</t>
  </si>
  <si>
    <t>Carson McCullers</t>
  </si>
  <si>
    <t>Charles Bukowski</t>
  </si>
  <si>
    <t>Charles Dickens</t>
  </si>
  <si>
    <t>Charles Portis</t>
  </si>
  <si>
    <t>Chinua Achebe</t>
  </si>
  <si>
    <t>Christopher Isherwood</t>
  </si>
  <si>
    <t>Christopher Morley</t>
  </si>
  <si>
    <t>Christopher WunderLee</t>
  </si>
  <si>
    <t>Chuck Palahniuk</t>
  </si>
  <si>
    <t>Claire Keegan</t>
  </si>
  <si>
    <t>Clive Barker</t>
  </si>
  <si>
    <t>Colin Winnette</t>
  </si>
  <si>
    <t>Colum McCann</t>
  </si>
  <si>
    <t>Connie Willis</t>
  </si>
  <si>
    <t>Cory Doctorow</t>
  </si>
  <si>
    <t>Cynthia Ozick</t>
  </si>
  <si>
    <t>Dan Jacobson</t>
  </si>
  <si>
    <t>Daniel Coleman</t>
  </si>
  <si>
    <t>Daniel Defoe</t>
  </si>
  <si>
    <t>Daniel Keyes</t>
  </si>
  <si>
    <t>Dashiell Hammett</t>
  </si>
  <si>
    <t>Dean Ing</t>
  </si>
  <si>
    <t>Denis Johnson</t>
  </si>
  <si>
    <t>denis-johnson</t>
  </si>
  <si>
    <t>Don DeLillo</t>
  </si>
  <si>
    <t>E.M. Forster</t>
  </si>
  <si>
    <t>Edgar Allan Poe</t>
  </si>
  <si>
    <t>Edith Wharton</t>
  </si>
  <si>
    <t>Eleanor Druse</t>
  </si>
  <si>
    <t>Elie Wiesel</t>
  </si>
  <si>
    <t>Elizabeth Gaskell</t>
  </si>
  <si>
    <t>Elizabeth Spencer</t>
  </si>
  <si>
    <t>Emmuska Orczy</t>
  </si>
  <si>
    <t>Ethel Wilson</t>
  </si>
  <si>
    <t>Eudora Welty</t>
  </si>
  <si>
    <t>Evelyn Waugh</t>
  </si>
  <si>
    <t>F. Scott Fitzgerald</t>
  </si>
  <si>
    <t>Fred Bodsworth</t>
  </si>
  <si>
    <t>George Eliot</t>
  </si>
  <si>
    <t>George R.R. Martin</t>
  </si>
  <si>
    <t>Glenway Wescott</t>
  </si>
  <si>
    <t>Gordon R. Dickson</t>
  </si>
  <si>
    <t>Graham Greene</t>
  </si>
  <si>
    <t>Graham Swift</t>
  </si>
  <si>
    <t>H.G. Wells</t>
  </si>
  <si>
    <t>H.M. Ward</t>
  </si>
  <si>
    <t>H.P. Lovecraft</t>
  </si>
  <si>
    <t>Henry Fielding</t>
  </si>
  <si>
    <t>Herman Melville</t>
  </si>
  <si>
    <t>Horace Walpole</t>
  </si>
  <si>
    <t>Hubert Selby Jr.</t>
  </si>
  <si>
    <t>Hunter S. Thompson</t>
  </si>
  <si>
    <t>Ian McDonald</t>
  </si>
  <si>
    <t>Ian McEwan</t>
  </si>
  <si>
    <t>Ian Rankin</t>
  </si>
  <si>
    <t>Ira Levin</t>
  </si>
  <si>
    <t>J. Sheridan Le Fanu</t>
  </si>
  <si>
    <t>J.D. Salinger</t>
  </si>
  <si>
    <t>J.G. Ballard</t>
  </si>
  <si>
    <t>J.L. Carr</t>
  </si>
  <si>
    <t>J.M. Coetzee</t>
  </si>
  <si>
    <t>Jack Kerouac</t>
  </si>
  <si>
    <t>Jack London</t>
  </si>
  <si>
    <t>Jack Vance</t>
  </si>
  <si>
    <t>James Baldwin</t>
  </si>
  <si>
    <t>James Hilton</t>
  </si>
  <si>
    <t>James Joyce</t>
  </si>
  <si>
    <t>James M. Cain</t>
  </si>
  <si>
    <t>James Patrick Kelly</t>
  </si>
  <si>
    <t>James Tiptree Jr.</t>
  </si>
  <si>
    <t>James Vance Marshall</t>
  </si>
  <si>
    <t>Jane Austen</t>
  </si>
  <si>
    <t>Jane Smiley</t>
  </si>
  <si>
    <t>Janet E. Morris</t>
  </si>
  <si>
    <t>Jeanette Winterson</t>
  </si>
  <si>
    <t>Jenny Offill</t>
  </si>
  <si>
    <t>Jessica Au</t>
  </si>
  <si>
    <t>Jim Carroll</t>
  </si>
  <si>
    <t>Jim Harrison</t>
  </si>
  <si>
    <t>Joe Haldeman</t>
  </si>
  <si>
    <t>John Fowles</t>
  </si>
  <si>
    <t>John Gardner</t>
  </si>
  <si>
    <t>John Hersey</t>
  </si>
  <si>
    <t>John O'Hara</t>
  </si>
  <si>
    <t>John W. Campbell Jr.</t>
  </si>
  <si>
    <t>Joseph Conrad</t>
  </si>
  <si>
    <t>Josephine Hart</t>
  </si>
  <si>
    <t>Joyce Carol Oates</t>
  </si>
  <si>
    <t>Justin Torres</t>
  </si>
  <si>
    <t>Kate Chopin</t>
  </si>
  <si>
    <t>Katherine Anne Porter</t>
  </si>
  <si>
    <t>Kaye Gibbons</t>
  </si>
  <si>
    <t>Kent Haruf</t>
  </si>
  <si>
    <t>Kij Johnson</t>
  </si>
  <si>
    <t>Kingsley Amis</t>
  </si>
  <si>
    <t>Lois Lowry</t>
  </si>
  <si>
    <t>Lore Segal</t>
  </si>
  <si>
    <t>Louisa May Alcott</t>
  </si>
  <si>
    <t>M. John Harrison</t>
  </si>
  <si>
    <t>Margaret Atwood</t>
  </si>
  <si>
    <t>Marian Engel</t>
  </si>
  <si>
    <t>Mark Twain</t>
  </si>
  <si>
    <t>Martha Wells</t>
  </si>
  <si>
    <t>Matthew Reilly</t>
  </si>
  <si>
    <t>Max Porter</t>
  </si>
  <si>
    <t>Michael Cunningham</t>
  </si>
  <si>
    <t>Morgan Robertson</t>
  </si>
  <si>
    <t>Muriel Spark</t>
  </si>
  <si>
    <t>N.K. Jemisin</t>
  </si>
  <si>
    <t>Nancy Kress</t>
  </si>
  <si>
    <t>Natasha Brown</t>
  </si>
  <si>
    <t>Nathanael West</t>
  </si>
  <si>
    <t>Neil Gaiman</t>
  </si>
  <si>
    <t>Neil R. Jones</t>
  </si>
  <si>
    <t>Nella Larsen</t>
  </si>
  <si>
    <t>Nnedi Okorafor</t>
  </si>
  <si>
    <t>Norman Maclean</t>
  </si>
  <si>
    <t>Ottessa Moshfegh</t>
  </si>
  <si>
    <t>P. Djèlí Clark</t>
  </si>
  <si>
    <t>P.C. Cast</t>
  </si>
  <si>
    <t>Patrick Manzai</t>
  </si>
  <si>
    <t>Paul Auster</t>
  </si>
  <si>
    <t>Paul Monette</t>
  </si>
  <si>
    <t>Peter Watts</t>
  </si>
  <si>
    <t>Philip Roth</t>
  </si>
  <si>
    <t>Rachel Woods</t>
  </si>
  <si>
    <t>Rebecca Roanhorse</t>
  </si>
  <si>
    <t>Richard Bach</t>
  </si>
  <si>
    <t>Richard Bachman</t>
  </si>
  <si>
    <t>Richard Ford</t>
  </si>
  <si>
    <t>Rick Moody</t>
  </si>
  <si>
    <t>Robert A. Heinlein</t>
  </si>
  <si>
    <t>Robert Louis Stevenson</t>
  </si>
  <si>
    <t>Robin Waterfield</t>
  </si>
  <si>
    <t>Ron Carlson</t>
  </si>
  <si>
    <t>Rudyard Kipling</t>
  </si>
  <si>
    <t>Russell Hoban</t>
  </si>
  <si>
    <t>Ruth Ozeki</t>
  </si>
  <si>
    <t>Samuel Johnson</t>
  </si>
  <si>
    <t>Sandra Cisneros</t>
  </si>
  <si>
    <t>Sarah Gailey</t>
  </si>
  <si>
    <t>Sarah Orne Jewett</t>
  </si>
  <si>
    <t>Saul Bellow</t>
  </si>
  <si>
    <t>Shel Silverstein</t>
  </si>
  <si>
    <t>Shirley Jackson</t>
  </si>
  <si>
    <t>Sigrid Nunez</t>
  </si>
  <si>
    <t>Simon Funk</t>
  </si>
  <si>
    <t>Stephen Black</t>
  </si>
  <si>
    <t>Stephen Chbosky</t>
  </si>
  <si>
    <t>Stephen Crane</t>
  </si>
  <si>
    <t>Stephen King</t>
  </si>
  <si>
    <t>Stephenie Meyer</t>
  </si>
  <si>
    <t>Steve Martin</t>
  </si>
  <si>
    <t>T.H. White</t>
  </si>
  <si>
    <t>Ted Chiang</t>
  </si>
  <si>
    <t>Teju Cole</t>
  </si>
  <si>
    <t>Thomas Pynchon</t>
  </si>
  <si>
    <t>Thornton Wilder</t>
  </si>
  <si>
    <t>Tim Curran</t>
  </si>
  <si>
    <t>Tim Winton</t>
  </si>
  <si>
    <t>Tobias Wolff</t>
  </si>
  <si>
    <t>Truman Capote</t>
  </si>
  <si>
    <t>Ursula K. Le Guin</t>
  </si>
  <si>
    <t>Vera Nazarian</t>
  </si>
  <si>
    <t>Vernon Lee</t>
  </si>
  <si>
    <t>Victor LaValle</t>
  </si>
  <si>
    <t>Virginia Woolf</t>
  </si>
  <si>
    <t>Vladimir Nabokov</t>
  </si>
  <si>
    <t>W. Somerset Maugham</t>
  </si>
  <si>
    <t>Walter Jon Williams</t>
  </si>
  <si>
    <t>Wilkie Collins</t>
  </si>
  <si>
    <t>Willa Cather</t>
  </si>
  <si>
    <t>William Faulkner</t>
  </si>
  <si>
    <t>William Makepeace Thackeray</t>
  </si>
  <si>
    <t>Count filename</t>
  </si>
  <si>
    <t>Sum Functional_Propp_Score</t>
  </si>
  <si>
    <t>Sum Freytag_Score</t>
  </si>
  <si>
    <t>Sum Three_part_Score</t>
  </si>
  <si>
    <t>Sum Linear_Score</t>
  </si>
  <si>
    <t>Sum Hero_Journey_Score</t>
  </si>
  <si>
    <t>Sum Heroine_Journey_Score</t>
  </si>
  <si>
    <t>Sum Hero_Journey_Neutral_Score</t>
  </si>
  <si>
    <t>Sum Grail_hero_Score</t>
  </si>
  <si>
    <t>Sum Biographical_Score</t>
  </si>
  <si>
    <t>Sum Network_Dynamic_Score</t>
  </si>
  <si>
    <t>Sum Save_the_cat_Score</t>
  </si>
  <si>
    <t>Sum Comedy_Score</t>
  </si>
  <si>
    <t>Sum Mystery_Score</t>
  </si>
  <si>
    <t>Sum Romance_Score</t>
  </si>
  <si>
    <t>Sum Satire_Score</t>
  </si>
  <si>
    <t>Sum Tragedy_Score</t>
  </si>
  <si>
    <t>Copy of 006_a_christmas_carol.txt</t>
  </si>
  <si>
    <t>Copy of 007_the_strange_case_of_dr_jekyll.txt</t>
  </si>
  <si>
    <t>Copy of 008_heart-of-darkness.txt</t>
  </si>
  <si>
    <t>Copy of 009_deniel_kiz_elcernon_ucun_guller_eng.txt</t>
  </si>
  <si>
    <t>Copy of 010_a_clockwork_orange.txt</t>
  </si>
  <si>
    <t>Copy of 012_Breakfast-at-Tiffanys.txt</t>
  </si>
  <si>
    <t>Copy of 015_the_call_of_the_wild.txt</t>
  </si>
  <si>
    <t>Copy of 016_The_Time_Machine-H._G._Wells.txt</t>
  </si>
  <si>
    <t>Copy of 017_story_of_the_ws.txt</t>
  </si>
  <si>
    <t>Copy of 018_pearl.txt</t>
  </si>
  <si>
    <t>Copy of 019_night.txt</t>
  </si>
  <si>
    <t>Copy of 020_the_awakening.txt</t>
  </si>
  <si>
    <t>Copy of 022_the_dead.txt</t>
  </si>
  <si>
    <t>Copy of 024_ethan_frome.txt</t>
  </si>
  <si>
    <t>Copy of 026_we_have_always_lived_in_the_ca.txt</t>
  </si>
  <si>
    <t>Copy of 032_rita_hayworth_and_the_shawshank.txt</t>
  </si>
  <si>
    <t>Copy of 034_daisy_miller_and_other.txt</t>
  </si>
  <si>
    <t>Copy of 037_jonathan_livingston_seagull_en.txt</t>
  </si>
  <si>
    <t>Copy of 038_anthem.txt</t>
  </si>
  <si>
    <t>Copy of 039_coraline.txt</t>
  </si>
  <si>
    <t>Copy of 041_raise_high_the_roof_beam.txt</t>
  </si>
  <si>
    <t>Copy of 042_doyle-sign-389.txt</t>
  </si>
  <si>
    <t>Copy of 044_the_unicommon_reader.txt</t>
  </si>
  <si>
    <t>Copy of 045_the_ballad_of_the_sad_cafe_other.txt</t>
  </si>
  <si>
    <t>Copy of 047_the_crying_of_lot_49.txt</t>
  </si>
  <si>
    <t>Copy of 048_the_war_of_the_worlds.txt</t>
  </si>
  <si>
    <t>Copy of 050_the_body.txt</t>
  </si>
  <si>
    <t>Copy of 053_the_mist.txt</t>
  </si>
  <si>
    <t>Copy of 057_a_river_runs_through_it.txt</t>
  </si>
  <si>
    <t>Copy of 058_invisible_man.txt</t>
  </si>
  <si>
    <t>Copy of 059_the_house_on_mango_street.txt</t>
  </si>
  <si>
    <t>Copy of 061_the_man_who_would_be_king.txt</t>
  </si>
  <si>
    <t>Copy of 066_a_month_in_the_country.txt</t>
  </si>
  <si>
    <t>Copy of 068_the_great_divorce.txt</t>
  </si>
  <si>
    <t>Copy of 073_all_systems_red.txt</t>
  </si>
  <si>
    <t>Copy of 074_The_Perks_of_Being_a_Wallflower.txt</t>
  </si>
  <si>
    <t>Copy of 075_the_giver_lois_lowry.txt</t>
  </si>
  <si>
    <t>Copy of 076_the_case_of_charles_dexter_ward.txt</t>
  </si>
  <si>
    <t>Copy of 077_apt_pupil_Stephen_King.txt</t>
  </si>
  <si>
    <t>Copy of 078_the_bridge_of_san_luis_rey.txt</t>
  </si>
  <si>
    <t>Copy of 080_pnin_vladimir_nabokov.txt</t>
  </si>
  <si>
    <t>Copy of 081_study10.txt</t>
  </si>
  <si>
    <t>Copy of 082_the_castle_of_otranto.txt</t>
  </si>
  <si>
    <t>Copy of 083_the_drivers_seat.txt</t>
  </si>
  <si>
    <t>Copy of 087_the_mysterious_stranger.txt</t>
  </si>
  <si>
    <t>Copy of 088_The_Machine_Stops.txt</t>
  </si>
  <si>
    <t>Copy of 094_The_History_of_Rasselas_Prince_Abissinia.txt</t>
  </si>
  <si>
    <t>Copy of 095_grendel.txt</t>
  </si>
  <si>
    <t>Copy of 096_double_indemnity.txt</t>
  </si>
  <si>
    <t>Copy of 098_the_gunslinger.txt</t>
  </si>
  <si>
    <t>Copy of 099_train-dreams.txt</t>
  </si>
  <si>
    <t>Copy of 100_the_postman_always_rings_twice.txt</t>
  </si>
  <si>
    <t>Copy of 103_seize_the_day.txt</t>
  </si>
  <si>
    <t>Copy of 105_pale-horse.txt</t>
  </si>
  <si>
    <t>Copy of 108_reflections_in_a_golden_eye.txt</t>
  </si>
  <si>
    <t>Copy of 111_a_single_man.txt</t>
  </si>
  <si>
    <t>Copy of 113_youth.txt</t>
  </si>
  <si>
    <t>Copy of 115_red_harvest.txt</t>
  </si>
  <si>
    <t>Copy of 116_the_third_man.txt</t>
  </si>
  <si>
    <t>Copy of 119_passing.txt</t>
  </si>
  <si>
    <t>Copy of 121_the_beast_in_the_jungle.txt</t>
  </si>
  <si>
    <t>Copy of 123_the_subterraneans.txt</t>
  </si>
  <si>
    <t>Copy of 125_cycle_of_the_werewolf.txt</t>
  </si>
  <si>
    <t>Copy of 127_the_stepford_wives.txt</t>
  </si>
  <si>
    <t>Copy of 128_carmilla.txt</t>
  </si>
  <si>
    <t>Copy of 130_the_island_of_dr_moreau.txt</t>
  </si>
  <si>
    <t>Copy of 133_down_among_the_sticks_and_bones.txt</t>
  </si>
  <si>
    <t>Copy of 134_oh_pioneers.txt</t>
  </si>
  <si>
    <t>Copy of 138_the_hellbound_heart.txt</t>
  </si>
  <si>
    <t>Copy of 139_the_word_for_world_is_forest.txt</t>
  </si>
  <si>
    <t>Copy of 140_foe.txt</t>
  </si>
  <si>
    <t>Copy of 145_the_aspern_papers.txt</t>
  </si>
  <si>
    <t>Copy of 147_the_short_second_life_of_bree_tanner.txt</t>
  </si>
  <si>
    <t>Copy of 150_norwood.txt</t>
  </si>
  <si>
    <t>Copy of 152_the_glass_key.txt</t>
  </si>
  <si>
    <t>Copy of 153_three_famous_short_novels.txt</t>
  </si>
  <si>
    <t>Copy of 163_the_ponder_heart.txt</t>
  </si>
  <si>
    <t>Copy of 164_at_the_mountains_of_madness.txt</t>
  </si>
  <si>
    <t>Copy of 166_the_loneliness_of_the_long_distance.txt</t>
  </si>
  <si>
    <t>Copy of 167_houston_houston_do_you_read.txt</t>
  </si>
  <si>
    <t>Copy of 170_chimes.txt</t>
  </si>
  <si>
    <t>Copy of 172_small_things_like_these.txt</t>
  </si>
  <si>
    <t>Copy of 173_oroonoko.txt</t>
  </si>
  <si>
    <t>Copy of 174_good_bye_mr_chips.txt</t>
  </si>
  <si>
    <t>Copy of 176_memory_wall.txt</t>
  </si>
  <si>
    <t>Copy of 177_the_loved_one.txt</t>
  </si>
  <si>
    <t>Copy of 178_binti.txt</t>
  </si>
  <si>
    <t>Copy of 179_things_fall_apart.txt</t>
  </si>
  <si>
    <t>Copy of 180_to_be_taught_if_fortunate.txt</t>
  </si>
  <si>
    <t>Copy of 181_the_tenth_man.txt</t>
  </si>
  <si>
    <t>Copy of 184_true_grit.txt</t>
  </si>
  <si>
    <t>Copy of 188_we_the_animals.txt</t>
  </si>
  <si>
    <t>Copy of 192_the_day_of_the_locust.txt</t>
  </si>
  <si>
    <t>Copy of 193_artificial_condition_the_murderbot_diarie.txt</t>
  </si>
  <si>
    <t>Copy of 194_rogue_protocol_the_murderbot_diaries.txt</t>
  </si>
  <si>
    <t>Copy of 196_the_shawl.txt</t>
  </si>
  <si>
    <t>Copy of 197_magic.txt</t>
  </si>
  <si>
    <t>Copy of 198_the_barracks_thief.txt</t>
  </si>
  <si>
    <t>Copy of 200_the_diamond_as_big_as_the_ritz.txt</t>
  </si>
  <si>
    <t>Copy of 203_the_end_of_the_tether.txt</t>
  </si>
  <si>
    <t>Copy of 204_rage.txt</t>
  </si>
  <si>
    <t>Copy of 205_mothering_sunday.txt</t>
  </si>
  <si>
    <t>Copy of 206_the_giving_tree.txt</t>
  </si>
  <si>
    <t>Copy of 207_angels_and_insects.txt</t>
  </si>
  <si>
    <t>Copy of 208_an_occurrence_at_owl_creek_bridge_other.txt</t>
  </si>
  <si>
    <t>Copy of 214_who_goes_there.txt</t>
  </si>
  <si>
    <t>Copy of 215_the_abbess_of_crewe.txt</t>
  </si>
  <si>
    <t>Copy of 217_the_age_of_grief.txt</t>
  </si>
  <si>
    <t>Copy of 219_the_cement_garden.txt</t>
  </si>
  <si>
    <t>Copy of 221_ham_on_rye.txt</t>
  </si>
  <si>
    <t>Copy of 222_running_wild.txt</t>
  </si>
  <si>
    <t>Copy of 224_the_thin_man.txt</t>
  </si>
  <si>
    <t>Copy of 226_the_ebony_tower.txt</t>
  </si>
  <si>
    <t>Copy of 228_a_wizard_of_earthsea.txt</t>
  </si>
  <si>
    <t>Copy of 232_false_dawn (1).txt</t>
  </si>
  <si>
    <t>Copy of 233_Up_at_the_villa.txt</t>
  </si>
  <si>
    <t>Copy of 236_the_long_walk.txt</t>
  </si>
  <si>
    <t>Copy of 238_city_of_glass.txt</t>
  </si>
  <si>
    <t>Copy of 241_ending_up.txt</t>
  </si>
  <si>
    <t>Copy of 245_the_beach.txt</t>
  </si>
  <si>
    <t>Copy of 248_granford.txt</t>
  </si>
  <si>
    <t>Copy of 250_legion.txt</t>
  </si>
  <si>
    <t>Copy of 252_the_comfort_of_strangers.txt</t>
  </si>
  <si>
    <t>Copy of 257_appointment_in_samarra.txt</t>
  </si>
  <si>
    <t>Copy of 259_the_snows_of_kilimanjaro_other.txt</t>
  </si>
  <si>
    <t>Copy of 260_the_shadow_out_of_time.txt</t>
  </si>
  <si>
    <t>Copy of 261_the_zoo_an_allegorical_adventure.txt</t>
  </si>
  <si>
    <t>Copy of 262_hatter.txt</t>
  </si>
  <si>
    <t>Copy of 263_the_basketball_diaries.txt</t>
  </si>
  <si>
    <t>Copy of 264_the_name_of_the_world.txt</t>
  </si>
  <si>
    <t>Copy of 266_after_life.txt</t>
  </si>
  <si>
    <t>Copy of 271_cold_enough_for_snow.txt</t>
  </si>
  <si>
    <t>Copy of 273_the_secret_sharer.txt</t>
  </si>
  <si>
    <t>Copy of 274_cousin_phyllis.txt</t>
  </si>
  <si>
    <t>Copy of 275_the_country_of_the_pointed_firs.txt</t>
  </si>
  <si>
    <t>Copy of 281_ordinary_love_and_good_will.txt</t>
  </si>
  <si>
    <t>Copy of 286_this_is_how_you_lose_the_time_war.txt</t>
  </si>
  <si>
    <t>Copy of 287_the_floating_gods.txt</t>
  </si>
  <si>
    <t>Copy of 291_the_man_that_corrupted_hadleyburg.txt</t>
  </si>
  <si>
    <t>Copy of 293_river_of_teeth.txt</t>
  </si>
  <si>
    <t>Copy of 294_last_of_the_curlews.txt</t>
  </si>
  <si>
    <t>Copy of 296_maggie.txt</t>
  </si>
  <si>
    <t>Copy of 298_dept_of_speculation.txt</t>
  </si>
  <si>
    <t>Copy of 300_goodbye_columbus.txt</t>
  </si>
  <si>
    <t>Copy of 301_smith_of_wootton_major.txt</t>
  </si>
  <si>
    <t>Copy of 305_the_dream_quest_of_unknown_kadath.txt</t>
  </si>
  <si>
    <t>Copy of 306_madame_de_treymes.txt</t>
  </si>
  <si>
    <t>Copy of 309_letters_from_the_earth.txt</t>
  </si>
  <si>
    <t>Copy of 310_mrs_dalloway.txt</t>
  </si>
  <si>
    <t>Copy of 311_the_ballad_of_black_tom.txt</t>
  </si>
  <si>
    <t>Copy of 313_the_lifecycle_of_software_objects.txt</t>
  </si>
  <si>
    <t>Copy of 314_all_my_friends_are_superheroes.txt</t>
  </si>
  <si>
    <t>Copy of 318_breath.txt</t>
  </si>
  <si>
    <t>Copy of 319_the_dying_animal.txt</t>
  </si>
  <si>
    <t>Copy of 321_rebecca_and_rowena.txt</t>
  </si>
  <si>
    <t>Copy of 326_the_optimist_s_daughter.txt</t>
  </si>
  <si>
    <t>Copy of 327_pafko_at_the_wall.txt</t>
  </si>
  <si>
    <t>Copy of 329_grief_is_the_thing_with_feathers.txt</t>
  </si>
  <si>
    <t>Copy of 330_lois_the_witch.txt</t>
  </si>
  <si>
    <t>Copy of 332_the_ballad_of_peckham_rye.txt</t>
  </si>
  <si>
    <t>Copy of 333_the_dragon_masters.txt</t>
  </si>
  <si>
    <t>Copy of 334_everything_in_this_country_must.txt</t>
  </si>
  <si>
    <t>Copy of 335_coffey_on_the_mile.txt</t>
  </si>
  <si>
    <t>Copy of 339_the_king_of_pirates.txt</t>
  </si>
  <si>
    <t>Copy of 342_the_farthest_shore.txt</t>
  </si>
  <si>
    <t>Copy of 343_tear_and_loathing_in_las_vegas.txt</t>
  </si>
  <si>
    <t>Copy of 344_the_mouse_on_the_mile.txt</t>
  </si>
  <si>
    <t>Copy of 347_my_mortal_enemy.txt</t>
  </si>
  <si>
    <t>Copy of 349_the_moon_moth.txt</t>
  </si>
  <si>
    <t>Copy of 350_night_journey.txt</t>
  </si>
  <si>
    <t>Copy of 351_our_souls_at_night.txt</t>
  </si>
  <si>
    <t>Copy of 355_the_daylight_gate.txt</t>
  </si>
  <si>
    <t>Copy of 357_the_man_whom_the_trees_loved.txt</t>
  </si>
  <si>
    <t>Copy of 358_coffey_s_hands.txt</t>
  </si>
  <si>
    <t>Copy of 359_the_book_of_merlyn.txt</t>
  </si>
  <si>
    <t>Copy of 363_every_day_is_for_the_thief.txt</t>
  </si>
  <si>
    <t>Copy of 364_damage.txt</t>
  </si>
  <si>
    <t>Copy of 367_behind_a_mask.txt</t>
  </si>
  <si>
    <t>Copy of 368_death_is_not_the_end.txt</t>
  </si>
  <si>
    <t>Copy of 369_astonishing_the_gods.txt</t>
  </si>
  <si>
    <t>Copy of 370_the_gold-bug.txt</t>
  </si>
  <si>
    <t>Copy of 371_the_lifted_veil.txt</t>
  </si>
  <si>
    <t>Copy of 372_the_signal.txt</t>
  </si>
  <si>
    <t>Copy of 373_stone_prison.txt</t>
  </si>
  <si>
    <t>Copy of 374_sanctuary.txt</t>
  </si>
  <si>
    <t>Copy of 378_fondly.txt</t>
  </si>
  <si>
    <t>Copy of 381_fear_me.txt</t>
  </si>
  <si>
    <t>Copy of 383_flawless_mistake.txt</t>
  </si>
  <si>
    <t>Copy of 387_the_beast_god_forgot_to_invent.txt</t>
  </si>
  <si>
    <t>Copy of 388_spacewrecked_on_venus.txt</t>
  </si>
  <si>
    <t>Copy of 389_till_tomorrow.txt</t>
  </si>
  <si>
    <t>Copy of 390_a_man_and_his_god.txt</t>
  </si>
  <si>
    <t>Copy of 398_a_single_pebble.txt</t>
  </si>
  <si>
    <t>Copy of 400_the_silence.txt</t>
  </si>
  <si>
    <t>Copy of 408_assembly.txt</t>
  </si>
  <si>
    <t>Copy of 415_silent_thunder_universe.txt</t>
  </si>
  <si>
    <t>Copy of 416_mitz.txt</t>
  </si>
  <si>
    <t>Copy of 417_the_clock_king_and_the_queen_of_the_hourglass.txt</t>
  </si>
  <si>
    <t>Copy of 419_sabrinas_window.txt</t>
  </si>
  <si>
    <t>Copy of 421_specimen_days.txt</t>
  </si>
  <si>
    <t>Copy of 426_the_breathing_method.txt</t>
  </si>
  <si>
    <t>Copy of 427_brown_dog.txt</t>
  </si>
  <si>
    <t>Copy of 429_the_wreck_of_the_titan.txt</t>
  </si>
  <si>
    <t>Copy of 430_prayers_on_the_wind.txt</t>
  </si>
  <si>
    <t>Copy of 431_the_awakened_kingdom.txt</t>
  </si>
  <si>
    <t>Copy of 433_ring_shout.txt</t>
  </si>
  <si>
    <t>Copy of 435_tread_of_angels.txt</t>
  </si>
  <si>
    <t>Copy of 436_cardiff_by_the_sea.txt</t>
  </si>
  <si>
    <t>Copy of 438_dragons_oath.txt</t>
  </si>
  <si>
    <t>Copy of 439_wildlife.txt</t>
  </si>
  <si>
    <t>Copy of 440_an_apology_for_the_life_of_mrs.txt</t>
  </si>
  <si>
    <t>Copy of 441_the_woman_Lit_by_fireflies.txt</t>
  </si>
  <si>
    <t>Copy of 442_beggars_in_spain.txt</t>
  </si>
  <si>
    <t>Copy of 443_the_hemingway_hoax.txt</t>
  </si>
  <si>
    <t>Copy of 444_the_dream-quest_of_vellitt.txt</t>
  </si>
  <si>
    <t>Copy of 445_mildred_pierce.txt</t>
  </si>
  <si>
    <t>Copy of 446_lady_susan_the_watsons_sanditon.txt</t>
  </si>
  <si>
    <t>Copy of 450_mcglue.txt</t>
  </si>
  <si>
    <t>Copy of 451_right_Livelihoods.txt</t>
  </si>
  <si>
    <t>Copy of 453_a_song_for_lya.txt</t>
  </si>
  <si>
    <t>Copy of 454_the_problem_of_thor_bridge.txt</t>
  </si>
  <si>
    <t>Copy of 456_the_lathe_of_heaven.txt</t>
  </si>
  <si>
    <t>Copy of 458_the_rape_of_tamar.txt</t>
  </si>
  <si>
    <t>Copy of 460_chicken_little.txt</t>
  </si>
  <si>
    <t>Copy of 462_in_the_cage.txt</t>
  </si>
  <si>
    <t>Copy of 463_the_third_man_and_the_fallen_idol.txt</t>
  </si>
  <si>
    <t>Copy of 466_the_light_in_the_piazza.txt</t>
  </si>
  <si>
    <t>Copy of 477_ellen_foster.txt</t>
  </si>
  <si>
    <t>Copy of 479_2001_a_space_odyssey.txt</t>
  </si>
  <si>
    <t>Copy of 480_the_scarlet_pimpernel.txt</t>
  </si>
  <si>
    <t>Copy of 481_the_loony.txt</t>
  </si>
  <si>
    <t>Copy of 483_hell_island.txt</t>
  </si>
  <si>
    <t>Copy of 484_lucinella.txt</t>
  </si>
  <si>
    <t>Copy of 487_burn.txt</t>
  </si>
  <si>
    <t>Copy of 498_in_an_absent_dream.txt</t>
  </si>
  <si>
    <t>Copy of 500_my_tango_with_barbara_strozzi.txt</t>
  </si>
  <si>
    <t>Copy of 501_the_mystery_knight.txt</t>
  </si>
  <si>
    <t>Copy of 507_the_sworn_sword.txt</t>
  </si>
  <si>
    <t>Copy of 510_beneath_the_sugar_sky.txt</t>
  </si>
  <si>
    <t>Copy of 512_the_pavilion_on_the_links.txt</t>
  </si>
  <si>
    <t>Copy of 513_the_hedge_knight_II__sworn_sword.txt</t>
  </si>
  <si>
    <t>Copy of 514_a_phantom_lover_and_other_dark.txt</t>
  </si>
  <si>
    <t>Copy of 516_roadwork.txt</t>
  </si>
  <si>
    <t>Copy of 519_inside_job.txt</t>
  </si>
  <si>
    <t>Copy of 521_the_haunted_bookshop.txt</t>
  </si>
  <si>
    <t>Copy of 523_the_penelopiad.txt</t>
  </si>
  <si>
    <t>Copy of 524_the_narrow_corner.txt</t>
  </si>
  <si>
    <t>Copy of 525_the_face_a_timecode.txt</t>
  </si>
  <si>
    <t>Copy of 529_the_river_swimmer.txt</t>
  </si>
  <si>
    <t>Copy of 532_the_running_man.txt</t>
  </si>
  <si>
    <t>Copy of 533_exit_strategy.txt</t>
  </si>
  <si>
    <t>Copy of 534_the_pilgrim_hawk.txt</t>
  </si>
  <si>
    <t>Copy of 537_the_menace_from_farside.txt</t>
  </si>
  <si>
    <t>Copy of 539_waiting_period.txt</t>
  </si>
  <si>
    <t>Copy of 541_taste_of_marrow.txt</t>
  </si>
  <si>
    <t>Copy of 543_bear.txt</t>
  </si>
  <si>
    <t>Copy of 550_the_distracted_preacher.txt</t>
  </si>
  <si>
    <t>Copy of 552_a_rogues_life.txt</t>
  </si>
  <si>
    <t>Copy of 553_the_two_dead_girls.txt</t>
  </si>
  <si>
    <t>Copy of 557_midsummer.txt</t>
  </si>
  <si>
    <t>Copy of 558_guts.txt</t>
  </si>
  <si>
    <t>Copy of 562_walkabout.txt</t>
  </si>
  <si>
    <t>Copy of 564_the_journals_of_eleanor_druse.txt</t>
  </si>
  <si>
    <t>Copy of 565_lost_dorsai.txt</t>
  </si>
  <si>
    <t>Copy of 566_swamp_angel.txt</t>
  </si>
  <si>
    <t>Copy of 569_the_tragedy_of_the_korosko.txt</t>
  </si>
  <si>
    <t>Copy of 570_the_freeze-frame_revolution.txt</t>
  </si>
  <si>
    <t>Copy of 571_the_duel.txt</t>
  </si>
  <si>
    <t>Copy of 572_the_dire_earth.txt</t>
  </si>
  <si>
    <t>Jason M. Hough</t>
  </si>
  <si>
    <t>Copy of 576_the_damned.txt</t>
  </si>
  <si>
    <t>Copy of 577_the_executioness.txt</t>
  </si>
  <si>
    <t>Tobias S. Buckell</t>
  </si>
  <si>
    <t>Copy of 579_mariette_in_ecstasy.txt</t>
  </si>
  <si>
    <t>Ron Hansen</t>
  </si>
  <si>
    <t>Copy of 582_backup.txt</t>
  </si>
  <si>
    <t>Jim Butcher</t>
  </si>
  <si>
    <t>Copy of 585_jacobs_room.txt</t>
  </si>
  <si>
    <t>Copy of 588_equoid.txt</t>
  </si>
  <si>
    <t>Charles Stross</t>
  </si>
  <si>
    <t>Copy of 594_yesterdays_kin.txt</t>
  </si>
  <si>
    <t>Copy of 595_the_magic_shop.txt</t>
  </si>
  <si>
    <t>Copy of 598_the_body_artist.txt</t>
  </si>
  <si>
    <t>Copy of 601_the_god_engines.txt</t>
  </si>
  <si>
    <t>John Scalzi</t>
  </si>
  <si>
    <t>Copy of 604_the_humbling.txt</t>
  </si>
  <si>
    <t>Copy of 605_the_alchemist_boquati.txt</t>
  </si>
  <si>
    <t>Paolo Bacigalupi</t>
  </si>
  <si>
    <t>Copy of 608_all_about_emily.txt</t>
  </si>
  <si>
    <t>Copy of 609_whores_for_gloria.txt</t>
  </si>
  <si>
    <t>William T. Vollmann</t>
  </si>
  <si>
    <t>Copy of 612_the_free_man.txt</t>
  </si>
  <si>
    <t>Conrad Richter</t>
  </si>
  <si>
    <t>Copy of 618_sailing_to_byzantium.txt</t>
  </si>
  <si>
    <t>Robert Silverberg &amp; Gene Wolfe</t>
  </si>
  <si>
    <t>Copy of 620_fengriffen.txt</t>
  </si>
  <si>
    <t>David Case</t>
  </si>
  <si>
    <t>Copy of 621_the_iron_heel.txt</t>
  </si>
  <si>
    <t>Copy of 633_old_new_york.txt</t>
  </si>
  <si>
    <t>Copy of 637_the_last_castle.txt</t>
  </si>
  <si>
    <t>Copy of 638_auggie_wrens_christmas_story.txt</t>
  </si>
  <si>
    <t>Copy of 654_the_courage_consort.txt</t>
  </si>
  <si>
    <t>Michel Faber</t>
  </si>
  <si>
    <t>Copy of 657_the_hundred_and_ninety-nine_steps.txt</t>
  </si>
  <si>
    <t>Copy of 662_pobby_and_dingan.txt</t>
  </si>
  <si>
    <t>Ben Rice</t>
  </si>
  <si>
    <t>Copy of 664_swimmer_in_the_secret_sea.txt</t>
  </si>
  <si>
    <t>William Kotzwinkle</t>
  </si>
  <si>
    <t>Copy of 665_so_long_see_you_tomorrow.txt</t>
  </si>
  <si>
    <t>William Maxwell</t>
  </si>
  <si>
    <t>Copy of 667_the_watsons.txt</t>
  </si>
  <si>
    <t>Copy of 669_vathek.txt</t>
  </si>
  <si>
    <t>William Beckford</t>
  </si>
  <si>
    <t>Copy of 671_great_granny_webster.txt</t>
  </si>
  <si>
    <t>Caroline Blackwood</t>
  </si>
  <si>
    <t>MIN</t>
  </si>
  <si>
    <t>MAX</t>
  </si>
  <si>
    <t>filename</t>
  </si>
  <si>
    <t>word_count</t>
  </si>
  <si>
    <t>N_score</t>
  </si>
  <si>
    <t>000_the_old_man_and_the_sea.txt</t>
  </si>
  <si>
    <t>001_animal-farm.txt</t>
  </si>
  <si>
    <t>002_mice-and-men.txt</t>
  </si>
  <si>
    <t>006_a_christmas_carol.txt</t>
  </si>
  <si>
    <t>007_the_strange_case_of_dr_jekyll.txt</t>
  </si>
  <si>
    <t>008_heart-of-darkness.txt</t>
  </si>
  <si>
    <t>009_deniel_kiz_elcernon_ucun_guller_eng.txt</t>
  </si>
  <si>
    <t>010_a_clockwork_orange.txt</t>
  </si>
  <si>
    <t>012_Breakfast-at-Tiffanys.txt</t>
  </si>
  <si>
    <t>015_the_call_of_the_wild.txt</t>
  </si>
  <si>
    <t>016_The_Time_Machine-H._G._Wells.txt</t>
  </si>
  <si>
    <t>017_story_of_the_ws.txt</t>
  </si>
  <si>
    <t>018_pearl.txt</t>
  </si>
  <si>
    <t>019_night.txt</t>
  </si>
  <si>
    <t>020_the_awakening.txt</t>
  </si>
  <si>
    <t>022_the_dead.txt</t>
  </si>
  <si>
    <t>024_ethan_frome.txt</t>
  </si>
  <si>
    <t>026_we_have_always_lived_in_the_ca.txt</t>
  </si>
  <si>
    <r>
      <rPr>
        <b/>
        <sz val="11"/>
        <color theme="1"/>
        <rFont val="Calibri"/>
        <family val="2"/>
      </rPr>
      <t>Semantic complexity</t>
    </r>
    <r>
      <rPr>
        <sz val="11"/>
        <color theme="1"/>
        <rFont val="Calibri"/>
        <family val="2"/>
      </rPr>
      <t xml:space="preserve"> (уникальные концепты)</t>
    </r>
  </si>
  <si>
    <t>028_Lord_of_the_flies.txt</t>
  </si>
  <si>
    <r>
      <rPr>
        <b/>
        <sz val="11"/>
        <color theme="1"/>
        <rFont val="Calibri"/>
        <family val="2"/>
      </rPr>
      <t>Propositional density</t>
    </r>
    <r>
      <rPr>
        <sz val="11"/>
        <color theme="1"/>
        <rFont val="Calibri"/>
        <family val="2"/>
      </rPr>
      <t xml:space="preserve"> (утверждений на предложение)</t>
    </r>
  </si>
  <si>
    <t>032_rita_hayworth_and_the_shawshank.txt</t>
  </si>
  <si>
    <r>
      <rPr>
        <b/>
        <sz val="11"/>
        <color theme="1"/>
        <rFont val="Calibri"/>
        <family val="2"/>
      </rPr>
      <t>Lexical diversity</t>
    </r>
    <r>
      <rPr>
        <sz val="11"/>
        <color theme="1"/>
        <rFont val="Calibri"/>
        <family val="2"/>
      </rPr>
      <t xml:space="preserve"> (Type-Token Ratio)</t>
    </r>
  </si>
  <si>
    <t>034_daisy_miller_and_other.txt</t>
  </si>
  <si>
    <t>Semantic Coherence</t>
  </si>
  <si>
    <t>036_the_turn_of_the_screw.txt</t>
  </si>
  <si>
    <t>037_jonathan_livingston_seagull_en.txt</t>
  </si>
  <si>
    <t>038_anthem.txt</t>
  </si>
  <si>
    <t>039_coraline.txt</t>
  </si>
  <si>
    <t>041_raise_high_the_roof_beam.txt</t>
  </si>
  <si>
    <t>042_doyle-sign-389.txt</t>
  </si>
  <si>
    <t>043_the_prime_of_miss_jean_brodie.txt</t>
  </si>
  <si>
    <t>044_the_unicommon_reader.txt</t>
  </si>
  <si>
    <t>045_the_ballad_of_the_sad_cafe_other.txt</t>
  </si>
  <si>
    <t>046_cannery_row.txt</t>
  </si>
  <si>
    <t>047_the_crying_of_lot_49.txt</t>
  </si>
  <si>
    <t>048_the_war_of_the_worlds.txt</t>
  </si>
  <si>
    <t>050_the_body.txt</t>
  </si>
  <si>
    <t>051_the_picture_of_dorian_gray.txt</t>
  </si>
  <si>
    <t>053_the_mist.txt</t>
  </si>
  <si>
    <t>054_doyle-hound-383.txt</t>
  </si>
  <si>
    <t>055_giovannis_room.txt</t>
  </si>
  <si>
    <t>057_a_river_runs_through_it.txt</t>
  </si>
  <si>
    <t>058_invisible_man.txt</t>
  </si>
  <si>
    <t>059_the_house_on_mango_street.txt</t>
  </si>
  <si>
    <t>061_the_man_who_would_be_king.txt</t>
  </si>
  <si>
    <t>066_a_month_in_the_country.txt</t>
  </si>
  <si>
    <t>067_the_catcher_in_the_rye.txt</t>
  </si>
  <si>
    <t>068_the_great_divorce.txt</t>
  </si>
  <si>
    <t>073_all_systems_red.txt</t>
  </si>
  <si>
    <t>074_The_Perks_of_Being_a_Wallflower.txt</t>
  </si>
  <si>
    <t>075_the_giver_lois_lowry.txt</t>
  </si>
  <si>
    <t>076_the_case_of_charles_dexter_ward.txt</t>
  </si>
  <si>
    <t>077_apt_pupil_Stephen_King.txt</t>
  </si>
  <si>
    <t>078_the_bridge_of_san_luis_rey.txt</t>
  </si>
  <si>
    <t>079_shopgirl.txt</t>
  </si>
  <si>
    <t>080_pnin_vladimir_nabokov.txt</t>
  </si>
  <si>
    <t>081_study10.txt</t>
  </si>
  <si>
    <t>082_the_castle_of_otranto.txt</t>
  </si>
  <si>
    <t>083_the_drivers_seat.txt</t>
  </si>
  <si>
    <t>087_the_mysterious_stranger.txt</t>
  </si>
  <si>
    <t>088_The_Machine_Stops.txt</t>
  </si>
  <si>
    <t>093_to_kill_a_mocking_bird.txt</t>
  </si>
  <si>
    <t>094_The_History_of_Rasselas_Prince_Abissinia.txt</t>
  </si>
  <si>
    <t>095_grendel.txt</t>
  </si>
  <si>
    <t>096_double_indemnity.txt</t>
  </si>
  <si>
    <t>098_the_gunslinger.txt</t>
  </si>
  <si>
    <t>099_train-dreams.txt</t>
  </si>
  <si>
    <t>100_the_postman_always_rings_twice.txt</t>
  </si>
  <si>
    <t>102_Miss_Lonelyhearts.txt</t>
  </si>
  <si>
    <t>103_seize_the_day.txt</t>
  </si>
  <si>
    <t>105_pale-horse.txt</t>
  </si>
  <si>
    <t>108_reflections_in_a_golden_eye.txt</t>
  </si>
  <si>
    <t>109_being_there.txt</t>
  </si>
  <si>
    <t>111_a_single_man.txt</t>
  </si>
  <si>
    <t>113_youth.txt</t>
  </si>
  <si>
    <t>115_red_harvest.txt</t>
  </si>
  <si>
    <t>116_the_third_man.txt</t>
  </si>
  <si>
    <t>119_passing.txt</t>
  </si>
  <si>
    <t>121_the_beast_in_the_jungle.txt</t>
  </si>
  <si>
    <t>123_the_subterraneans.txt</t>
  </si>
  <si>
    <t>125_cycle_of_the_werewolf.txt</t>
  </si>
  <si>
    <t>127_the_stepford_wives.txt</t>
  </si>
  <si>
    <t>128_carmilla.txt</t>
  </si>
  <si>
    <t>130_the_island_of_dr_moreau.txt</t>
  </si>
  <si>
    <t>133_down_among_the_sticks_and_bones.txt</t>
  </si>
  <si>
    <t>134_oh_pioneers.txt</t>
  </si>
  <si>
    <t>135_the_maltese_falcon.txt</t>
  </si>
  <si>
    <t>138_the_hellbound_heart.txt</t>
  </si>
  <si>
    <t>139_the_word_for_world_is_forest.txt</t>
  </si>
  <si>
    <t>140_foe.txt</t>
  </si>
  <si>
    <t>145_the_aspern_papers.txt</t>
  </si>
  <si>
    <t>147_the_short_second_life_of_bree_tanner.txt</t>
  </si>
  <si>
    <t>150_norwood.txt</t>
  </si>
  <si>
    <t>151_on_chesil_beach.txt</t>
  </si>
  <si>
    <t>152_the_glass_key.txt</t>
  </si>
  <si>
    <t>153_three_famous_short_novels.txt</t>
  </si>
  <si>
    <t>156_the_13_clocks.txt</t>
  </si>
  <si>
    <t>163_the_ponder_heart.txt</t>
  </si>
  <si>
    <t>164_at_the_mountains_of_madness.txt</t>
  </si>
  <si>
    <t>166_the_loneliness_of_the_long_distance.txt</t>
  </si>
  <si>
    <t>167_houston_houston_do_you_read.txt</t>
  </si>
  <si>
    <t>170_chimes.txt</t>
  </si>
  <si>
    <t>172_small_things_like_these.txt</t>
  </si>
  <si>
    <t>173_oroonoko.txt</t>
  </si>
  <si>
    <t>174_good_bye_mr_chips.txt</t>
  </si>
  <si>
    <t>176_memory_wall.txt</t>
  </si>
  <si>
    <t>177_the_loved_one.txt</t>
  </si>
  <si>
    <t>178_binti.txt</t>
  </si>
  <si>
    <t>179_things_fall_apart.txt</t>
  </si>
  <si>
    <t>180_to_be_taught_if_fortunate.txt</t>
  </si>
  <si>
    <t>181_the_tenth_man.txt</t>
  </si>
  <si>
    <t>184_true_grit.txt</t>
  </si>
  <si>
    <t>185_waiting_for_the_barbarians.txt</t>
  </si>
  <si>
    <t>188_we_the_animals.txt</t>
  </si>
  <si>
    <t>191_every_heart_a_doorway.txt</t>
  </si>
  <si>
    <t>192_the_day_of_the_locust.txt</t>
  </si>
  <si>
    <t>193_artificial_condition_the_murderbot_diarie.txt</t>
  </si>
  <si>
    <t>194_rogue_protocol_the_murderbot_diaries.txt</t>
  </si>
  <si>
    <t>196_the_shawl.txt</t>
  </si>
  <si>
    <t>197_magic.txt</t>
  </si>
  <si>
    <t>198_the_barracks_thief.txt</t>
  </si>
  <si>
    <t>200_the_diamond_as_big_as_the_ritz.txt</t>
  </si>
  <si>
    <t>201_the_tiny_wife.txt</t>
  </si>
  <si>
    <t>203_the_end_of_the_tether.txt</t>
  </si>
  <si>
    <t>204_rage.txt</t>
  </si>
  <si>
    <t>205_mothering_sunday.txt</t>
  </si>
  <si>
    <t>206_the_giving_tree.txt</t>
  </si>
  <si>
    <t>207_angels_and_insects.txt</t>
  </si>
  <si>
    <t>208_an_occurrence_at_owl_creek_bridge_other.txt</t>
  </si>
  <si>
    <t>214_who_goes_there.txt</t>
  </si>
  <si>
    <t>215_the_abbess_of_crewe.txt</t>
  </si>
  <si>
    <t>217_the_age_of_grief.txt</t>
  </si>
  <si>
    <t>219_the_cement_garden.txt</t>
  </si>
  <si>
    <t>221_ham_on_rye.txt</t>
  </si>
  <si>
    <t>222_running_wild.txt</t>
  </si>
  <si>
    <t>223_stevenson_strange.txt</t>
  </si>
  <si>
    <t>224_the_thin_man.txt</t>
  </si>
  <si>
    <t>226_the_ebony_tower.txt</t>
  </si>
  <si>
    <t>228_a_wizard_of_earthsea.txt</t>
  </si>
  <si>
    <t>232_false_dawn.txt</t>
  </si>
  <si>
    <t>233_Up_at_the_villa.txt</t>
  </si>
  <si>
    <t>236_the_long_walk.txt</t>
  </si>
  <si>
    <t>238_city_of_glass.txt</t>
  </si>
  <si>
    <t>241_ending_up.txt</t>
  </si>
  <si>
    <t>242_the_picture_of_dorian_gray.txt</t>
  </si>
  <si>
    <t>245_the_beach.txt</t>
  </si>
  <si>
    <t>248_granford.txt</t>
  </si>
  <si>
    <t>250_legion.txt</t>
  </si>
  <si>
    <t>252_the_comfort_of_strangers.txt</t>
  </si>
  <si>
    <t>257_appointment_in_samarra.txt</t>
  </si>
  <si>
    <t>258_farmer_giles_of_ham.txt</t>
  </si>
  <si>
    <t>259_the_snows_of_kilimanjaro_other.txt</t>
  </si>
  <si>
    <t>260_the_shadow_out_of_time.txt</t>
  </si>
  <si>
    <t>261_the_zoo_an_allegorical_adventure.txt</t>
  </si>
  <si>
    <t>262_hatter.txt</t>
  </si>
  <si>
    <t>263_the_basketball_diaries.txt</t>
  </si>
  <si>
    <t>264_the_name_of_the_world.txt</t>
  </si>
  <si>
    <t>266_after_life.txt</t>
  </si>
  <si>
    <t>268_under_the_greenwood_tree.txt</t>
  </si>
  <si>
    <t>270_the_governess_affair.txt</t>
  </si>
  <si>
    <t>271_cold_enough_for_snow.txt</t>
  </si>
  <si>
    <t>273_the_secret_sharer.txt</t>
  </si>
  <si>
    <t>274_cousin_phyllis.txt</t>
  </si>
  <si>
    <t>275_the_country_of_the_pointed_firs.txt</t>
  </si>
  <si>
    <t>281_ordinary_love_and_good_will.txt</t>
  </si>
  <si>
    <t>286_this_is_how_you_lose_the_time_war.txt</t>
  </si>
  <si>
    <t>287_the_floating_gods.txt</t>
  </si>
  <si>
    <t>291_the_man_that_corrupted_hadleyburg.txt</t>
  </si>
  <si>
    <t>293_river_of_teeth.txt</t>
  </si>
  <si>
    <t>294_last_of_the_curlews.txt</t>
  </si>
  <si>
    <t>296_maggie.txt</t>
  </si>
  <si>
    <t>298_dept_of_speculation.txt</t>
  </si>
  <si>
    <t>300_goodbye_columbus.txt</t>
  </si>
  <si>
    <t>301_smith_of_wootton_major.txt</t>
  </si>
  <si>
    <t>302_the_great_gatsby.txt</t>
  </si>
  <si>
    <t>305_the_dream_quest_of_unknown_kadath.txt</t>
  </si>
  <si>
    <t>306_madame_de_treymes.txt</t>
  </si>
  <si>
    <t>309_letters_from_the_earth.txt</t>
  </si>
  <si>
    <t>310_mrs_dalloway.txt</t>
  </si>
  <si>
    <t>311_the_ballad_of_black_tom.txt</t>
  </si>
  <si>
    <t>313_the_lifecycle_of_software_objects.txt</t>
  </si>
  <si>
    <t>314_all_my_friends_are_superheroes.txt</t>
  </si>
  <si>
    <t>316_the_canterville_ghost.txt</t>
  </si>
  <si>
    <t>317_the_wonderful_o.txt</t>
  </si>
  <si>
    <t>318_breath.txt</t>
  </si>
  <si>
    <t>319_the_dying_animal.txt</t>
  </si>
  <si>
    <t>321_rebecca_and_rowena.txt</t>
  </si>
  <si>
    <t>326_the_optimist_s_daughter.txt</t>
  </si>
  <si>
    <t>327_pafko_at_the_wall.txt</t>
  </si>
  <si>
    <t>329_grief_is_the_thing_with_feathers.txt</t>
  </si>
  <si>
    <t>330_lois_the_witch.txt</t>
  </si>
  <si>
    <t>332_the_ballad_of_peckham_rye.txt</t>
  </si>
  <si>
    <t>333_the_dragon_masters.txt</t>
  </si>
  <si>
    <t>334_everything_in_this_country_must.txt</t>
  </si>
  <si>
    <t>335_coffey_on_the_mile.txt</t>
  </si>
  <si>
    <t>337_the_library_window.txt</t>
  </si>
  <si>
    <t>339_the_king_of_pirates.txt</t>
  </si>
  <si>
    <t>342_the_farthest_shore.txt</t>
  </si>
  <si>
    <t>343_tear_and_loathing_in_las_vegas.txt</t>
  </si>
  <si>
    <t>344_the_mouse_on_the_mile.txt</t>
  </si>
  <si>
    <t>345_lyras_oxford.txt</t>
  </si>
  <si>
    <t>347_my_mortal_enemy.txt</t>
  </si>
  <si>
    <t>349_the_moon_moth.txt</t>
  </si>
  <si>
    <t>350_night_journey.txt</t>
  </si>
  <si>
    <t>351_our_souls_at_night.txt</t>
  </si>
  <si>
    <t>355_the_daylight_gate.txt</t>
  </si>
  <si>
    <t>357_the_man_whom_the_trees_loved.txt</t>
  </si>
  <si>
    <t>358_coffey_s_hands.txt</t>
  </si>
  <si>
    <t>359_the_book_of_merlyn.txt</t>
  </si>
  <si>
    <t>363_every_day_is_for_the_thief.txt</t>
  </si>
  <si>
    <t>364_damage.txt</t>
  </si>
  <si>
    <t>365_the_rise_of_life_on_earth.txt</t>
  </si>
  <si>
    <t>367_behind_a_mask.txt</t>
  </si>
  <si>
    <t>368_death_is_not_the_end.txt</t>
  </si>
  <si>
    <t>369_astonishing_the_gods.txt</t>
  </si>
  <si>
    <t>370_the_gold-bug.txt</t>
  </si>
  <si>
    <t>371_the_lifted_veil.txt</t>
  </si>
  <si>
    <t>372_the_signal.txt</t>
  </si>
  <si>
    <t>373_stone_prison.txt</t>
  </si>
  <si>
    <t>374_sanctuary.txt</t>
  </si>
  <si>
    <t>377_greater_than_rubies.txt</t>
  </si>
  <si>
    <t>378_fondly.txt</t>
  </si>
  <si>
    <t>381_fear_me.txt</t>
  </si>
  <si>
    <t>383_flawless_mistake.txt</t>
  </si>
  <si>
    <t>387_the_beast_god_forgot_to_invent.txt</t>
  </si>
  <si>
    <t>388_spacewrecked_on_venus.txt</t>
  </si>
  <si>
    <t>389_till_tomorrow.txt</t>
  </si>
  <si>
    <t>390_a_man_and_his_god.txt</t>
  </si>
  <si>
    <t>398_a_single_pebble.txt</t>
  </si>
  <si>
    <t>400_the_silence.txt</t>
  </si>
  <si>
    <t>407_the_restaurant_at_the_end.txt</t>
  </si>
  <si>
    <t>408_assembly.txt</t>
  </si>
  <si>
    <t>415_silent_thunder_universe.txt</t>
  </si>
  <si>
    <t>416_mitz.txt</t>
  </si>
  <si>
    <t>417_the_clock_king_and_the_queen_of_the_hourglass.txt</t>
  </si>
  <si>
    <t>418_breathless.txt</t>
  </si>
  <si>
    <t>419_sabrinas_window.txt</t>
  </si>
  <si>
    <t>421_specimen_days.txt</t>
  </si>
  <si>
    <t>426_the_breathing_method.txt</t>
  </si>
  <si>
    <t>427_brown_dog.txt</t>
  </si>
  <si>
    <t>429_the_wreck_of_the_titan.txt</t>
  </si>
  <si>
    <t>430_prayers_on_the_wind.txt</t>
  </si>
  <si>
    <t>431_the_awakened_kingdom.txt</t>
  </si>
  <si>
    <t>433_ring_shout.txt</t>
  </si>
  <si>
    <t>435_tread_of_angels.txt</t>
  </si>
  <si>
    <t>436_cardiff_by_the_sea.txt</t>
  </si>
  <si>
    <t>438_dragons_oath.txt</t>
  </si>
  <si>
    <t>439_wildlife.txt</t>
  </si>
  <si>
    <t>440_an_apology_for_the_life_of_mrs.txt</t>
  </si>
  <si>
    <t>441_the_woman_Lit_by_fireflies.txt</t>
  </si>
  <si>
    <t>442_beggars_in_spain.txt</t>
  </si>
  <si>
    <t>443_the_hemingway_hoax.txt</t>
  </si>
  <si>
    <t>444_the_dream-quest_of_vellitt.txt</t>
  </si>
  <si>
    <t>445_mildred_pierce.txt</t>
  </si>
  <si>
    <t>446_lady_susan_the_watsons_sanditon.txt</t>
  </si>
  <si>
    <t>450_mcglue.txt</t>
  </si>
  <si>
    <t>451_right_Livelihoods.txt</t>
  </si>
  <si>
    <t>452_the_perilous_life_of_jade.txt</t>
  </si>
  <si>
    <t>453_a_song_for_lya.txt</t>
  </si>
  <si>
    <t>454_the_problem_of_thor_bridge.txt</t>
  </si>
  <si>
    <t>456_the_lathe_of_heaven.txt</t>
  </si>
  <si>
    <t>458_the_rape_of_tamar.txt</t>
  </si>
  <si>
    <t>460_chicken_little.txt</t>
  </si>
  <si>
    <t>462_in_the_cage.txt</t>
  </si>
  <si>
    <t>463_the_third_man_and_the_fallen_idol.txt</t>
  </si>
  <si>
    <t>466_the_light_in_the_piazza.txt</t>
  </si>
  <si>
    <t>477_ellen_foster.txt</t>
  </si>
  <si>
    <t>479_2001_a_space_odyssey.txt</t>
  </si>
  <si>
    <t>480_the_scarlet_pimpernel.txt</t>
  </si>
  <si>
    <t>481_the_loony.txt</t>
  </si>
  <si>
    <t>483_hell_island.txt</t>
  </si>
  <si>
    <t>484_lucinella.txt</t>
  </si>
  <si>
    <t>487_burn.txt</t>
  </si>
  <si>
    <t>489_skin_deep.txt</t>
  </si>
  <si>
    <t>495_hammers_on_bone.txt</t>
  </si>
  <si>
    <t>498_in_an_absent_dream.txt</t>
  </si>
  <si>
    <t>500_my_tango_with_barbara_strozzi.txt</t>
  </si>
  <si>
    <t>501_the_mystery_knight.txt</t>
  </si>
  <si>
    <t>507_the_sworn_sword.txt</t>
  </si>
  <si>
    <t>510_beneath_the_sugar_sky.txt</t>
  </si>
  <si>
    <t>512_the_pavilion_on_the_links.txt</t>
  </si>
  <si>
    <t>513_the_hedge_knight_II__sworn_sword.txt</t>
  </si>
  <si>
    <t>514_a_phantom_lover_and_other_dark.txt</t>
  </si>
  <si>
    <t>516_roadwork.txt</t>
  </si>
  <si>
    <t>519_inside_job.txt</t>
  </si>
  <si>
    <t>521_the_haunted_bookshop.txt</t>
  </si>
  <si>
    <t>523_the_penelopiad.txt</t>
  </si>
  <si>
    <t>524_the_narrow_corner.txt</t>
  </si>
  <si>
    <t>525_the_face_a_timecode.txt</t>
  </si>
  <si>
    <t>529_the_river_swimmer.txt</t>
  </si>
  <si>
    <t>532_the_running_man.txt</t>
  </si>
  <si>
    <t>533_exit_strategy.txt</t>
  </si>
  <si>
    <t>534_the_pilgrim_hawk.txt</t>
  </si>
  <si>
    <t>537_the_menace_from_farside.txt</t>
  </si>
  <si>
    <t>539_waiting_period.txt</t>
  </si>
  <si>
    <t>541_taste_of_marrow.txt</t>
  </si>
  <si>
    <t>543_bear.txt</t>
  </si>
  <si>
    <t>550_the_distracted_preacher.txt</t>
  </si>
  <si>
    <t>552_a_rogues_life.txt</t>
  </si>
  <si>
    <t>553_the_two_dead_girls.txt</t>
  </si>
  <si>
    <t>557_midsummer.txt</t>
  </si>
  <si>
    <t>558_guts.txt</t>
  </si>
  <si>
    <t>560_how_to_marry_a_werewolf.txt</t>
  </si>
  <si>
    <t>562_walkabout.txt</t>
  </si>
  <si>
    <t>564_the_journals_of_eleanor_druse.txt</t>
  </si>
  <si>
    <t>565_lost_dorsai.txt</t>
  </si>
  <si>
    <t>566_swamp_angel.txt</t>
  </si>
  <si>
    <t>569_the_tragedy_of_the_korosko.txt</t>
  </si>
  <si>
    <t>570_the_freeze-frame_revolution.txt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</si>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</sst>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00"/>
    <numFmt numFmtId="166" formatCode="0.0000"/>
    <numFmt numFmtId="167" formatCode="0.0000000000"/>
    <numFmt numFmtId="168" formatCode="0.0"/>
    <numFmt numFmtId="169" formatCode="0.00000000"/>
    <numFmt numFmtId="170" formatCode="0.0000000"/>
  </numFmts>
  <fonts count="3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rgb="FF244061"/>
      <name val="Calibri"/>
      <family val="2"/>
    </font>
    <font>
      <b/>
      <sz val="11"/>
      <color rgb="FF548DD4"/>
      <name val="Calibri"/>
      <family val="2"/>
    </font>
    <font>
      <b/>
      <sz val="11"/>
      <color rgb="FF0F243E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548DD4"/>
      <name val="Calibri"/>
      <family val="2"/>
    </font>
    <font>
      <b/>
      <sz val="10"/>
      <color theme="1"/>
      <name val="Calibri"/>
      <family val="2"/>
    </font>
    <font>
      <b/>
      <sz val="10"/>
      <color rgb="FF7F6000"/>
      <name val="Calibri"/>
      <family val="2"/>
    </font>
    <font>
      <sz val="11"/>
      <color rgb="FF17365D"/>
      <name val="Calibri"/>
      <family val="2"/>
    </font>
    <font>
      <sz val="10"/>
      <color theme="1"/>
      <name val="Calibri"/>
      <family val="2"/>
    </font>
    <font>
      <sz val="11"/>
      <color rgb="FF7F6000"/>
      <name val="Calibri"/>
      <family val="2"/>
    </font>
    <font>
      <sz val="11"/>
      <color rgb="FFC00000"/>
      <name val="Calibri"/>
      <family val="2"/>
    </font>
    <font>
      <b/>
      <sz val="11"/>
      <color rgb="FFC00000"/>
      <name val="Calibri"/>
      <family val="2"/>
    </font>
    <font>
      <b/>
      <sz val="11"/>
      <color rgb="FFFF00FF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rgb="FFB45F06"/>
      <name val="Calibri"/>
      <family val="2"/>
    </font>
    <font>
      <b/>
      <sz val="11"/>
      <color rgb="FFB45F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9900FF"/>
      <name val="Calibri"/>
      <family val="2"/>
      <scheme val="minor"/>
    </font>
    <font>
      <sz val="11"/>
      <color rgb="FF0F243E"/>
      <name val="Calibri"/>
      <family val="2"/>
    </font>
    <font>
      <b/>
      <sz val="11"/>
      <color rgb="FFFF00FF"/>
      <name val="Calibri"/>
      <family val="2"/>
    </font>
    <font>
      <sz val="11"/>
      <color rgb="FF98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11"/>
      <color rgb="FF0000FF"/>
      <name val="Calibri"/>
      <family val="2"/>
    </font>
    <font>
      <b/>
      <sz val="11"/>
      <color rgb="FF783F04"/>
      <name val="Calibri"/>
      <family val="2"/>
      <scheme val="minor"/>
    </font>
    <font>
      <b/>
      <sz val="15"/>
      <color theme="1"/>
      <name val="Calibri"/>
      <family val="2"/>
      <scheme val="minor"/>
    </font>
    <font>
      <i/>
      <sz val="11"/>
      <color theme="1"/>
      <name val="Calibri"/>
      <family val="2"/>
    </font>
    <font>
      <sz val="8"/>
      <color rgb="FF17365D"/>
      <name val="Calibri"/>
      <family val="2"/>
    </font>
    <font>
      <b/>
      <sz val="8"/>
      <color rgb="FF0F243E"/>
      <name val="Calibri"/>
      <family val="2"/>
    </font>
    <font>
      <i/>
      <sz val="10"/>
      <color theme="1"/>
      <name val="Calibri"/>
      <family val="2"/>
    </font>
    <font>
      <sz val="10"/>
      <color rgb="FF17365D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  <fill>
      <patternFill patternType="solid">
        <fgColor rgb="FFFFFF7F"/>
        <bgColor rgb="FFFFFF7F"/>
      </patternFill>
    </fill>
    <fill>
      <patternFill patternType="solid">
        <fgColor rgb="FFDAEEF3"/>
        <bgColor rgb="FFDAEEF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DE9D9"/>
        <bgColor rgb="FFFDE9D9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D6E3BC"/>
        <bgColor rgb="FFD6E3BC"/>
      </patternFill>
    </fill>
  </fills>
  <borders count="4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95B3D7"/>
      </bottom>
      <diagonal/>
    </border>
    <border>
      <left style="medium">
        <color rgb="FF000000"/>
      </left>
      <right/>
      <top style="medium">
        <color rgb="FF000000"/>
      </top>
      <bottom style="thin">
        <color rgb="FF95B3D7"/>
      </bottom>
      <diagonal/>
    </border>
    <border>
      <left/>
      <right/>
      <top style="medium">
        <color rgb="FF000000"/>
      </top>
      <bottom style="thin">
        <color rgb="FF95B3D7"/>
      </bottom>
      <diagonal/>
    </border>
    <border>
      <left/>
      <right style="medium">
        <color rgb="FF000000"/>
      </right>
      <top style="medium">
        <color rgb="FF000000"/>
      </top>
      <bottom style="thin">
        <color rgb="FF95B3D7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95B3D7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37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1" fontId="3" fillId="0" borderId="0" xfId="0" applyNumberFormat="1" applyFont="1"/>
    <xf numFmtId="0" fontId="4" fillId="0" borderId="0" xfId="0" applyFont="1"/>
    <xf numFmtId="1" fontId="4" fillId="2" borderId="4" xfId="0" applyNumberFormat="1" applyFont="1" applyFill="1" applyBorder="1"/>
    <xf numFmtId="1" fontId="4" fillId="0" borderId="0" xfId="0" applyNumberFormat="1" applyFont="1"/>
    <xf numFmtId="0" fontId="2" fillId="0" borderId="6" xfId="0" applyFont="1" applyBorder="1"/>
    <xf numFmtId="0" fontId="7" fillId="0" borderId="0" xfId="0" applyFont="1"/>
    <xf numFmtId="0" fontId="5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5" fillId="2" borderId="4" xfId="0" applyFont="1" applyFill="1" applyBorder="1"/>
    <xf numFmtId="0" fontId="4" fillId="2" borderId="4" xfId="0" applyFont="1" applyFill="1" applyBorder="1"/>
    <xf numFmtId="0" fontId="11" fillId="0" borderId="0" xfId="0" applyFont="1"/>
    <xf numFmtId="0" fontId="8" fillId="0" borderId="0" xfId="0" applyFont="1"/>
    <xf numFmtId="0" fontId="12" fillId="0" borderId="0" xfId="0" applyFont="1"/>
    <xf numFmtId="0" fontId="10" fillId="0" borderId="0" xfId="0" applyFont="1"/>
    <xf numFmtId="0" fontId="10" fillId="2" borderId="4" xfId="0" applyFont="1" applyFill="1" applyBorder="1"/>
    <xf numFmtId="0" fontId="5" fillId="3" borderId="4" xfId="0" applyFont="1" applyFill="1" applyBorder="1"/>
    <xf numFmtId="0" fontId="4" fillId="3" borderId="4" xfId="0" applyFont="1" applyFill="1" applyBorder="1"/>
    <xf numFmtId="0" fontId="10" fillId="3" borderId="4" xfId="0" applyFont="1" applyFill="1" applyBorder="1"/>
    <xf numFmtId="0" fontId="5" fillId="4" borderId="4" xfId="0" applyFont="1" applyFill="1" applyBorder="1"/>
    <xf numFmtId="0" fontId="4" fillId="4" borderId="4" xfId="0" applyFont="1" applyFill="1" applyBorder="1"/>
    <xf numFmtId="0" fontId="10" fillId="4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/>
    <xf numFmtId="0" fontId="10" fillId="5" borderId="4" xfId="0" applyFont="1" applyFill="1" applyBorder="1"/>
    <xf numFmtId="0" fontId="5" fillId="6" borderId="4" xfId="0" applyFont="1" applyFill="1" applyBorder="1"/>
    <xf numFmtId="0" fontId="4" fillId="6" borderId="4" xfId="0" applyFont="1" applyFill="1" applyBorder="1"/>
    <xf numFmtId="0" fontId="10" fillId="6" borderId="4" xfId="0" applyFont="1" applyFill="1" applyBorder="1"/>
    <xf numFmtId="1" fontId="10" fillId="0" borderId="0" xfId="0" applyNumberFormat="1" applyFont="1"/>
    <xf numFmtId="1" fontId="10" fillId="2" borderId="4" xfId="0" applyNumberFormat="1" applyFont="1" applyFill="1" applyBorder="1"/>
    <xf numFmtId="0" fontId="5" fillId="7" borderId="4" xfId="0" applyFont="1" applyFill="1" applyBorder="1"/>
    <xf numFmtId="1" fontId="4" fillId="7" borderId="4" xfId="0" applyNumberFormat="1" applyFont="1" applyFill="1" applyBorder="1"/>
    <xf numFmtId="1" fontId="10" fillId="7" borderId="4" xfId="0" applyNumberFormat="1" applyFont="1" applyFill="1" applyBorder="1"/>
    <xf numFmtId="0" fontId="1" fillId="6" borderId="4" xfId="0" applyFont="1" applyFill="1" applyBorder="1"/>
    <xf numFmtId="0" fontId="1" fillId="0" borderId="0" xfId="0" applyFont="1"/>
    <xf numFmtId="0" fontId="2" fillId="0" borderId="0" xfId="0" applyFont="1" applyAlignment="1">
      <alignment wrapText="1"/>
    </xf>
    <xf numFmtId="0" fontId="13" fillId="0" borderId="0" xfId="0" applyFont="1"/>
    <xf numFmtId="2" fontId="13" fillId="0" borderId="0" xfId="0" applyNumberFormat="1" applyFont="1"/>
    <xf numFmtId="2" fontId="14" fillId="0" borderId="0" xfId="0" applyNumberFormat="1" applyFont="1"/>
    <xf numFmtId="0" fontId="14" fillId="0" borderId="0" xfId="0" applyFont="1"/>
    <xf numFmtId="0" fontId="15" fillId="0" borderId="0" xfId="0" applyFont="1"/>
    <xf numFmtId="0" fontId="17" fillId="0" borderId="8" xfId="0" applyFont="1" applyBorder="1" applyAlignment="1">
      <alignment wrapText="1"/>
    </xf>
    <xf numFmtId="0" fontId="6" fillId="2" borderId="0" xfId="0" applyFont="1" applyFill="1"/>
    <xf numFmtId="0" fontId="18" fillId="0" borderId="11" xfId="0" applyFont="1" applyBorder="1"/>
    <xf numFmtId="1" fontId="19" fillId="8" borderId="0" xfId="0" applyNumberFormat="1" applyFont="1" applyFill="1"/>
    <xf numFmtId="0" fontId="5" fillId="2" borderId="13" xfId="0" applyFont="1" applyFill="1" applyBorder="1"/>
    <xf numFmtId="0" fontId="6" fillId="3" borderId="0" xfId="0" applyFont="1" applyFill="1"/>
    <xf numFmtId="0" fontId="6" fillId="4" borderId="0" xfId="0" applyFont="1" applyFill="1"/>
    <xf numFmtId="0" fontId="5" fillId="4" borderId="13" xfId="0" applyFont="1" applyFill="1" applyBorder="1"/>
    <xf numFmtId="0" fontId="6" fillId="5" borderId="0" xfId="0" applyFont="1" applyFill="1"/>
    <xf numFmtId="0" fontId="5" fillId="5" borderId="13" xfId="0" applyFont="1" applyFill="1" applyBorder="1"/>
    <xf numFmtId="0" fontId="6" fillId="6" borderId="0" xfId="0" applyFont="1" applyFill="1"/>
    <xf numFmtId="0" fontId="5" fillId="6" borderId="13" xfId="0" applyFont="1" applyFill="1" applyBorder="1"/>
    <xf numFmtId="0" fontId="19" fillId="0" borderId="0" xfId="0" applyFont="1"/>
    <xf numFmtId="164" fontId="19" fillId="0" borderId="0" xfId="0" applyNumberFormat="1" applyFont="1"/>
    <xf numFmtId="0" fontId="6" fillId="0" borderId="11" xfId="0" applyFont="1" applyBorder="1"/>
    <xf numFmtId="0" fontId="19" fillId="0" borderId="12" xfId="0" applyFont="1" applyBorder="1"/>
    <xf numFmtId="2" fontId="6" fillId="0" borderId="0" xfId="0" applyNumberFormat="1" applyFont="1"/>
    <xf numFmtId="2" fontId="6" fillId="0" borderId="12" xfId="0" applyNumberFormat="1" applyFont="1" applyBorder="1"/>
    <xf numFmtId="0" fontId="6" fillId="0" borderId="17" xfId="0" applyFont="1" applyBorder="1"/>
    <xf numFmtId="0" fontId="6" fillId="0" borderId="18" xfId="0" applyFont="1" applyBorder="1"/>
    <xf numFmtId="1" fontId="19" fillId="0" borderId="17" xfId="0" applyNumberFormat="1" applyFont="1" applyBorder="1"/>
    <xf numFmtId="1" fontId="6" fillId="0" borderId="18" xfId="0" applyNumberFormat="1" applyFont="1" applyBorder="1"/>
    <xf numFmtId="2" fontId="5" fillId="0" borderId="0" xfId="0" applyNumberFormat="1" applyFont="1"/>
    <xf numFmtId="0" fontId="5" fillId="0" borderId="0" xfId="0" applyFont="1" applyAlignment="1">
      <alignment horizontal="right"/>
    </xf>
    <xf numFmtId="1" fontId="6" fillId="0" borderId="0" xfId="0" applyNumberFormat="1" applyFont="1"/>
    <xf numFmtId="0" fontId="6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 wrapText="1"/>
    </xf>
    <xf numFmtId="2" fontId="19" fillId="0" borderId="0" xfId="0" applyNumberFormat="1" applyFont="1"/>
    <xf numFmtId="1" fontId="19" fillId="0" borderId="0" xfId="0" applyNumberFormat="1" applyFont="1"/>
    <xf numFmtId="0" fontId="19" fillId="10" borderId="0" xfId="0" applyFont="1" applyFill="1"/>
    <xf numFmtId="0" fontId="6" fillId="11" borderId="0" xfId="0" applyFont="1" applyFill="1"/>
    <xf numFmtId="0" fontId="1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1" fillId="10" borderId="9" xfId="0" applyFont="1" applyFill="1" applyBorder="1"/>
    <xf numFmtId="0" fontId="21" fillId="10" borderId="0" xfId="0" applyFont="1" applyFill="1"/>
    <xf numFmtId="0" fontId="21" fillId="10" borderId="18" xfId="0" applyFont="1" applyFill="1" applyBorder="1"/>
    <xf numFmtId="0" fontId="6" fillId="0" borderId="19" xfId="0" applyFont="1" applyBorder="1"/>
    <xf numFmtId="0" fontId="6" fillId="10" borderId="0" xfId="0" applyFont="1" applyFill="1"/>
    <xf numFmtId="0" fontId="6" fillId="0" borderId="0" xfId="0" applyFont="1" applyAlignment="1">
      <alignment horizontal="right"/>
    </xf>
    <xf numFmtId="0" fontId="22" fillId="10" borderId="18" xfId="0" applyFont="1" applyFill="1" applyBorder="1" applyAlignment="1">
      <alignment wrapText="1"/>
    </xf>
    <xf numFmtId="0" fontId="1" fillId="10" borderId="0" xfId="0" applyFont="1" applyFill="1" applyAlignment="1">
      <alignment wrapText="1"/>
    </xf>
    <xf numFmtId="0" fontId="22" fillId="10" borderId="0" xfId="0" applyFont="1" applyFill="1" applyAlignment="1">
      <alignment wrapText="1"/>
    </xf>
    <xf numFmtId="0" fontId="22" fillId="10" borderId="9" xfId="0" applyFont="1" applyFill="1" applyBorder="1" applyAlignment="1">
      <alignment wrapText="1"/>
    </xf>
    <xf numFmtId="0" fontId="4" fillId="2" borderId="0" xfId="0" applyFont="1" applyFill="1"/>
    <xf numFmtId="0" fontId="1" fillId="10" borderId="0" xfId="0" applyFont="1" applyFill="1" applyAlignment="1">
      <alignment horizontal="right"/>
    </xf>
    <xf numFmtId="0" fontId="5" fillId="0" borderId="0" xfId="0" applyFont="1"/>
    <xf numFmtId="0" fontId="23" fillId="0" borderId="0" xfId="0" applyFont="1"/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6" fillId="10" borderId="0" xfId="0" applyFont="1" applyFill="1" applyAlignment="1">
      <alignment wrapText="1"/>
    </xf>
    <xf numFmtId="0" fontId="5" fillId="2" borderId="0" xfId="0" applyFont="1" applyFill="1"/>
    <xf numFmtId="1" fontId="15" fillId="0" borderId="0" xfId="0" applyNumberFormat="1" applyFont="1"/>
    <xf numFmtId="168" fontId="6" fillId="0" borderId="0" xfId="0" applyNumberFormat="1" applyFont="1"/>
    <xf numFmtId="2" fontId="6" fillId="10" borderId="0" xfId="0" applyNumberFormat="1" applyFont="1" applyFill="1"/>
    <xf numFmtId="1" fontId="4" fillId="0" borderId="4" xfId="0" applyNumberFormat="1" applyFont="1" applyBorder="1"/>
    <xf numFmtId="0" fontId="4" fillId="0" borderId="4" xfId="0" applyFont="1" applyBorder="1"/>
    <xf numFmtId="1" fontId="4" fillId="0" borderId="20" xfId="0" applyNumberFormat="1" applyFont="1" applyBorder="1"/>
    <xf numFmtId="0" fontId="5" fillId="7" borderId="13" xfId="0" applyFont="1" applyFill="1" applyBorder="1"/>
    <xf numFmtId="0" fontId="5" fillId="11" borderId="0" xfId="0" applyFont="1" applyFill="1"/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5" fillId="12" borderId="4" xfId="0" applyFont="1" applyFill="1" applyBorder="1"/>
    <xf numFmtId="0" fontId="5" fillId="5" borderId="0" xfId="0" applyFont="1" applyFill="1"/>
    <xf numFmtId="0" fontId="5" fillId="6" borderId="0" xfId="0" applyFont="1" applyFill="1"/>
    <xf numFmtId="0" fontId="6" fillId="13" borderId="0" xfId="0" applyFont="1" applyFill="1"/>
    <xf numFmtId="2" fontId="19" fillId="14" borderId="0" xfId="0" applyNumberFormat="1" applyFont="1" applyFill="1" applyAlignment="1">
      <alignment horizontal="right"/>
    </xf>
    <xf numFmtId="164" fontId="6" fillId="14" borderId="0" xfId="0" applyNumberFormat="1" applyFont="1" applyFill="1"/>
    <xf numFmtId="164" fontId="6" fillId="0" borderId="0" xfId="0" applyNumberFormat="1" applyFont="1"/>
    <xf numFmtId="169" fontId="6" fillId="14" borderId="0" xfId="0" applyNumberFormat="1" applyFont="1" applyFill="1"/>
    <xf numFmtId="169" fontId="6" fillId="0" borderId="0" xfId="0" applyNumberFormat="1" applyFont="1"/>
    <xf numFmtId="164" fontId="26" fillId="0" borderId="0" xfId="0" applyNumberFormat="1" applyFont="1"/>
    <xf numFmtId="164" fontId="5" fillId="0" borderId="0" xfId="0" applyNumberFormat="1" applyFont="1"/>
    <xf numFmtId="0" fontId="6" fillId="14" borderId="0" xfId="0" applyFont="1" applyFill="1"/>
    <xf numFmtId="2" fontId="6" fillId="14" borderId="0" xfId="0" applyNumberFormat="1" applyFont="1" applyFill="1"/>
    <xf numFmtId="0" fontId="0" fillId="0" borderId="0" xfId="0" applyAlignment="1">
      <alignment wrapText="1"/>
    </xf>
    <xf numFmtId="0" fontId="23" fillId="0" borderId="0" xfId="0" applyFont="1" applyAlignment="1">
      <alignment wrapText="1"/>
    </xf>
    <xf numFmtId="0" fontId="6" fillId="8" borderId="0" xfId="0" applyFont="1" applyFill="1"/>
    <xf numFmtId="2" fontId="6" fillId="8" borderId="0" xfId="0" applyNumberFormat="1" applyFont="1" applyFill="1"/>
    <xf numFmtId="169" fontId="6" fillId="8" borderId="0" xfId="0" applyNumberFormat="1" applyFont="1" applyFill="1"/>
    <xf numFmtId="166" fontId="6" fillId="8" borderId="0" xfId="0" applyNumberFormat="1" applyFont="1" applyFill="1"/>
    <xf numFmtId="0" fontId="28" fillId="0" borderId="0" xfId="0" applyFont="1" applyAlignment="1">
      <alignment wrapText="1"/>
    </xf>
    <xf numFmtId="0" fontId="28" fillId="15" borderId="4" xfId="0" applyFont="1" applyFill="1" applyBorder="1" applyAlignment="1">
      <alignment wrapText="1"/>
    </xf>
    <xf numFmtId="0" fontId="1" fillId="16" borderId="0" xfId="0" applyFont="1" applyFill="1" applyAlignment="1">
      <alignment wrapText="1"/>
    </xf>
    <xf numFmtId="2" fontId="19" fillId="17" borderId="0" xfId="0" applyNumberFormat="1" applyFont="1" applyFill="1"/>
    <xf numFmtId="164" fontId="19" fillId="17" borderId="0" xfId="0" applyNumberFormat="1" applyFont="1" applyFill="1"/>
    <xf numFmtId="0" fontId="6" fillId="15" borderId="0" xfId="0" applyFont="1" applyFill="1"/>
    <xf numFmtId="170" fontId="5" fillId="0" borderId="0" xfId="0" applyNumberFormat="1" applyFont="1" applyAlignment="1">
      <alignment wrapText="1"/>
    </xf>
    <xf numFmtId="167" fontId="5" fillId="0" borderId="0" xfId="0" applyNumberFormat="1" applyFont="1" applyAlignment="1">
      <alignment wrapText="1"/>
    </xf>
    <xf numFmtId="165" fontId="5" fillId="0" borderId="0" xfId="0" applyNumberFormat="1" applyFont="1" applyAlignment="1">
      <alignment wrapText="1"/>
    </xf>
    <xf numFmtId="0" fontId="29" fillId="0" borderId="0" xfId="0" applyFont="1" applyAlignment="1">
      <alignment wrapText="1"/>
    </xf>
    <xf numFmtId="170" fontId="6" fillId="0" borderId="0" xfId="0" applyNumberFormat="1" applyFont="1"/>
    <xf numFmtId="0" fontId="27" fillId="0" borderId="0" xfId="0" applyFont="1"/>
    <xf numFmtId="0" fontId="6" fillId="18" borderId="0" xfId="0" applyFont="1" applyFill="1"/>
    <xf numFmtId="0" fontId="18" fillId="0" borderId="0" xfId="0" applyFont="1"/>
    <xf numFmtId="2" fontId="18" fillId="0" borderId="0" xfId="0" applyNumberFormat="1" applyFont="1"/>
    <xf numFmtId="0" fontId="30" fillId="0" borderId="0" xfId="0" applyFont="1"/>
    <xf numFmtId="0" fontId="6" fillId="0" borderId="0" xfId="0" applyFont="1" applyAlignment="1">
      <alignment vertical="top" wrapText="1"/>
    </xf>
    <xf numFmtId="0" fontId="2" fillId="2" borderId="0" xfId="0" applyFont="1" applyFill="1"/>
    <xf numFmtId="0" fontId="2" fillId="2" borderId="6" xfId="0" applyFont="1" applyFill="1" applyBorder="1"/>
    <xf numFmtId="1" fontId="5" fillId="0" borderId="0" xfId="0" applyNumberFormat="1" applyFont="1"/>
    <xf numFmtId="0" fontId="4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6" fillId="19" borderId="0" xfId="0" applyFont="1" applyFill="1"/>
    <xf numFmtId="166" fontId="6" fillId="0" borderId="0" xfId="0" applyNumberFormat="1" applyFont="1"/>
    <xf numFmtId="1" fontId="4" fillId="0" borderId="11" xfId="0" applyNumberFormat="1" applyFont="1" applyBorder="1"/>
    <xf numFmtId="0" fontId="2" fillId="0" borderId="12" xfId="0" applyFont="1" applyBorder="1"/>
    <xf numFmtId="166" fontId="5" fillId="0" borderId="0" xfId="0" applyNumberFormat="1" applyFont="1"/>
    <xf numFmtId="0" fontId="2" fillId="0" borderId="19" xfId="0" applyFont="1" applyBorder="1"/>
    <xf numFmtId="0" fontId="4" fillId="0" borderId="14" xfId="0" applyFont="1" applyBorder="1" applyAlignment="1">
      <alignment wrapText="1"/>
    </xf>
    <xf numFmtId="0" fontId="4" fillId="0" borderId="16" xfId="0" applyFont="1" applyBorder="1" applyAlignment="1">
      <alignment wrapText="1"/>
    </xf>
    <xf numFmtId="0" fontId="19" fillId="0" borderId="0" xfId="0" applyFont="1" applyAlignment="1">
      <alignment horizontal="left" wrapText="1"/>
    </xf>
    <xf numFmtId="0" fontId="22" fillId="17" borderId="18" xfId="0" applyFont="1" applyFill="1" applyBorder="1" applyAlignment="1">
      <alignment wrapText="1"/>
    </xf>
    <xf numFmtId="0" fontId="22" fillId="17" borderId="0" xfId="0" applyFont="1" applyFill="1" applyAlignment="1">
      <alignment wrapText="1"/>
    </xf>
    <xf numFmtId="0" fontId="22" fillId="17" borderId="9" xfId="0" applyFont="1" applyFill="1" applyBorder="1" applyAlignment="1">
      <alignment wrapText="1"/>
    </xf>
    <xf numFmtId="0" fontId="1" fillId="17" borderId="0" xfId="0" applyFont="1" applyFill="1" applyAlignment="1">
      <alignment wrapText="1"/>
    </xf>
    <xf numFmtId="1" fontId="4" fillId="0" borderId="21" xfId="0" applyNumberFormat="1" applyFont="1" applyBorder="1"/>
    <xf numFmtId="1" fontId="4" fillId="0" borderId="22" xfId="0" applyNumberFormat="1" applyFont="1" applyBorder="1"/>
    <xf numFmtId="1" fontId="6" fillId="0" borderId="0" xfId="0" applyNumberFormat="1" applyFont="1" applyAlignment="1">
      <alignment horizontal="center"/>
    </xf>
    <xf numFmtId="0" fontId="1" fillId="17" borderId="0" xfId="0" applyFont="1" applyFill="1" applyAlignment="1">
      <alignment horizontal="right"/>
    </xf>
    <xf numFmtId="1" fontId="4" fillId="0" borderId="12" xfId="0" applyNumberFormat="1" applyFont="1" applyBorder="1"/>
    <xf numFmtId="0" fontId="31" fillId="0" borderId="0" xfId="0" applyFont="1" applyAlignment="1">
      <alignment horizontal="center"/>
    </xf>
    <xf numFmtId="0" fontId="5" fillId="0" borderId="15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6" fillId="0" borderId="14" xfId="0" applyFont="1" applyBorder="1" applyAlignment="1">
      <alignment wrapText="1"/>
    </xf>
    <xf numFmtId="0" fontId="24" fillId="0" borderId="14" xfId="0" applyFont="1" applyBorder="1" applyAlignment="1">
      <alignment wrapText="1"/>
    </xf>
    <xf numFmtId="0" fontId="6" fillId="0" borderId="14" xfId="0" applyFont="1" applyBorder="1"/>
    <xf numFmtId="0" fontId="19" fillId="0" borderId="16" xfId="0" applyFont="1" applyBorder="1" applyAlignment="1">
      <alignment wrapText="1"/>
    </xf>
    <xf numFmtId="0" fontId="21" fillId="10" borderId="15" xfId="0" applyFont="1" applyFill="1" applyBorder="1" applyAlignment="1">
      <alignment wrapText="1"/>
    </xf>
    <xf numFmtId="0" fontId="19" fillId="10" borderId="14" xfId="0" applyFont="1" applyFill="1" applyBorder="1" applyAlignment="1">
      <alignment wrapText="1"/>
    </xf>
    <xf numFmtId="0" fontId="21" fillId="10" borderId="14" xfId="0" applyFont="1" applyFill="1" applyBorder="1" applyAlignment="1">
      <alignment wrapText="1"/>
    </xf>
    <xf numFmtId="0" fontId="22" fillId="10" borderId="11" xfId="0" applyFont="1" applyFill="1" applyBorder="1" applyAlignment="1">
      <alignment wrapText="1"/>
    </xf>
    <xf numFmtId="0" fontId="19" fillId="0" borderId="12" xfId="0" applyFont="1" applyBorder="1" applyAlignment="1">
      <alignment wrapText="1"/>
    </xf>
    <xf numFmtId="0" fontId="5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19" fillId="10" borderId="11" xfId="0" applyFont="1" applyFill="1" applyBorder="1"/>
    <xf numFmtId="0" fontId="6" fillId="10" borderId="11" xfId="0" applyFont="1" applyFill="1" applyBorder="1"/>
    <xf numFmtId="0" fontId="4" fillId="0" borderId="11" xfId="0" applyFont="1" applyBorder="1"/>
    <xf numFmtId="0" fontId="1" fillId="10" borderId="11" xfId="0" applyFont="1" applyFill="1" applyBorder="1" applyAlignment="1">
      <alignment horizontal="right"/>
    </xf>
    <xf numFmtId="0" fontId="5" fillId="3" borderId="0" xfId="0" applyFont="1" applyFill="1"/>
    <xf numFmtId="0" fontId="5" fillId="4" borderId="0" xfId="0" applyFont="1" applyFill="1"/>
    <xf numFmtId="0" fontId="5" fillId="6" borderId="18" xfId="0" applyFont="1" applyFill="1" applyBorder="1"/>
    <xf numFmtId="0" fontId="2" fillId="2" borderId="18" xfId="0" applyFont="1" applyFill="1" applyBorder="1"/>
    <xf numFmtId="2" fontId="6" fillId="0" borderId="19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19" fillId="10" borderId="17" xfId="0" applyFont="1" applyFill="1" applyBorder="1"/>
    <xf numFmtId="0" fontId="19" fillId="10" borderId="18" xfId="0" applyFont="1" applyFill="1" applyBorder="1"/>
    <xf numFmtId="0" fontId="19" fillId="0" borderId="18" xfId="0" applyFont="1" applyBorder="1"/>
    <xf numFmtId="0" fontId="1" fillId="10" borderId="17" xfId="0" applyFont="1" applyFill="1" applyBorder="1" applyAlignment="1">
      <alignment horizontal="right"/>
    </xf>
    <xf numFmtId="0" fontId="1" fillId="10" borderId="18" xfId="0" applyFont="1" applyFill="1" applyBorder="1" applyAlignment="1">
      <alignment horizontal="right"/>
    </xf>
    <xf numFmtId="168" fontId="19" fillId="0" borderId="0" xfId="0" applyNumberFormat="1" applyFont="1"/>
    <xf numFmtId="0" fontId="6" fillId="0" borderId="15" xfId="0" applyFont="1" applyBorder="1"/>
    <xf numFmtId="0" fontId="6" fillId="0" borderId="15" xfId="0" applyFont="1" applyBorder="1" applyAlignment="1">
      <alignment wrapText="1"/>
    </xf>
    <xf numFmtId="1" fontId="19" fillId="8" borderId="11" xfId="0" applyNumberFormat="1" applyFont="1" applyFill="1" applyBorder="1"/>
    <xf numFmtId="0" fontId="5" fillId="6" borderId="23" xfId="0" applyFont="1" applyFill="1" applyBorder="1"/>
    <xf numFmtId="1" fontId="19" fillId="8" borderId="17" xfId="0" applyNumberFormat="1" applyFont="1" applyFill="1" applyBorder="1"/>
    <xf numFmtId="1" fontId="19" fillId="8" borderId="18" xfId="0" applyNumberFormat="1" applyFont="1" applyFill="1" applyBorder="1"/>
    <xf numFmtId="168" fontId="6" fillId="0" borderId="18" xfId="0" applyNumberFormat="1" applyFont="1" applyBorder="1"/>
    <xf numFmtId="1" fontId="15" fillId="0" borderId="18" xfId="0" applyNumberFormat="1" applyFont="1" applyBorder="1"/>
    <xf numFmtId="2" fontId="19" fillId="14" borderId="0" xfId="0" applyNumberFormat="1" applyFont="1" applyFill="1" applyAlignment="1">
      <alignment horizontal="left"/>
    </xf>
    <xf numFmtId="1" fontId="6" fillId="0" borderId="11" xfId="0" applyNumberFormat="1" applyFont="1" applyBorder="1"/>
    <xf numFmtId="2" fontId="19" fillId="0" borderId="18" xfId="0" applyNumberFormat="1" applyFont="1" applyBorder="1"/>
    <xf numFmtId="2" fontId="19" fillId="0" borderId="19" xfId="0" applyNumberFormat="1" applyFont="1" applyBorder="1"/>
    <xf numFmtId="2" fontId="6" fillId="17" borderId="0" xfId="0" applyNumberFormat="1" applyFont="1" applyFill="1"/>
    <xf numFmtId="2" fontId="6" fillId="19" borderId="0" xfId="0" applyNumberFormat="1" applyFont="1" applyFill="1"/>
    <xf numFmtId="2" fontId="19" fillId="19" borderId="0" xfId="0" applyNumberFormat="1" applyFont="1" applyFill="1"/>
    <xf numFmtId="0" fontId="32" fillId="0" borderId="24" xfId="0" applyFont="1" applyBorder="1" applyAlignment="1">
      <alignment horizontal="center"/>
    </xf>
    <xf numFmtId="0" fontId="33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1" fillId="2" borderId="4" xfId="0" applyFont="1" applyFill="1" applyBorder="1"/>
    <xf numFmtId="0" fontId="11" fillId="2" borderId="4" xfId="0" applyFont="1" applyFill="1" applyBorder="1"/>
    <xf numFmtId="0" fontId="8" fillId="2" borderId="4" xfId="0" applyFont="1" applyFill="1" applyBorder="1"/>
    <xf numFmtId="0" fontId="12" fillId="2" borderId="4" xfId="0" applyFont="1" applyFill="1" applyBorder="1"/>
    <xf numFmtId="0" fontId="28" fillId="0" borderId="0" xfId="0" applyFont="1"/>
    <xf numFmtId="0" fontId="11" fillId="3" borderId="4" xfId="0" applyFont="1" applyFill="1" applyBorder="1"/>
    <xf numFmtId="0" fontId="8" fillId="3" borderId="4" xfId="0" applyFont="1" applyFill="1" applyBorder="1"/>
    <xf numFmtId="0" fontId="12" fillId="3" borderId="4" xfId="0" applyFont="1" applyFill="1" applyBorder="1"/>
    <xf numFmtId="0" fontId="1" fillId="3" borderId="4" xfId="0" applyFont="1" applyFill="1" applyBorder="1"/>
    <xf numFmtId="0" fontId="4" fillId="2" borderId="4" xfId="0" applyFont="1" applyFill="1" applyBorder="1" applyAlignment="1">
      <alignment wrapText="1"/>
    </xf>
    <xf numFmtId="0" fontId="28" fillId="2" borderId="4" xfId="0" applyFont="1" applyFill="1" applyBorder="1"/>
    <xf numFmtId="0" fontId="10" fillId="2" borderId="4" xfId="0" applyFont="1" applyFill="1" applyBorder="1" applyAlignment="1">
      <alignment wrapText="1"/>
    </xf>
    <xf numFmtId="0" fontId="1" fillId="7" borderId="4" xfId="0" applyFont="1" applyFill="1" applyBorder="1"/>
    <xf numFmtId="0" fontId="11" fillId="7" borderId="4" xfId="0" applyFont="1" applyFill="1" applyBorder="1"/>
    <xf numFmtId="0" fontId="8" fillId="7" borderId="4" xfId="0" applyFont="1" applyFill="1" applyBorder="1"/>
    <xf numFmtId="0" fontId="12" fillId="7" borderId="4" xfId="0" applyFont="1" applyFill="1" applyBorder="1"/>
    <xf numFmtId="0" fontId="10" fillId="7" borderId="4" xfId="0" applyFont="1" applyFill="1" applyBorder="1" applyAlignment="1">
      <alignment wrapText="1"/>
    </xf>
    <xf numFmtId="0" fontId="28" fillId="7" borderId="4" xfId="0" applyFont="1" applyFill="1" applyBorder="1"/>
    <xf numFmtId="0" fontId="28" fillId="0" borderId="6" xfId="0" applyFont="1" applyBorder="1"/>
    <xf numFmtId="1" fontId="3" fillId="2" borderId="4" xfId="0" applyNumberFormat="1" applyFont="1" applyFill="1" applyBorder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3" borderId="25" xfId="0" applyFont="1" applyFill="1" applyBorder="1" applyAlignment="1">
      <alignment wrapText="1"/>
    </xf>
    <xf numFmtId="0" fontId="1" fillId="3" borderId="26" xfId="0" applyFont="1" applyFill="1" applyBorder="1" applyAlignment="1">
      <alignment wrapText="1"/>
    </xf>
    <xf numFmtId="0" fontId="1" fillId="3" borderId="27" xfId="0" applyFont="1" applyFill="1" applyBorder="1" applyAlignment="1">
      <alignment wrapText="1"/>
    </xf>
    <xf numFmtId="0" fontId="1" fillId="3" borderId="28" xfId="0" applyFont="1" applyFill="1" applyBorder="1" applyAlignment="1">
      <alignment wrapText="1"/>
    </xf>
    <xf numFmtId="0" fontId="1" fillId="3" borderId="29" xfId="0" applyFont="1" applyFill="1" applyBorder="1" applyAlignment="1">
      <alignment wrapText="1"/>
    </xf>
    <xf numFmtId="0" fontId="5" fillId="0" borderId="2" xfId="0" applyFont="1" applyBorder="1"/>
    <xf numFmtId="0" fontId="5" fillId="0" borderId="3" xfId="0" applyFont="1" applyBorder="1"/>
    <xf numFmtId="0" fontId="5" fillId="0" borderId="30" xfId="0" applyFont="1" applyBorder="1"/>
    <xf numFmtId="2" fontId="5" fillId="0" borderId="2" xfId="0" applyNumberFormat="1" applyFont="1" applyBorder="1"/>
    <xf numFmtId="2" fontId="5" fillId="0" borderId="3" xfId="0" applyNumberFormat="1" applyFont="1" applyBorder="1"/>
    <xf numFmtId="2" fontId="5" fillId="0" borderId="30" xfId="0" applyNumberFormat="1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31" xfId="0" applyFont="1" applyBorder="1"/>
    <xf numFmtId="0" fontId="8" fillId="13" borderId="0" xfId="0" applyFont="1" applyFill="1" applyAlignment="1">
      <alignment wrapText="1"/>
    </xf>
    <xf numFmtId="0" fontId="35" fillId="0" borderId="24" xfId="0" applyFont="1" applyBorder="1" applyAlignment="1">
      <alignment horizontal="center"/>
    </xf>
    <xf numFmtId="0" fontId="36" fillId="0" borderId="0" xfId="0" applyFont="1" applyAlignment="1">
      <alignment wrapText="1"/>
    </xf>
    <xf numFmtId="0" fontId="6" fillId="20" borderId="0" xfId="0" applyFont="1" applyFill="1"/>
    <xf numFmtId="0" fontId="1" fillId="20" borderId="0" xfId="0" applyFont="1" applyFill="1"/>
    <xf numFmtId="0" fontId="11" fillId="20" borderId="0" xfId="0" applyFont="1" applyFill="1"/>
    <xf numFmtId="0" fontId="8" fillId="20" borderId="0" xfId="0" applyFont="1" applyFill="1"/>
    <xf numFmtId="0" fontId="12" fillId="20" borderId="0" xfId="0" applyFont="1" applyFill="1"/>
    <xf numFmtId="0" fontId="10" fillId="20" borderId="0" xfId="0" applyFont="1" applyFill="1"/>
    <xf numFmtId="0" fontId="4" fillId="20" borderId="0" xfId="0" applyFont="1" applyFill="1"/>
    <xf numFmtId="0" fontId="36" fillId="20" borderId="0" xfId="0" applyFont="1" applyFill="1" applyAlignment="1">
      <alignment wrapText="1"/>
    </xf>
    <xf numFmtId="2" fontId="5" fillId="20" borderId="0" xfId="0" applyNumberFormat="1" applyFont="1" applyFill="1"/>
    <xf numFmtId="0" fontId="11" fillId="13" borderId="0" xfId="0" applyFont="1" applyFill="1"/>
    <xf numFmtId="2" fontId="5" fillId="0" borderId="6" xfId="0" applyNumberFormat="1" applyFont="1" applyBorder="1"/>
    <xf numFmtId="2" fontId="11" fillId="0" borderId="0" xfId="0" applyNumberFormat="1" applyFont="1"/>
    <xf numFmtId="0" fontId="6" fillId="21" borderId="0" xfId="0" applyFont="1" applyFill="1"/>
    <xf numFmtId="0" fontId="1" fillId="21" borderId="0" xfId="0" applyFont="1" applyFill="1"/>
    <xf numFmtId="0" fontId="11" fillId="21" borderId="0" xfId="0" applyFont="1" applyFill="1"/>
    <xf numFmtId="0" fontId="8" fillId="21" borderId="0" xfId="0" applyFont="1" applyFill="1"/>
    <xf numFmtId="0" fontId="12" fillId="21" borderId="0" xfId="0" applyFont="1" applyFill="1"/>
    <xf numFmtId="0" fontId="10" fillId="21" borderId="0" xfId="0" applyFont="1" applyFill="1"/>
    <xf numFmtId="0" fontId="4" fillId="21" borderId="0" xfId="0" applyFont="1" applyFill="1"/>
    <xf numFmtId="0" fontId="11" fillId="5" borderId="4" xfId="0" applyFont="1" applyFill="1" applyBorder="1"/>
    <xf numFmtId="0" fontId="11" fillId="6" borderId="4" xfId="0" applyFont="1" applyFill="1" applyBorder="1"/>
    <xf numFmtId="0" fontId="6" fillId="22" borderId="0" xfId="0" applyFont="1" applyFill="1"/>
    <xf numFmtId="0" fontId="1" fillId="22" borderId="0" xfId="0" applyFont="1" applyFill="1"/>
    <xf numFmtId="0" fontId="11" fillId="22" borderId="0" xfId="0" applyFont="1" applyFill="1"/>
    <xf numFmtId="0" fontId="8" fillId="22" borderId="0" xfId="0" applyFont="1" applyFill="1"/>
    <xf numFmtId="0" fontId="12" fillId="22" borderId="0" xfId="0" applyFont="1" applyFill="1"/>
    <xf numFmtId="0" fontId="10" fillId="22" borderId="0" xfId="0" applyFont="1" applyFill="1"/>
    <xf numFmtId="0" fontId="4" fillId="22" borderId="0" xfId="0" applyFont="1" applyFill="1"/>
    <xf numFmtId="0" fontId="11" fillId="13" borderId="4" xfId="0" applyFont="1" applyFill="1" applyBorder="1"/>
    <xf numFmtId="0" fontId="8" fillId="6" borderId="4" xfId="0" applyFont="1" applyFill="1" applyBorder="1"/>
    <xf numFmtId="0" fontId="12" fillId="6" borderId="4" xfId="0" applyFont="1" applyFill="1" applyBorder="1"/>
    <xf numFmtId="0" fontId="11" fillId="4" borderId="4" xfId="0" applyFont="1" applyFill="1" applyBorder="1"/>
    <xf numFmtId="0" fontId="36" fillId="0" borderId="0" xfId="0" applyFont="1"/>
    <xf numFmtId="0" fontId="6" fillId="9" borderId="0" xfId="0" applyFont="1" applyFill="1"/>
    <xf numFmtId="0" fontId="16" fillId="0" borderId="0" xfId="0" applyFont="1"/>
    <xf numFmtId="0" fontId="32" fillId="0" borderId="24" xfId="0" applyFont="1" applyBorder="1" applyAlignment="1">
      <alignment horizontal="center" wrapText="1"/>
    </xf>
    <xf numFmtId="0" fontId="32" fillId="0" borderId="0" xfId="0" applyFont="1" applyAlignment="1">
      <alignment horizontal="center" wrapText="1"/>
    </xf>
    <xf numFmtId="0" fontId="5" fillId="23" borderId="4" xfId="0" applyFont="1" applyFill="1" applyBorder="1"/>
    <xf numFmtId="0" fontId="5" fillId="11" borderId="4" xfId="0" applyFont="1" applyFill="1" applyBorder="1"/>
    <xf numFmtId="0" fontId="5" fillId="0" borderId="0" xfId="0" applyFont="1" applyAlignment="1">
      <alignment horizontal="center"/>
    </xf>
    <xf numFmtId="0" fontId="0" fillId="0" borderId="0" xfId="0"/>
    <xf numFmtId="0" fontId="20" fillId="0" borderId="14" xfId="0" applyFont="1" applyBorder="1"/>
    <xf numFmtId="0" fontId="6" fillId="0" borderId="15" xfId="0" applyFont="1" applyBorder="1" applyAlignment="1">
      <alignment horizontal="center"/>
    </xf>
    <xf numFmtId="0" fontId="20" fillId="0" borderId="16" xfId="0" applyFont="1" applyBorder="1"/>
    <xf numFmtId="0" fontId="20" fillId="0" borderId="9" xfId="0" applyFont="1" applyBorder="1"/>
    <xf numFmtId="0" fontId="20" fillId="0" borderId="10" xfId="0" applyFont="1" applyBorder="1"/>
    <xf numFmtId="0" fontId="6" fillId="14" borderId="0" xfId="0" applyFont="1" applyFill="1" applyAlignment="1">
      <alignment wrapText="1"/>
    </xf>
    <xf numFmtId="0" fontId="6" fillId="15" borderId="0" xfId="0" applyFont="1" applyFill="1" applyAlignment="1">
      <alignment wrapText="1"/>
    </xf>
    <xf numFmtId="0" fontId="27" fillId="0" borderId="0" xfId="0" applyFont="1" applyAlignment="1">
      <alignment wrapText="1"/>
    </xf>
    <xf numFmtId="0" fontId="2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right"/>
    </xf>
    <xf numFmtId="0" fontId="27" fillId="17" borderId="0" xfId="0" applyFont="1" applyFill="1" applyAlignment="1">
      <alignment wrapText="1"/>
    </xf>
    <xf numFmtId="0" fontId="6" fillId="0" borderId="0" xfId="0" applyFont="1" applyAlignment="1">
      <alignment horizontal="center" wrapText="1"/>
    </xf>
    <xf numFmtId="0" fontId="31" fillId="0" borderId="15" xfId="0" applyFont="1" applyBorder="1" applyAlignment="1">
      <alignment horizontal="center"/>
    </xf>
    <xf numFmtId="0" fontId="31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0" fillId="0" borderId="11" xfId="0" applyFont="1" applyBorder="1"/>
    <xf numFmtId="0" fontId="20" fillId="0" borderId="17" xfId="0" applyFont="1" applyBorder="1"/>
    <xf numFmtId="0" fontId="0" fillId="0" borderId="32" xfId="0" applyBorder="1"/>
    <xf numFmtId="0" fontId="0" fillId="0" borderId="32" xfId="0" pivotButton="1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2" xfId="0" applyNumberFormat="1" applyBorder="1"/>
    <xf numFmtId="0" fontId="0" fillId="0" borderId="35" xfId="0" applyNumberFormat="1" applyBorder="1"/>
    <xf numFmtId="0" fontId="0" fillId="0" borderId="36" xfId="0" applyNumberFormat="1" applyBorder="1"/>
    <xf numFmtId="0" fontId="0" fillId="0" borderId="37" xfId="0" applyBorder="1"/>
    <xf numFmtId="0" fontId="0" fillId="0" borderId="37" xfId="0" applyNumberFormat="1" applyBorder="1"/>
    <xf numFmtId="0" fontId="0" fillId="0" borderId="20" xfId="0" applyNumberFormat="1" applyBorder="1"/>
    <xf numFmtId="0" fontId="0" fillId="0" borderId="38" xfId="0" applyNumberFormat="1" applyBorder="1"/>
    <xf numFmtId="0" fontId="0" fillId="0" borderId="39" xfId="0" applyBorder="1"/>
    <xf numFmtId="0" fontId="0" fillId="0" borderId="39" xfId="0" applyNumberFormat="1" applyBorder="1"/>
    <xf numFmtId="0" fontId="0" fillId="0" borderId="40" xfId="0" applyNumberFormat="1" applyBorder="1"/>
    <xf numFmtId="0" fontId="0" fillId="0" borderId="4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23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Comedy_ALC vs Human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Comedy_Score_Human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(Comedy_Score_Human)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eval_5_novellas!$AB$66:$AB$90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1</c:v>
                </c:pt>
              </c:numCache>
            </c:numRef>
          </c:xVal>
          <c:yVal>
            <c:numRef>
              <c:f>eval_5_novellas!$AC$66:$AC$90</c:f>
              <c:numCache>
                <c:formatCode>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 formatCode="General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52-9B41-9E18-F75A76479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99039"/>
        <c:axId val="599024971"/>
      </c:scatterChart>
      <c:valAx>
        <c:axId val="1504990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ALC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599024971"/>
        <c:crosses val="autoZero"/>
        <c:crossBetween val="midCat"/>
      </c:valAx>
      <c:valAx>
        <c:axId val="5990249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Human scores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15049903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r>
              <a:rPr sz="1400" b="0" i="0">
                <a:solidFill>
                  <a:srgbClr val="000000"/>
                </a:solidFill>
                <a:latin typeface="+mn-lt"/>
              </a:rPr>
              <a:t>Mystery_ALC vs Human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Mystery_Score_Human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(Mystery_Score_Human)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eval_5_novellas!$AD$66:$AD$90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</c:numCache>
            </c:numRef>
          </c:xVal>
          <c:yVal>
            <c:numRef>
              <c:f>eval_5_novellas!$AE$66:$AE$90</c:f>
              <c:numCache>
                <c:formatCode>0</c:formatCode>
                <c:ptCount val="25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 formatCode="General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C0-A247-BFBC-749C4E1EC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299759"/>
        <c:axId val="750000098"/>
      </c:scatterChart>
      <c:valAx>
        <c:axId val="3172997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750000098"/>
        <c:crosses val="autoZero"/>
        <c:crossBetween val="midCat"/>
      </c:valAx>
      <c:valAx>
        <c:axId val="750000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31729975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r>
              <a:rPr sz="1400" b="0" i="0">
                <a:solidFill>
                  <a:srgbClr val="000000"/>
                </a:solidFill>
                <a:latin typeface="+mn-lt"/>
              </a:rPr>
              <a:t>Romance_ALC vs Human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Romance_Score_Human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(Romance_Score_Human)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eval_5_novellas!$AF$66:$AF$90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4</c:v>
                </c:pt>
                <c:pt idx="23">
                  <c:v>4</c:v>
                </c:pt>
                <c:pt idx="24">
                  <c:v>2</c:v>
                </c:pt>
              </c:numCache>
            </c:numRef>
          </c:xVal>
          <c:yVal>
            <c:numRef>
              <c:f>eval_5_novellas!$AG$66:$AG$90</c:f>
              <c:numCache>
                <c:formatCode>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3</c:v>
                </c:pt>
                <c:pt idx="23">
                  <c:v>4</c:v>
                </c:pt>
                <c:pt idx="24" formatCode="General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78-E84E-B1EC-4A58F9FFA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995717"/>
        <c:axId val="1321507230"/>
      </c:scatterChart>
      <c:valAx>
        <c:axId val="21059957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1321507230"/>
        <c:crosses val="autoZero"/>
        <c:crossBetween val="midCat"/>
      </c:valAx>
      <c:valAx>
        <c:axId val="1321507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210599571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r>
              <a:rPr sz="1400" b="0" i="0">
                <a:solidFill>
                  <a:srgbClr val="000000"/>
                </a:solidFill>
                <a:latin typeface="+mn-lt"/>
              </a:rPr>
              <a:t>Satire_ALC vs Human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Satire_Score_Human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(Satire_Score_Human)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eval_5_novellas!$AH$66:$AH$90</c:f>
              <c:numCache>
                <c:formatCode>General</c:formatCode>
                <c:ptCount val="25"/>
                <c:pt idx="0">
                  <c:v>0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</c:numCache>
            </c:numRef>
          </c:xVal>
          <c:yVal>
            <c:numRef>
              <c:f>eval_5_novellas!$AI$66:$AI$90</c:f>
              <c:numCache>
                <c:formatCode>0</c:formatCode>
                <c:ptCount val="25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 formatCode="General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D5-5E4C-80E2-6E1462707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2645793"/>
        <c:axId val="2007632943"/>
      </c:scatterChart>
      <c:valAx>
        <c:axId val="16726457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2007632943"/>
        <c:crosses val="autoZero"/>
        <c:crossBetween val="midCat"/>
      </c:valAx>
      <c:valAx>
        <c:axId val="2007632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167264579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Tragedy_ALC vs Human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Tragedy_Score_Human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(Tragedy_Score_Human)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eval_5_novellas!$AJ$66:$AJ$90</c:f>
              <c:numCache>
                <c:formatCode>General</c:formatCode>
                <c:ptCount val="2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</c:numCache>
            </c:numRef>
          </c:xVal>
          <c:yVal>
            <c:numRef>
              <c:f>eval_5_novellas!$AK$66:$AK$90</c:f>
              <c:numCache>
                <c:formatCode>0</c:formatCode>
                <c:ptCount val="25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FB-EF4F-B8E9-B51284036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348310"/>
        <c:axId val="1473471008"/>
      </c:scatterChart>
      <c:valAx>
        <c:axId val="12803483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1473471008"/>
        <c:crosses val="autoZero"/>
        <c:crossBetween val="midCat"/>
      </c:valAx>
      <c:valAx>
        <c:axId val="14734710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128034831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Лист2!$B$3</c:f>
              <c:strCache>
                <c:ptCount val="1"/>
                <c:pt idx="0">
                  <c:v>Number on Domin_genre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3FB9-FA4D-A6DB-99A044FAD6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3FB9-FA4D-A6DB-99A044FAD6F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3FB9-FA4D-A6DB-99A044FAD6F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3FB9-FA4D-A6DB-99A044FAD6F9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3FB9-FA4D-A6DB-99A044FAD6F9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7-3FB9-FA4D-A6DB-99A044FAD6F9}"/>
              </c:ext>
            </c:extLst>
          </c:dPt>
          <c:cat>
            <c:strRef>
              <c:f>Лист2!$A$4:$A$9</c:f>
              <c:strCache>
                <c:ptCount val="2"/>
                <c:pt idx="1">
                  <c:v>Grand Total</c:v>
                </c:pt>
              </c:strCache>
            </c:strRef>
          </c:cat>
          <c:val>
            <c:numRef>
              <c:f>Лист2!$B$4:$B$9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FB9-FA4D-A6DB-99A044FAD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>
        <c:manualLayout>
          <c:xMode val="edge"/>
          <c:yMode val="edge"/>
          <c:x val="9.0426336979370789E-2"/>
          <c:y val="0.8328054088175687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Count filename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blocks!$B$2:$B$22</c:f>
              <c:numCache>
                <c:formatCode>General</c:formatCode>
                <c:ptCount val="21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C52-8544-8717-EF0CC422A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374103"/>
        <c:axId val="21108908"/>
      </c:barChart>
      <c:catAx>
        <c:axId val="712374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21108908"/>
        <c:crosses val="autoZero"/>
        <c:auto val="1"/>
        <c:lblAlgn val="ctr"/>
        <c:lblOffset val="100"/>
        <c:noMultiLvlLbl val="1"/>
      </c:catAx>
      <c:valAx>
        <c:axId val="211089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71237410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Sum Functional_Propp_Score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blocks!$C$2:$C$22</c:f>
              <c:numCache>
                <c:formatCode>General</c:formatCode>
                <c:ptCount val="21"/>
                <c:pt idx="0">
                  <c:v>14</c:v>
                </c:pt>
                <c:pt idx="1">
                  <c:v>11</c:v>
                </c:pt>
                <c:pt idx="2">
                  <c:v>7</c:v>
                </c:pt>
                <c:pt idx="3">
                  <c:v>5</c:v>
                </c:pt>
                <c:pt idx="4">
                  <c:v>11</c:v>
                </c:pt>
                <c:pt idx="5">
                  <c:v>8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6</c:v>
                </c:pt>
                <c:pt idx="10">
                  <c:v>9</c:v>
                </c:pt>
                <c:pt idx="11">
                  <c:v>5</c:v>
                </c:pt>
                <c:pt idx="12">
                  <c:v>8</c:v>
                </c:pt>
                <c:pt idx="13">
                  <c:v>8</c:v>
                </c:pt>
                <c:pt idx="14">
                  <c:v>5</c:v>
                </c:pt>
                <c:pt idx="15">
                  <c:v>11</c:v>
                </c:pt>
                <c:pt idx="16">
                  <c:v>9</c:v>
                </c:pt>
                <c:pt idx="17">
                  <c:v>6</c:v>
                </c:pt>
                <c:pt idx="18">
                  <c:v>12</c:v>
                </c:pt>
                <c:pt idx="19">
                  <c:v>10</c:v>
                </c:pt>
                <c:pt idx="20">
                  <c:v>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91C-BF44-8DFB-DE05DB97F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1826347"/>
        <c:axId val="768991099"/>
      </c:barChart>
      <c:catAx>
        <c:axId val="1291826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768991099"/>
        <c:crosses val="autoZero"/>
        <c:auto val="1"/>
        <c:lblAlgn val="ctr"/>
        <c:lblOffset val="100"/>
        <c:noMultiLvlLbl val="1"/>
      </c:catAx>
      <c:valAx>
        <c:axId val="768991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129182634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Sum Freytag_Score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blocks!$D$2:$D$22</c:f>
              <c:numCache>
                <c:formatCode>General</c:formatCode>
                <c:ptCount val="21"/>
                <c:pt idx="0">
                  <c:v>19</c:v>
                </c:pt>
                <c:pt idx="1">
                  <c:v>15</c:v>
                </c:pt>
                <c:pt idx="2">
                  <c:v>10</c:v>
                </c:pt>
                <c:pt idx="3">
                  <c:v>9</c:v>
                </c:pt>
                <c:pt idx="4">
                  <c:v>15</c:v>
                </c:pt>
                <c:pt idx="5">
                  <c:v>11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9</c:v>
                </c:pt>
                <c:pt idx="10">
                  <c:v>12</c:v>
                </c:pt>
                <c:pt idx="11">
                  <c:v>9</c:v>
                </c:pt>
                <c:pt idx="12">
                  <c:v>11</c:v>
                </c:pt>
                <c:pt idx="13">
                  <c:v>12</c:v>
                </c:pt>
                <c:pt idx="14">
                  <c:v>8</c:v>
                </c:pt>
                <c:pt idx="15">
                  <c:v>15</c:v>
                </c:pt>
                <c:pt idx="16">
                  <c:v>13</c:v>
                </c:pt>
                <c:pt idx="17">
                  <c:v>10</c:v>
                </c:pt>
                <c:pt idx="18">
                  <c:v>16</c:v>
                </c:pt>
                <c:pt idx="19">
                  <c:v>14</c:v>
                </c:pt>
                <c:pt idx="20">
                  <c:v>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D41-6C4B-A73F-79674700F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578823"/>
        <c:axId val="645126257"/>
      </c:barChart>
      <c:catAx>
        <c:axId val="213578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645126257"/>
        <c:crosses val="autoZero"/>
        <c:auto val="1"/>
        <c:lblAlgn val="ctr"/>
        <c:lblOffset val="100"/>
        <c:noMultiLvlLbl val="1"/>
      </c:catAx>
      <c:valAx>
        <c:axId val="645126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21357882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Sum Three_part_Score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blocks!$E$2:$E$22</c:f>
              <c:numCache>
                <c:formatCode>General</c:formatCode>
                <c:ptCount val="21"/>
                <c:pt idx="0">
                  <c:v>19</c:v>
                </c:pt>
                <c:pt idx="1">
                  <c:v>16</c:v>
                </c:pt>
                <c:pt idx="2">
                  <c:v>11</c:v>
                </c:pt>
                <c:pt idx="3">
                  <c:v>10</c:v>
                </c:pt>
                <c:pt idx="4">
                  <c:v>16</c:v>
                </c:pt>
                <c:pt idx="5">
                  <c:v>11</c:v>
                </c:pt>
                <c:pt idx="6">
                  <c:v>16</c:v>
                </c:pt>
                <c:pt idx="7">
                  <c:v>16</c:v>
                </c:pt>
                <c:pt idx="8">
                  <c:v>19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</c:v>
                </c:pt>
                <c:pt idx="13">
                  <c:v>15</c:v>
                </c:pt>
                <c:pt idx="14">
                  <c:v>10</c:v>
                </c:pt>
                <c:pt idx="15">
                  <c:v>16</c:v>
                </c:pt>
                <c:pt idx="16">
                  <c:v>15</c:v>
                </c:pt>
                <c:pt idx="17">
                  <c:v>10</c:v>
                </c:pt>
                <c:pt idx="18">
                  <c:v>16</c:v>
                </c:pt>
                <c:pt idx="19">
                  <c:v>15</c:v>
                </c:pt>
                <c:pt idx="20">
                  <c:v>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D59-C247-AEE1-EAD4950F2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777901"/>
        <c:axId val="1869999540"/>
      </c:barChart>
      <c:catAx>
        <c:axId val="679777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1869999540"/>
        <c:crosses val="autoZero"/>
        <c:auto val="1"/>
        <c:lblAlgn val="ctr"/>
        <c:lblOffset val="100"/>
        <c:noMultiLvlLbl val="1"/>
      </c:catAx>
      <c:valAx>
        <c:axId val="1869999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67977790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Sum Comedy_Score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blocks!$N$2:$N$22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5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BBC-D346-A673-5E70F6438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6673937"/>
        <c:axId val="920602758"/>
      </c:barChart>
      <c:catAx>
        <c:axId val="466673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920602758"/>
        <c:crosses val="autoZero"/>
        <c:auto val="1"/>
        <c:lblAlgn val="ctr"/>
        <c:lblOffset val="100"/>
        <c:noMultiLvlLbl val="1"/>
      </c:catAx>
      <c:valAx>
        <c:axId val="920602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46667393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Sum Romance_Score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blocks!$P$2:$P$22</c:f>
              <c:numCache>
                <c:formatCode>General</c:formatCode>
                <c:ptCount val="21"/>
                <c:pt idx="0">
                  <c:v>9</c:v>
                </c:pt>
                <c:pt idx="1">
                  <c:v>4</c:v>
                </c:pt>
                <c:pt idx="2">
                  <c:v>8</c:v>
                </c:pt>
                <c:pt idx="3">
                  <c:v>6</c:v>
                </c:pt>
                <c:pt idx="4">
                  <c:v>8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4</c:v>
                </c:pt>
                <c:pt idx="10">
                  <c:v>6</c:v>
                </c:pt>
                <c:pt idx="11">
                  <c:v>5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4</c:v>
                </c:pt>
                <c:pt idx="20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038-BF48-BBC3-EF57255FC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5086210"/>
        <c:axId val="921115859"/>
      </c:barChart>
      <c:catAx>
        <c:axId val="18550862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921115859"/>
        <c:crosses val="autoZero"/>
        <c:auto val="1"/>
        <c:lblAlgn val="ctr"/>
        <c:lblOffset val="100"/>
        <c:noMultiLvlLbl val="1"/>
      </c:catAx>
      <c:valAx>
        <c:axId val="921115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185508621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Sum Heroine_Journey_Score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blocks!$H$2:$H$22</c:f>
              <c:numCache>
                <c:formatCode>General</c:formatCode>
                <c:ptCount val="21"/>
                <c:pt idx="0">
                  <c:v>8</c:v>
                </c:pt>
                <c:pt idx="1">
                  <c:v>4</c:v>
                </c:pt>
                <c:pt idx="2">
                  <c:v>8</c:v>
                </c:pt>
                <c:pt idx="3">
                  <c:v>11</c:v>
                </c:pt>
                <c:pt idx="4">
                  <c:v>6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14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14</c:v>
                </c:pt>
                <c:pt idx="16">
                  <c:v>11</c:v>
                </c:pt>
                <c:pt idx="17">
                  <c:v>3</c:v>
                </c:pt>
                <c:pt idx="18">
                  <c:v>15</c:v>
                </c:pt>
                <c:pt idx="19">
                  <c:v>9</c:v>
                </c:pt>
                <c:pt idx="20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ED1-794B-8466-77C35BF9E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4283376"/>
        <c:axId val="640184406"/>
      </c:barChart>
      <c:catAx>
        <c:axId val="644283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640184406"/>
        <c:crosses val="autoZero"/>
        <c:auto val="1"/>
        <c:lblAlgn val="ctr"/>
        <c:lblOffset val="100"/>
        <c:noMultiLvlLbl val="1"/>
      </c:catAx>
      <c:valAx>
        <c:axId val="640184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64428337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Sum Biographical_Score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blocks!$K$2:$K$22</c:f>
              <c:numCache>
                <c:formatCode>General</c:formatCode>
                <c:ptCount val="21"/>
                <c:pt idx="0">
                  <c:v>15</c:v>
                </c:pt>
                <c:pt idx="1">
                  <c:v>10</c:v>
                </c:pt>
                <c:pt idx="2">
                  <c:v>11</c:v>
                </c:pt>
                <c:pt idx="3">
                  <c:v>9</c:v>
                </c:pt>
                <c:pt idx="4">
                  <c:v>12</c:v>
                </c:pt>
                <c:pt idx="5">
                  <c:v>9</c:v>
                </c:pt>
                <c:pt idx="6">
                  <c:v>12</c:v>
                </c:pt>
                <c:pt idx="7">
                  <c:v>13</c:v>
                </c:pt>
                <c:pt idx="8">
                  <c:v>16</c:v>
                </c:pt>
                <c:pt idx="9">
                  <c:v>9</c:v>
                </c:pt>
                <c:pt idx="10">
                  <c:v>10</c:v>
                </c:pt>
                <c:pt idx="11">
                  <c:v>15</c:v>
                </c:pt>
                <c:pt idx="12">
                  <c:v>9</c:v>
                </c:pt>
                <c:pt idx="13">
                  <c:v>12</c:v>
                </c:pt>
                <c:pt idx="14">
                  <c:v>9</c:v>
                </c:pt>
                <c:pt idx="15">
                  <c:v>13</c:v>
                </c:pt>
                <c:pt idx="16">
                  <c:v>12</c:v>
                </c:pt>
                <c:pt idx="17">
                  <c:v>10</c:v>
                </c:pt>
                <c:pt idx="18">
                  <c:v>13</c:v>
                </c:pt>
                <c:pt idx="19">
                  <c:v>13</c:v>
                </c:pt>
                <c:pt idx="20">
                  <c:v>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279-5940-9B99-094F6E82C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2542653"/>
        <c:axId val="892311307"/>
      </c:barChart>
      <c:catAx>
        <c:axId val="1922542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892311307"/>
        <c:crosses val="autoZero"/>
        <c:auto val="1"/>
        <c:lblAlgn val="ctr"/>
        <c:lblOffset val="100"/>
        <c:noMultiLvlLbl val="1"/>
      </c:catAx>
      <c:valAx>
        <c:axId val="892311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192254265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Sum Linear_Score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blocks!$F$2:$F$22</c:f>
              <c:numCache>
                <c:formatCode>General</c:formatCode>
                <c:ptCount val="21"/>
                <c:pt idx="0">
                  <c:v>13</c:v>
                </c:pt>
                <c:pt idx="1">
                  <c:v>9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7</c:v>
                </c:pt>
                <c:pt idx="6">
                  <c:v>8</c:v>
                </c:pt>
                <c:pt idx="7">
                  <c:v>6</c:v>
                </c:pt>
                <c:pt idx="8">
                  <c:v>9</c:v>
                </c:pt>
                <c:pt idx="9">
                  <c:v>8</c:v>
                </c:pt>
                <c:pt idx="10">
                  <c:v>5</c:v>
                </c:pt>
                <c:pt idx="11">
                  <c:v>9</c:v>
                </c:pt>
                <c:pt idx="12">
                  <c:v>8</c:v>
                </c:pt>
                <c:pt idx="13">
                  <c:v>12</c:v>
                </c:pt>
                <c:pt idx="14">
                  <c:v>8</c:v>
                </c:pt>
                <c:pt idx="15">
                  <c:v>6</c:v>
                </c:pt>
                <c:pt idx="16">
                  <c:v>7</c:v>
                </c:pt>
                <c:pt idx="17">
                  <c:v>4</c:v>
                </c:pt>
                <c:pt idx="18">
                  <c:v>7</c:v>
                </c:pt>
                <c:pt idx="19">
                  <c:v>9</c:v>
                </c:pt>
                <c:pt idx="20">
                  <c:v>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5FC-6D48-B3A7-EC3BEB54B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5780821"/>
        <c:axId val="488638489"/>
      </c:barChart>
      <c:catAx>
        <c:axId val="1865780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488638489"/>
        <c:crosses val="autoZero"/>
        <c:auto val="1"/>
        <c:lblAlgn val="ctr"/>
        <c:lblOffset val="100"/>
        <c:noMultiLvlLbl val="1"/>
      </c:catAx>
      <c:valAx>
        <c:axId val="4886384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186578082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Block 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Sum Functional_Propp_Score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blocks!$C$2:$C$22</c:f>
              <c:numCache>
                <c:formatCode>General</c:formatCode>
                <c:ptCount val="21"/>
                <c:pt idx="0">
                  <c:v>14</c:v>
                </c:pt>
                <c:pt idx="1">
                  <c:v>11</c:v>
                </c:pt>
                <c:pt idx="2">
                  <c:v>7</c:v>
                </c:pt>
                <c:pt idx="3">
                  <c:v>5</c:v>
                </c:pt>
                <c:pt idx="4">
                  <c:v>11</c:v>
                </c:pt>
                <c:pt idx="5">
                  <c:v>8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6</c:v>
                </c:pt>
                <c:pt idx="10">
                  <c:v>9</c:v>
                </c:pt>
                <c:pt idx="11">
                  <c:v>5</c:v>
                </c:pt>
                <c:pt idx="12">
                  <c:v>8</c:v>
                </c:pt>
                <c:pt idx="13">
                  <c:v>8</c:v>
                </c:pt>
                <c:pt idx="14">
                  <c:v>5</c:v>
                </c:pt>
                <c:pt idx="15">
                  <c:v>11</c:v>
                </c:pt>
                <c:pt idx="16">
                  <c:v>9</c:v>
                </c:pt>
                <c:pt idx="17">
                  <c:v>6</c:v>
                </c:pt>
                <c:pt idx="18">
                  <c:v>12</c:v>
                </c:pt>
                <c:pt idx="19">
                  <c:v>10</c:v>
                </c:pt>
                <c:pt idx="20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82-EB45-9BA3-3E127FF2ECFA}"/>
            </c:ext>
          </c:extLst>
        </c:ser>
        <c:ser>
          <c:idx val="1"/>
          <c:order val="1"/>
          <c:tx>
            <c:v>Sum Freytag_Score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blocks!$D$2:$D$22</c:f>
              <c:numCache>
                <c:formatCode>General</c:formatCode>
                <c:ptCount val="21"/>
                <c:pt idx="0">
                  <c:v>19</c:v>
                </c:pt>
                <c:pt idx="1">
                  <c:v>15</c:v>
                </c:pt>
                <c:pt idx="2">
                  <c:v>10</c:v>
                </c:pt>
                <c:pt idx="3">
                  <c:v>9</c:v>
                </c:pt>
                <c:pt idx="4">
                  <c:v>15</c:v>
                </c:pt>
                <c:pt idx="5">
                  <c:v>11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9</c:v>
                </c:pt>
                <c:pt idx="10">
                  <c:v>12</c:v>
                </c:pt>
                <c:pt idx="11">
                  <c:v>9</c:v>
                </c:pt>
                <c:pt idx="12">
                  <c:v>11</c:v>
                </c:pt>
                <c:pt idx="13">
                  <c:v>12</c:v>
                </c:pt>
                <c:pt idx="14">
                  <c:v>8</c:v>
                </c:pt>
                <c:pt idx="15">
                  <c:v>15</c:v>
                </c:pt>
                <c:pt idx="16">
                  <c:v>13</c:v>
                </c:pt>
                <c:pt idx="17">
                  <c:v>10</c:v>
                </c:pt>
                <c:pt idx="18">
                  <c:v>16</c:v>
                </c:pt>
                <c:pt idx="19">
                  <c:v>14</c:v>
                </c:pt>
                <c:pt idx="20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82-EB45-9BA3-3E127FF2ECFA}"/>
            </c:ext>
          </c:extLst>
        </c:ser>
        <c:ser>
          <c:idx val="2"/>
          <c:order val="2"/>
          <c:tx>
            <c:v>Sum Three_part_Score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blocks!$E$2:$E$22</c:f>
              <c:numCache>
                <c:formatCode>General</c:formatCode>
                <c:ptCount val="21"/>
                <c:pt idx="0">
                  <c:v>19</c:v>
                </c:pt>
                <c:pt idx="1">
                  <c:v>16</c:v>
                </c:pt>
                <c:pt idx="2">
                  <c:v>11</c:v>
                </c:pt>
                <c:pt idx="3">
                  <c:v>10</c:v>
                </c:pt>
                <c:pt idx="4">
                  <c:v>16</c:v>
                </c:pt>
                <c:pt idx="5">
                  <c:v>11</c:v>
                </c:pt>
                <c:pt idx="6">
                  <c:v>16</c:v>
                </c:pt>
                <c:pt idx="7">
                  <c:v>16</c:v>
                </c:pt>
                <c:pt idx="8">
                  <c:v>19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</c:v>
                </c:pt>
                <c:pt idx="13">
                  <c:v>15</c:v>
                </c:pt>
                <c:pt idx="14">
                  <c:v>10</c:v>
                </c:pt>
                <c:pt idx="15">
                  <c:v>16</c:v>
                </c:pt>
                <c:pt idx="16">
                  <c:v>15</c:v>
                </c:pt>
                <c:pt idx="17">
                  <c:v>10</c:v>
                </c:pt>
                <c:pt idx="18">
                  <c:v>16</c:v>
                </c:pt>
                <c:pt idx="19">
                  <c:v>15</c:v>
                </c:pt>
                <c:pt idx="20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82-EB45-9BA3-3E127FF2ECFA}"/>
            </c:ext>
          </c:extLst>
        </c:ser>
        <c:ser>
          <c:idx val="3"/>
          <c:order val="3"/>
          <c:tx>
            <c:v>Sum Linear_Score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blocks!$F$2:$F$22</c:f>
              <c:numCache>
                <c:formatCode>General</c:formatCode>
                <c:ptCount val="21"/>
                <c:pt idx="0">
                  <c:v>13</c:v>
                </c:pt>
                <c:pt idx="1">
                  <c:v>9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7</c:v>
                </c:pt>
                <c:pt idx="6">
                  <c:v>8</c:v>
                </c:pt>
                <c:pt idx="7">
                  <c:v>6</c:v>
                </c:pt>
                <c:pt idx="8">
                  <c:v>9</c:v>
                </c:pt>
                <c:pt idx="9">
                  <c:v>8</c:v>
                </c:pt>
                <c:pt idx="10">
                  <c:v>5</c:v>
                </c:pt>
                <c:pt idx="11">
                  <c:v>9</c:v>
                </c:pt>
                <c:pt idx="12">
                  <c:v>8</c:v>
                </c:pt>
                <c:pt idx="13">
                  <c:v>12</c:v>
                </c:pt>
                <c:pt idx="14">
                  <c:v>8</c:v>
                </c:pt>
                <c:pt idx="15">
                  <c:v>6</c:v>
                </c:pt>
                <c:pt idx="16">
                  <c:v>7</c:v>
                </c:pt>
                <c:pt idx="17">
                  <c:v>4</c:v>
                </c:pt>
                <c:pt idx="18">
                  <c:v>7</c:v>
                </c:pt>
                <c:pt idx="19">
                  <c:v>9</c:v>
                </c:pt>
                <c:pt idx="2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82-EB45-9BA3-3E127FF2E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9384253"/>
        <c:axId val="814921094"/>
      </c:lineChart>
      <c:catAx>
        <c:axId val="1829384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814921094"/>
        <c:crosses val="autoZero"/>
        <c:auto val="1"/>
        <c:lblAlgn val="ctr"/>
        <c:lblOffset val="100"/>
        <c:noMultiLvlLbl val="1"/>
      </c:catAx>
      <c:valAx>
        <c:axId val="8149210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182938425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Block 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Sum Hero_Journey_Score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blocks!$G$2:$G$22</c:f>
              <c:numCache>
                <c:formatCode>General</c:formatCode>
                <c:ptCount val="21"/>
                <c:pt idx="0">
                  <c:v>12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10</c:v>
                </c:pt>
                <c:pt idx="5">
                  <c:v>6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3</c:v>
                </c:pt>
                <c:pt idx="10">
                  <c:v>6</c:v>
                </c:pt>
                <c:pt idx="11">
                  <c:v>7</c:v>
                </c:pt>
                <c:pt idx="12">
                  <c:v>6</c:v>
                </c:pt>
                <c:pt idx="13">
                  <c:v>10</c:v>
                </c:pt>
                <c:pt idx="14">
                  <c:v>3</c:v>
                </c:pt>
                <c:pt idx="15">
                  <c:v>9</c:v>
                </c:pt>
                <c:pt idx="16">
                  <c:v>7</c:v>
                </c:pt>
                <c:pt idx="17">
                  <c:v>6</c:v>
                </c:pt>
                <c:pt idx="18">
                  <c:v>11</c:v>
                </c:pt>
                <c:pt idx="19">
                  <c:v>10</c:v>
                </c:pt>
                <c:pt idx="20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38-444E-8A4B-824C4019F3DD}"/>
            </c:ext>
          </c:extLst>
        </c:ser>
        <c:ser>
          <c:idx val="1"/>
          <c:order val="1"/>
          <c:tx>
            <c:v>Sum Heroine_Journey_Score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blocks!$H$2:$H$22</c:f>
              <c:numCache>
                <c:formatCode>General</c:formatCode>
                <c:ptCount val="21"/>
                <c:pt idx="0">
                  <c:v>8</c:v>
                </c:pt>
                <c:pt idx="1">
                  <c:v>4</c:v>
                </c:pt>
                <c:pt idx="2">
                  <c:v>8</c:v>
                </c:pt>
                <c:pt idx="3">
                  <c:v>11</c:v>
                </c:pt>
                <c:pt idx="4">
                  <c:v>6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14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14</c:v>
                </c:pt>
                <c:pt idx="16">
                  <c:v>11</c:v>
                </c:pt>
                <c:pt idx="17">
                  <c:v>3</c:v>
                </c:pt>
                <c:pt idx="18">
                  <c:v>15</c:v>
                </c:pt>
                <c:pt idx="19">
                  <c:v>9</c:v>
                </c:pt>
                <c:pt idx="2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38-444E-8A4B-824C4019F3DD}"/>
            </c:ext>
          </c:extLst>
        </c:ser>
        <c:ser>
          <c:idx val="2"/>
          <c:order val="2"/>
          <c:tx>
            <c:v>Sum Hero_Journey_Neutral_Score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blocks!$I$2:$I$22</c:f>
              <c:numCache>
                <c:formatCode>General</c:formatCode>
                <c:ptCount val="21"/>
                <c:pt idx="0">
                  <c:v>15</c:v>
                </c:pt>
                <c:pt idx="1">
                  <c:v>11</c:v>
                </c:pt>
                <c:pt idx="2">
                  <c:v>9</c:v>
                </c:pt>
                <c:pt idx="3">
                  <c:v>8</c:v>
                </c:pt>
                <c:pt idx="4">
                  <c:v>15</c:v>
                </c:pt>
                <c:pt idx="5">
                  <c:v>9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9</c:v>
                </c:pt>
                <c:pt idx="10">
                  <c:v>9</c:v>
                </c:pt>
                <c:pt idx="11">
                  <c:v>13</c:v>
                </c:pt>
                <c:pt idx="12">
                  <c:v>9</c:v>
                </c:pt>
                <c:pt idx="13">
                  <c:v>15</c:v>
                </c:pt>
                <c:pt idx="14">
                  <c:v>8</c:v>
                </c:pt>
                <c:pt idx="15">
                  <c:v>16</c:v>
                </c:pt>
                <c:pt idx="16">
                  <c:v>12</c:v>
                </c:pt>
                <c:pt idx="17">
                  <c:v>8</c:v>
                </c:pt>
                <c:pt idx="18">
                  <c:v>14</c:v>
                </c:pt>
                <c:pt idx="19">
                  <c:v>15</c:v>
                </c:pt>
                <c:pt idx="20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38-444E-8A4B-824C4019F3DD}"/>
            </c:ext>
          </c:extLst>
        </c:ser>
        <c:ser>
          <c:idx val="3"/>
          <c:order val="3"/>
          <c:tx>
            <c:v>Sum Grail_hero_Score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blocks!$J$2:$J$22</c:f>
              <c:numCache>
                <c:formatCode>General</c:formatCode>
                <c:ptCount val="21"/>
                <c:pt idx="0">
                  <c:v>12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10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4</c:v>
                </c:pt>
                <c:pt idx="10">
                  <c:v>7</c:v>
                </c:pt>
                <c:pt idx="11">
                  <c:v>9</c:v>
                </c:pt>
                <c:pt idx="12">
                  <c:v>6</c:v>
                </c:pt>
                <c:pt idx="13">
                  <c:v>11</c:v>
                </c:pt>
                <c:pt idx="14">
                  <c:v>4</c:v>
                </c:pt>
                <c:pt idx="15">
                  <c:v>11</c:v>
                </c:pt>
                <c:pt idx="16">
                  <c:v>8</c:v>
                </c:pt>
                <c:pt idx="17">
                  <c:v>7</c:v>
                </c:pt>
                <c:pt idx="18">
                  <c:v>11</c:v>
                </c:pt>
                <c:pt idx="19">
                  <c:v>12</c:v>
                </c:pt>
                <c:pt idx="2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38-444E-8A4B-824C4019F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549946"/>
        <c:axId val="1295459932"/>
      </c:lineChart>
      <c:catAx>
        <c:axId val="682549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1295459932"/>
        <c:crosses val="autoZero"/>
        <c:auto val="1"/>
        <c:lblAlgn val="ctr"/>
        <c:lblOffset val="100"/>
        <c:noMultiLvlLbl val="1"/>
      </c:catAx>
      <c:valAx>
        <c:axId val="1295459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68254994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Sum Hero_Journey_Score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blocks!$G$2:$G$22</c:f>
              <c:numCache>
                <c:formatCode>General</c:formatCode>
                <c:ptCount val="21"/>
                <c:pt idx="0">
                  <c:v>12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10</c:v>
                </c:pt>
                <c:pt idx="5">
                  <c:v>6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3</c:v>
                </c:pt>
                <c:pt idx="10">
                  <c:v>6</c:v>
                </c:pt>
                <c:pt idx="11">
                  <c:v>7</c:v>
                </c:pt>
                <c:pt idx="12">
                  <c:v>6</c:v>
                </c:pt>
                <c:pt idx="13">
                  <c:v>10</c:v>
                </c:pt>
                <c:pt idx="14">
                  <c:v>3</c:v>
                </c:pt>
                <c:pt idx="15">
                  <c:v>9</c:v>
                </c:pt>
                <c:pt idx="16">
                  <c:v>7</c:v>
                </c:pt>
                <c:pt idx="17">
                  <c:v>6</c:v>
                </c:pt>
                <c:pt idx="18">
                  <c:v>11</c:v>
                </c:pt>
                <c:pt idx="19">
                  <c:v>10</c:v>
                </c:pt>
                <c:pt idx="20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A-624A-AFA5-BE5E921331DF}"/>
            </c:ext>
          </c:extLst>
        </c:ser>
        <c:ser>
          <c:idx val="1"/>
          <c:order val="1"/>
          <c:tx>
            <c:v>Sum Heroine_Journey_Score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blocks!$H$2:$H$22</c:f>
              <c:numCache>
                <c:formatCode>General</c:formatCode>
                <c:ptCount val="21"/>
                <c:pt idx="0">
                  <c:v>8</c:v>
                </c:pt>
                <c:pt idx="1">
                  <c:v>4</c:v>
                </c:pt>
                <c:pt idx="2">
                  <c:v>8</c:v>
                </c:pt>
                <c:pt idx="3">
                  <c:v>11</c:v>
                </c:pt>
                <c:pt idx="4">
                  <c:v>6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14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14</c:v>
                </c:pt>
                <c:pt idx="16">
                  <c:v>11</c:v>
                </c:pt>
                <c:pt idx="17">
                  <c:v>3</c:v>
                </c:pt>
                <c:pt idx="18">
                  <c:v>15</c:v>
                </c:pt>
                <c:pt idx="19">
                  <c:v>9</c:v>
                </c:pt>
                <c:pt idx="2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EA-624A-AFA5-BE5E921331DF}"/>
            </c:ext>
          </c:extLst>
        </c:ser>
        <c:ser>
          <c:idx val="2"/>
          <c:order val="2"/>
          <c:tx>
            <c:v>Sum Hero_Journey_Neutral_Score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blocks!$I$2:$I$22</c:f>
              <c:numCache>
                <c:formatCode>General</c:formatCode>
                <c:ptCount val="21"/>
                <c:pt idx="0">
                  <c:v>15</c:v>
                </c:pt>
                <c:pt idx="1">
                  <c:v>11</c:v>
                </c:pt>
                <c:pt idx="2">
                  <c:v>9</c:v>
                </c:pt>
                <c:pt idx="3">
                  <c:v>8</c:v>
                </c:pt>
                <c:pt idx="4">
                  <c:v>15</c:v>
                </c:pt>
                <c:pt idx="5">
                  <c:v>9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9</c:v>
                </c:pt>
                <c:pt idx="10">
                  <c:v>9</c:v>
                </c:pt>
                <c:pt idx="11">
                  <c:v>13</c:v>
                </c:pt>
                <c:pt idx="12">
                  <c:v>9</c:v>
                </c:pt>
                <c:pt idx="13">
                  <c:v>15</c:v>
                </c:pt>
                <c:pt idx="14">
                  <c:v>8</c:v>
                </c:pt>
                <c:pt idx="15">
                  <c:v>16</c:v>
                </c:pt>
                <c:pt idx="16">
                  <c:v>12</c:v>
                </c:pt>
                <c:pt idx="17">
                  <c:v>8</c:v>
                </c:pt>
                <c:pt idx="18">
                  <c:v>14</c:v>
                </c:pt>
                <c:pt idx="19">
                  <c:v>15</c:v>
                </c:pt>
                <c:pt idx="20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EA-624A-AFA5-BE5E921331DF}"/>
            </c:ext>
          </c:extLst>
        </c:ser>
        <c:ser>
          <c:idx val="3"/>
          <c:order val="3"/>
          <c:tx>
            <c:v>Sum Grail_hero_Score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blocks!$J$2:$J$22</c:f>
              <c:numCache>
                <c:formatCode>General</c:formatCode>
                <c:ptCount val="21"/>
                <c:pt idx="0">
                  <c:v>12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10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4</c:v>
                </c:pt>
                <c:pt idx="10">
                  <c:v>7</c:v>
                </c:pt>
                <c:pt idx="11">
                  <c:v>9</c:v>
                </c:pt>
                <c:pt idx="12">
                  <c:v>6</c:v>
                </c:pt>
                <c:pt idx="13">
                  <c:v>11</c:v>
                </c:pt>
                <c:pt idx="14">
                  <c:v>4</c:v>
                </c:pt>
                <c:pt idx="15">
                  <c:v>11</c:v>
                </c:pt>
                <c:pt idx="16">
                  <c:v>8</c:v>
                </c:pt>
                <c:pt idx="17">
                  <c:v>7</c:v>
                </c:pt>
                <c:pt idx="18">
                  <c:v>11</c:v>
                </c:pt>
                <c:pt idx="19">
                  <c:v>12</c:v>
                </c:pt>
                <c:pt idx="2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EA-624A-AFA5-BE5E921331DF}"/>
            </c:ext>
          </c:extLst>
        </c:ser>
        <c:ser>
          <c:idx val="4"/>
          <c:order val="4"/>
          <c:tx>
            <c:v>Sum Save_the_cat_Score</c:v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blocks!$M$2:$M$22</c:f>
              <c:numCache>
                <c:formatCode>General</c:formatCode>
                <c:ptCount val="21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2</c:v>
                </c:pt>
                <c:pt idx="15">
                  <c:v>7</c:v>
                </c:pt>
                <c:pt idx="16">
                  <c:v>3</c:v>
                </c:pt>
                <c:pt idx="17">
                  <c:v>3</c:v>
                </c:pt>
                <c:pt idx="18">
                  <c:v>7</c:v>
                </c:pt>
                <c:pt idx="19">
                  <c:v>5</c:v>
                </c:pt>
                <c:pt idx="2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EA-624A-AFA5-BE5E92133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2303680"/>
        <c:axId val="1768047225"/>
      </c:lineChart>
      <c:catAx>
        <c:axId val="1322303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1768047225"/>
        <c:crosses val="autoZero"/>
        <c:auto val="1"/>
        <c:lblAlgn val="ctr"/>
        <c:lblOffset val="100"/>
        <c:noMultiLvlLbl val="1"/>
      </c:catAx>
      <c:valAx>
        <c:axId val="1768047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132230368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Heroine vs Romance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Sum Heroine_Journey_Score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blocks!$H$2:$H$22</c:f>
              <c:numCache>
                <c:formatCode>General</c:formatCode>
                <c:ptCount val="21"/>
                <c:pt idx="0">
                  <c:v>8</c:v>
                </c:pt>
                <c:pt idx="1">
                  <c:v>4</c:v>
                </c:pt>
                <c:pt idx="2">
                  <c:v>8</c:v>
                </c:pt>
                <c:pt idx="3">
                  <c:v>11</c:v>
                </c:pt>
                <c:pt idx="4">
                  <c:v>6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14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14</c:v>
                </c:pt>
                <c:pt idx="16">
                  <c:v>11</c:v>
                </c:pt>
                <c:pt idx="17">
                  <c:v>3</c:v>
                </c:pt>
                <c:pt idx="18">
                  <c:v>15</c:v>
                </c:pt>
                <c:pt idx="19">
                  <c:v>9</c:v>
                </c:pt>
                <c:pt idx="2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5-7A47-83B3-6365A9DE5321}"/>
            </c:ext>
          </c:extLst>
        </c:ser>
        <c:ser>
          <c:idx val="1"/>
          <c:order val="1"/>
          <c:tx>
            <c:v>Sum Romance_Score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blocks!$P$2:$P$22</c:f>
              <c:numCache>
                <c:formatCode>General</c:formatCode>
                <c:ptCount val="21"/>
                <c:pt idx="0">
                  <c:v>9</c:v>
                </c:pt>
                <c:pt idx="1">
                  <c:v>4</c:v>
                </c:pt>
                <c:pt idx="2">
                  <c:v>8</c:v>
                </c:pt>
                <c:pt idx="3">
                  <c:v>6</c:v>
                </c:pt>
                <c:pt idx="4">
                  <c:v>8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4</c:v>
                </c:pt>
                <c:pt idx="10">
                  <c:v>6</c:v>
                </c:pt>
                <c:pt idx="11">
                  <c:v>5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4</c:v>
                </c:pt>
                <c:pt idx="2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5-7A47-83B3-6365A9DE5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43074"/>
        <c:axId val="398798936"/>
      </c:lineChart>
      <c:catAx>
        <c:axId val="29043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398798936"/>
        <c:crosses val="autoZero"/>
        <c:auto val="1"/>
        <c:lblAlgn val="ctr"/>
        <c:lblOffset val="100"/>
        <c:noMultiLvlLbl val="1"/>
      </c:catAx>
      <c:valAx>
        <c:axId val="3987989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2904307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Linear vs Networks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Sum Linear_Score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blocks!$F$2:$F$22</c:f>
              <c:numCache>
                <c:formatCode>General</c:formatCode>
                <c:ptCount val="21"/>
                <c:pt idx="0">
                  <c:v>13</c:v>
                </c:pt>
                <c:pt idx="1">
                  <c:v>9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7</c:v>
                </c:pt>
                <c:pt idx="6">
                  <c:v>8</c:v>
                </c:pt>
                <c:pt idx="7">
                  <c:v>6</c:v>
                </c:pt>
                <c:pt idx="8">
                  <c:v>9</c:v>
                </c:pt>
                <c:pt idx="9">
                  <c:v>8</c:v>
                </c:pt>
                <c:pt idx="10">
                  <c:v>5</c:v>
                </c:pt>
                <c:pt idx="11">
                  <c:v>9</c:v>
                </c:pt>
                <c:pt idx="12">
                  <c:v>8</c:v>
                </c:pt>
                <c:pt idx="13">
                  <c:v>12</c:v>
                </c:pt>
                <c:pt idx="14">
                  <c:v>8</c:v>
                </c:pt>
                <c:pt idx="15">
                  <c:v>6</c:v>
                </c:pt>
                <c:pt idx="16">
                  <c:v>7</c:v>
                </c:pt>
                <c:pt idx="17">
                  <c:v>4</c:v>
                </c:pt>
                <c:pt idx="18">
                  <c:v>7</c:v>
                </c:pt>
                <c:pt idx="19">
                  <c:v>9</c:v>
                </c:pt>
                <c:pt idx="2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A2-2F4C-96F6-6D83787D8796}"/>
            </c:ext>
          </c:extLst>
        </c:ser>
        <c:ser>
          <c:idx val="1"/>
          <c:order val="1"/>
          <c:tx>
            <c:v>Sum Network_Dynamic_Score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blocks!$A$2:$A$22</c:f>
              <c:strCache>
                <c:ptCount val="21"/>
                <c:pt idx="0">
                  <c:v>Arthur Conan Doyle</c:v>
                </c:pt>
                <c:pt idx="1">
                  <c:v>Dashiell Hammett</c:v>
                </c:pt>
                <c:pt idx="2">
                  <c:v>Edith Wharton</c:v>
                </c:pt>
                <c:pt idx="3">
                  <c:v>Elizabeth Gaskell</c:v>
                </c:pt>
                <c:pt idx="4">
                  <c:v>George R.R. Martin</c:v>
                </c:pt>
                <c:pt idx="5">
                  <c:v>Graham Greene</c:v>
                </c:pt>
                <c:pt idx="6">
                  <c:v>H.G. Wells</c:v>
                </c:pt>
                <c:pt idx="7">
                  <c:v>H.P. Lovecraft</c:v>
                </c:pt>
                <c:pt idx="8">
                  <c:v>Henry James</c:v>
                </c:pt>
                <c:pt idx="9">
                  <c:v>Ian McEwan</c:v>
                </c:pt>
                <c:pt idx="10">
                  <c:v>James M. Cain</c:v>
                </c:pt>
                <c:pt idx="11">
                  <c:v>Jim Harrison</c:v>
                </c:pt>
                <c:pt idx="12">
                  <c:v>John Steinbeck</c:v>
                </c:pt>
                <c:pt idx="13">
                  <c:v>Joseph Conrad</c:v>
                </c:pt>
                <c:pt idx="14">
                  <c:v>Mark Twain</c:v>
                </c:pt>
                <c:pt idx="15">
                  <c:v>Martha Wells</c:v>
                </c:pt>
                <c:pt idx="16">
                  <c:v>Muriel Spark</c:v>
                </c:pt>
                <c:pt idx="17">
                  <c:v>Oscar Wilde</c:v>
                </c:pt>
                <c:pt idx="18">
                  <c:v>Seanan McGuire</c:v>
                </c:pt>
                <c:pt idx="19">
                  <c:v>Ursula K. Le Guin</c:v>
                </c:pt>
                <c:pt idx="20">
                  <c:v>Stephen King</c:v>
                </c:pt>
              </c:strCache>
            </c:strRef>
          </c:cat>
          <c:val>
            <c:numRef>
              <c:f>blocks!$L$2:$L$22</c:f>
              <c:numCache>
                <c:formatCode>General</c:formatCode>
                <c:ptCount val="21"/>
                <c:pt idx="0">
                  <c:v>15</c:v>
                </c:pt>
                <c:pt idx="1">
                  <c:v>16</c:v>
                </c:pt>
                <c:pt idx="2">
                  <c:v>10</c:v>
                </c:pt>
                <c:pt idx="3">
                  <c:v>10</c:v>
                </c:pt>
                <c:pt idx="4">
                  <c:v>15</c:v>
                </c:pt>
                <c:pt idx="5">
                  <c:v>10</c:v>
                </c:pt>
                <c:pt idx="6">
                  <c:v>12</c:v>
                </c:pt>
                <c:pt idx="7">
                  <c:v>11</c:v>
                </c:pt>
                <c:pt idx="8">
                  <c:v>17</c:v>
                </c:pt>
                <c:pt idx="9">
                  <c:v>11</c:v>
                </c:pt>
                <c:pt idx="10">
                  <c:v>10</c:v>
                </c:pt>
                <c:pt idx="11">
                  <c:v>14</c:v>
                </c:pt>
                <c:pt idx="12">
                  <c:v>11</c:v>
                </c:pt>
                <c:pt idx="13">
                  <c:v>13</c:v>
                </c:pt>
                <c:pt idx="14">
                  <c:v>9</c:v>
                </c:pt>
                <c:pt idx="15">
                  <c:v>13</c:v>
                </c:pt>
                <c:pt idx="16">
                  <c:v>15</c:v>
                </c:pt>
                <c:pt idx="17">
                  <c:v>10</c:v>
                </c:pt>
                <c:pt idx="18">
                  <c:v>15</c:v>
                </c:pt>
                <c:pt idx="19">
                  <c:v>15</c:v>
                </c:pt>
                <c:pt idx="20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A2-2F4C-96F6-6D83787D8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7345336"/>
        <c:axId val="1732251919"/>
      </c:lineChart>
      <c:catAx>
        <c:axId val="1707345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1732251919"/>
        <c:crosses val="autoZero"/>
        <c:auto val="1"/>
        <c:lblAlgn val="ctr"/>
        <c:lblOffset val="100"/>
        <c:noMultiLvlLbl val="1"/>
      </c:catAx>
      <c:valAx>
        <c:axId val="1732251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IL"/>
          </a:p>
        </c:txPr>
        <c:crossAx val="170734533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Relationship Id="rId1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40</xdr:row>
      <xdr:rowOff>0</xdr:rowOff>
    </xdr:from>
    <xdr:ext cx="2647950" cy="6096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38100</xdr:colOff>
      <xdr:row>63</xdr:row>
      <xdr:rowOff>933450</xdr:rowOff>
    </xdr:from>
    <xdr:ext cx="2581275" cy="666750"/>
    <xdr:graphicFrame macro="">
      <xdr:nvGraphicFramePr>
        <xdr:cNvPr id="268868951" name="Chart 11">
          <a:extLst>
            <a:ext uri="{FF2B5EF4-FFF2-40B4-BE49-F238E27FC236}">
              <a16:creationId xmlns:a16="http://schemas.microsoft.com/office/drawing/2014/main" id="{00000000-0008-0000-0A00-0000579D0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37</xdr:col>
      <xdr:colOff>47625</xdr:colOff>
      <xdr:row>66</xdr:row>
      <xdr:rowOff>180975</xdr:rowOff>
    </xdr:from>
    <xdr:ext cx="2495550" cy="1438275"/>
    <xdr:graphicFrame macro="">
      <xdr:nvGraphicFramePr>
        <xdr:cNvPr id="596420851" name="Chart 12">
          <a:extLst>
            <a:ext uri="{FF2B5EF4-FFF2-40B4-BE49-F238E27FC236}">
              <a16:creationId xmlns:a16="http://schemas.microsoft.com/office/drawing/2014/main" id="{00000000-0008-0000-0A00-0000F3A88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37</xdr:col>
      <xdr:colOff>28575</xdr:colOff>
      <xdr:row>74</xdr:row>
      <xdr:rowOff>47625</xdr:rowOff>
    </xdr:from>
    <xdr:ext cx="2524125" cy="1371600"/>
    <xdr:graphicFrame macro="">
      <xdr:nvGraphicFramePr>
        <xdr:cNvPr id="1407102973" name="Chart 13">
          <a:extLst>
            <a:ext uri="{FF2B5EF4-FFF2-40B4-BE49-F238E27FC236}">
              <a16:creationId xmlns:a16="http://schemas.microsoft.com/office/drawing/2014/main" id="{00000000-0008-0000-0A00-0000FDAFD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37</xdr:col>
      <xdr:colOff>76200</xdr:colOff>
      <xdr:row>80</xdr:row>
      <xdr:rowOff>171450</xdr:rowOff>
    </xdr:from>
    <xdr:ext cx="2609850" cy="1695450"/>
    <xdr:graphicFrame macro="">
      <xdr:nvGraphicFramePr>
        <xdr:cNvPr id="1840806778" name="Chart 14">
          <a:extLst>
            <a:ext uri="{FF2B5EF4-FFF2-40B4-BE49-F238E27FC236}">
              <a16:creationId xmlns:a16="http://schemas.microsoft.com/office/drawing/2014/main" id="{00000000-0008-0000-0A00-00007A7BB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37</xdr:col>
      <xdr:colOff>47625</xdr:colOff>
      <xdr:row>89</xdr:row>
      <xdr:rowOff>104775</xdr:rowOff>
    </xdr:from>
    <xdr:ext cx="2638425" cy="1971675"/>
    <xdr:graphicFrame macro="">
      <xdr:nvGraphicFramePr>
        <xdr:cNvPr id="762774170" name="Chart 15">
          <a:extLst>
            <a:ext uri="{FF2B5EF4-FFF2-40B4-BE49-F238E27FC236}">
              <a16:creationId xmlns:a16="http://schemas.microsoft.com/office/drawing/2014/main" id="{00000000-0008-0000-0A00-00009A027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</xdr:colOff>
      <xdr:row>0</xdr:row>
      <xdr:rowOff>171450</xdr:rowOff>
    </xdr:from>
    <xdr:ext cx="6124575" cy="3162300"/>
    <xdr:graphicFrame macro="">
      <xdr:nvGraphicFramePr>
        <xdr:cNvPr id="934762323" name="Chart 16">
          <a:extLst>
            <a:ext uri="{FF2B5EF4-FFF2-40B4-BE49-F238E27FC236}">
              <a16:creationId xmlns:a16="http://schemas.microsoft.com/office/drawing/2014/main" id="{00000000-0008-0000-0B00-00005357B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57150</xdr:rowOff>
    </xdr:from>
    <xdr:ext cx="3971925" cy="2876550"/>
    <xdr:graphicFrame macro="">
      <xdr:nvGraphicFramePr>
        <xdr:cNvPr id="633489055" name="Chart 17">
          <a:extLst>
            <a:ext uri="{FF2B5EF4-FFF2-40B4-BE49-F238E27FC236}">
              <a16:creationId xmlns:a16="http://schemas.microsoft.com/office/drawing/2014/main" id="{00000000-0008-0000-0D00-00009F46C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66675</xdr:colOff>
      <xdr:row>26</xdr:row>
      <xdr:rowOff>76200</xdr:rowOff>
    </xdr:from>
    <xdr:ext cx="4010025" cy="2876550"/>
    <xdr:graphicFrame macro="">
      <xdr:nvGraphicFramePr>
        <xdr:cNvPr id="2009998598" name="Chart 18">
          <a:extLst>
            <a:ext uri="{FF2B5EF4-FFF2-40B4-BE49-F238E27FC236}">
              <a16:creationId xmlns:a16="http://schemas.microsoft.com/office/drawing/2014/main" id="{00000000-0008-0000-0D00-00000625C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552450</xdr:colOff>
      <xdr:row>26</xdr:row>
      <xdr:rowOff>95250</xdr:rowOff>
    </xdr:from>
    <xdr:ext cx="3905250" cy="2876550"/>
    <xdr:graphicFrame macro="">
      <xdr:nvGraphicFramePr>
        <xdr:cNvPr id="190488638" name="Chart 19">
          <a:extLst>
            <a:ext uri="{FF2B5EF4-FFF2-40B4-BE49-F238E27FC236}">
              <a16:creationId xmlns:a16="http://schemas.microsoft.com/office/drawing/2014/main" id="{00000000-0008-0000-0D00-00003EA05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16</xdr:col>
      <xdr:colOff>95250</xdr:colOff>
      <xdr:row>26</xdr:row>
      <xdr:rowOff>95250</xdr:rowOff>
    </xdr:from>
    <xdr:ext cx="4010025" cy="2876550"/>
    <xdr:graphicFrame macro="">
      <xdr:nvGraphicFramePr>
        <xdr:cNvPr id="457479754" name="Chart 20">
          <a:extLst>
            <a:ext uri="{FF2B5EF4-FFF2-40B4-BE49-F238E27FC236}">
              <a16:creationId xmlns:a16="http://schemas.microsoft.com/office/drawing/2014/main" id="{00000000-0008-0000-0D00-00004A964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10</xdr:col>
      <xdr:colOff>447675</xdr:colOff>
      <xdr:row>42</xdr:row>
      <xdr:rowOff>57150</xdr:rowOff>
    </xdr:from>
    <xdr:ext cx="3905250" cy="2876550"/>
    <xdr:graphicFrame macro="">
      <xdr:nvGraphicFramePr>
        <xdr:cNvPr id="1964256788" name="Chart 21">
          <a:extLst>
            <a:ext uri="{FF2B5EF4-FFF2-40B4-BE49-F238E27FC236}">
              <a16:creationId xmlns:a16="http://schemas.microsoft.com/office/drawing/2014/main" id="{00000000-0008-0000-0D00-0000142E1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10</xdr:col>
      <xdr:colOff>590550</xdr:colOff>
      <xdr:row>57</xdr:row>
      <xdr:rowOff>114300</xdr:rowOff>
    </xdr:from>
    <xdr:ext cx="3905250" cy="2886075"/>
    <xdr:graphicFrame macro="">
      <xdr:nvGraphicFramePr>
        <xdr:cNvPr id="529530015" name="Chart 22">
          <a:extLst>
            <a:ext uri="{FF2B5EF4-FFF2-40B4-BE49-F238E27FC236}">
              <a16:creationId xmlns:a16="http://schemas.microsoft.com/office/drawing/2014/main" id="{00000000-0008-0000-0D00-00009FFC8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10</xdr:col>
      <xdr:colOff>790575</xdr:colOff>
      <xdr:row>72</xdr:row>
      <xdr:rowOff>38100</xdr:rowOff>
    </xdr:from>
    <xdr:ext cx="3733800" cy="2876550"/>
    <xdr:graphicFrame macro="">
      <xdr:nvGraphicFramePr>
        <xdr:cNvPr id="1219606833" name="Chart 23">
          <a:extLst>
            <a:ext uri="{FF2B5EF4-FFF2-40B4-BE49-F238E27FC236}">
              <a16:creationId xmlns:a16="http://schemas.microsoft.com/office/drawing/2014/main" id="{00000000-0008-0000-0D00-000031B9B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0</xdr:col>
      <xdr:colOff>295275</xdr:colOff>
      <xdr:row>43</xdr:row>
      <xdr:rowOff>152400</xdr:rowOff>
    </xdr:from>
    <xdr:ext cx="3962400" cy="2800350"/>
    <xdr:graphicFrame macro="">
      <xdr:nvGraphicFramePr>
        <xdr:cNvPr id="252485544" name="Chart 24">
          <a:extLst>
            <a:ext uri="{FF2B5EF4-FFF2-40B4-BE49-F238E27FC236}">
              <a16:creationId xmlns:a16="http://schemas.microsoft.com/office/drawing/2014/main" id="{00000000-0008-0000-0D00-0000A89F0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21</xdr:col>
      <xdr:colOff>723900</xdr:colOff>
      <xdr:row>26</xdr:row>
      <xdr:rowOff>152400</xdr:rowOff>
    </xdr:from>
    <xdr:ext cx="3876675" cy="2800350"/>
    <xdr:graphicFrame macro="">
      <xdr:nvGraphicFramePr>
        <xdr:cNvPr id="1678927476" name="Chart 25">
          <a:extLst>
            <a:ext uri="{FF2B5EF4-FFF2-40B4-BE49-F238E27FC236}">
              <a16:creationId xmlns:a16="http://schemas.microsoft.com/office/drawing/2014/main" id="{00000000-0008-0000-0D00-000074661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18</xdr:col>
      <xdr:colOff>133350</xdr:colOff>
      <xdr:row>0</xdr:row>
      <xdr:rowOff>28575</xdr:rowOff>
    </xdr:from>
    <xdr:ext cx="6686550" cy="2486025"/>
    <xdr:graphicFrame macro="">
      <xdr:nvGraphicFramePr>
        <xdr:cNvPr id="2003370208" name="Chart 26">
          <a:extLst>
            <a:ext uri="{FF2B5EF4-FFF2-40B4-BE49-F238E27FC236}">
              <a16:creationId xmlns:a16="http://schemas.microsoft.com/office/drawing/2014/main" id="{00000000-0008-0000-0D00-0000E0006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18</xdr:col>
      <xdr:colOff>57150</xdr:colOff>
      <xdr:row>13</xdr:row>
      <xdr:rowOff>28575</xdr:rowOff>
    </xdr:from>
    <xdr:ext cx="6819900" cy="2790825"/>
    <xdr:graphicFrame macro="">
      <xdr:nvGraphicFramePr>
        <xdr:cNvPr id="528671428" name="Chart 27">
          <a:extLst>
            <a:ext uri="{FF2B5EF4-FFF2-40B4-BE49-F238E27FC236}">
              <a16:creationId xmlns:a16="http://schemas.microsoft.com/office/drawing/2014/main" id="{00000000-0008-0000-0D00-0000C4E28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27</xdr:col>
      <xdr:colOff>571500</xdr:colOff>
      <xdr:row>13</xdr:row>
      <xdr:rowOff>9525</xdr:rowOff>
    </xdr:from>
    <xdr:ext cx="6657975" cy="2743200"/>
    <xdr:graphicFrame macro="">
      <xdr:nvGraphicFramePr>
        <xdr:cNvPr id="779292811" name="Chart 28">
          <a:extLst>
            <a:ext uri="{FF2B5EF4-FFF2-40B4-BE49-F238E27FC236}">
              <a16:creationId xmlns:a16="http://schemas.microsoft.com/office/drawing/2014/main" id="{00000000-0008-0000-0D00-00008B107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27</xdr:col>
      <xdr:colOff>695325</xdr:colOff>
      <xdr:row>0</xdr:row>
      <xdr:rowOff>57150</xdr:rowOff>
    </xdr:from>
    <xdr:ext cx="6486525" cy="2628900"/>
    <xdr:graphicFrame macro="">
      <xdr:nvGraphicFramePr>
        <xdr:cNvPr id="97134389" name="Chart 29">
          <a:extLst>
            <a:ext uri="{FF2B5EF4-FFF2-40B4-BE49-F238E27FC236}">
              <a16:creationId xmlns:a16="http://schemas.microsoft.com/office/drawing/2014/main" id="{00000000-0008-0000-0D00-00003527C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27</xdr:col>
      <xdr:colOff>552450</xdr:colOff>
      <xdr:row>28</xdr:row>
      <xdr:rowOff>114300</xdr:rowOff>
    </xdr:from>
    <xdr:ext cx="6686550" cy="2800350"/>
    <xdr:graphicFrame macro="">
      <xdr:nvGraphicFramePr>
        <xdr:cNvPr id="279839642" name="Chart 30">
          <a:extLst>
            <a:ext uri="{FF2B5EF4-FFF2-40B4-BE49-F238E27FC236}">
              <a16:creationId xmlns:a16="http://schemas.microsoft.com/office/drawing/2014/main" id="{00000000-0008-0000-0D00-00009A03A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lka Kaplan  " refreshedDate="46098.571537847223" refreshedVersion="8" recordCount="306" xr:uid="{00000000-000A-0000-FFFF-FFFF00000000}">
  <cacheSource type="worksheet">
    <worksheetSource ref="A1:X307" sheet="scores_all"/>
  </cacheSource>
  <cacheFields count="24">
    <cacheField name="filename" numFmtId="0">
      <sharedItems/>
    </cacheField>
    <cacheField name="author" numFmtId="0">
      <sharedItems count="216">
        <s v="Ernest Hemingway"/>
        <s v="George Orwell"/>
        <s v="John Steinbeck"/>
        <s v="Charles Dickens"/>
        <s v="Robert Louis Stevenson"/>
        <s v="Joseph Conrad"/>
        <s v="Daniel Keyes"/>
        <s v="Anthony Burgess"/>
        <s v="Truman Capote"/>
        <s v="Jack London"/>
        <s v="H.G. Wells"/>
        <s v="Herman Melville"/>
        <s v="Elie Wiesel"/>
        <s v="Kate Chopin"/>
        <s v="James Joyce"/>
        <s v="Edith Wharton"/>
        <s v="Shirley Jackson"/>
        <s v="William Golding"/>
        <s v="Stephen King"/>
        <s v="Henry James"/>
        <s v="Richard Bach"/>
        <s v="Ayn Rand"/>
        <s v="Neil Gaiman"/>
        <s v="J.D. Salinger"/>
        <s v="Arthur Conan Doyle"/>
        <s v="Muriel Spark"/>
        <s v="Alan Bennett"/>
        <s v="Carson McCullers"/>
        <s v="Thomas Pynchon"/>
        <s v="Robin Waterfield"/>
        <s v="Oscar Wilde"/>
        <s v="James Baldwin"/>
        <s v="Norman Maclean"/>
        <s v="Sandra Cisneros"/>
        <s v="Rudyard Kipling"/>
        <s v="J.L. Carr"/>
        <s v="C.S. Lewis"/>
        <s v="Martha Wells"/>
        <s v="Stephen Chbosky"/>
        <s v="Lois Lowry"/>
        <s v="H.P. Lovecraft"/>
        <s v="Thornton Wilder"/>
        <s v="Steve Martin"/>
        <s v="Vladimir Nabokov"/>
        <s v="Horace Walpole"/>
        <s v="Mark Twain"/>
        <s v="E.M. Forster"/>
        <s v="Harper Lee"/>
        <s v="Samuel Johnson"/>
        <s v="John Gardner"/>
        <s v="James M. Cain"/>
        <s v="Denis Johnson"/>
        <s v="Nathanael West"/>
        <s v="Saul Bellow"/>
        <s v="Katherine Anne Porter"/>
        <s v="Jerzy Kosiński"/>
        <s v="Christopher Isherwood"/>
        <s v="Dashiell Hammett"/>
        <s v="Graham Greene"/>
        <s v="Nella Larsen"/>
        <s v="Jack Kerouac"/>
        <s v="Ira Levin"/>
        <s v="J. Sheridan Le Fanu"/>
        <s v="Seanan McGuire"/>
        <s v="Willa Cather"/>
        <s v="Clive Barker"/>
        <s v="Ursula K. Le Guin"/>
        <s v="J.M. Coetzee"/>
        <s v="Stephenie Meyer"/>
        <s v="Charles Portis"/>
        <s v="Ian McEwan"/>
        <s v="William Faulkner"/>
        <s v="James Thurber"/>
        <s v="Eudora Welty"/>
        <s v="Alan Sillitoe"/>
        <s v="James Tiptree Jr."/>
        <s v="Claire Keegan"/>
        <s v="Aphra Behn"/>
        <s v="James Hilton"/>
        <s v="Anthony Doerr"/>
        <s v="Evelyn Waugh"/>
        <s v="Nnedi Okorafor"/>
        <s v="Chinua Achebe"/>
        <s v="Becky Chambers"/>
        <s v="Justin Torres"/>
        <s v="Cynthia Ozick"/>
        <s v="Robert A. Heinlein"/>
        <s v="Tobias Wolff"/>
        <s v="F. Scott Fitzgerald"/>
        <s v="Andrew Kaufman"/>
        <s v="Richard Bachman"/>
        <s v="Graham Swift"/>
        <s v="Shel Silverstein"/>
        <s v="A.S. Byatt"/>
        <s v="Ambrose Bierce"/>
        <s v="John W. Campbell Jr."/>
        <s v="Jane Smiley"/>
        <s v="Charles Bukowski"/>
        <s v="J.G. Ballard"/>
        <s v="John Fowles"/>
        <s v="W. Somerset Maugham"/>
        <s v="Paul Auster"/>
        <s v="Kingsley Amis"/>
        <s v="Alex Garland"/>
        <s v="Elizabeth Gaskell"/>
        <s v="Brandon Sanderson"/>
        <s v="John O'Hara"/>
        <s v="J.R.R. Tolkien"/>
        <s v="Stephen Black"/>
        <s v="Daniel Coleman"/>
        <s v="Jim Carroll"/>
        <s v="denis-johnson"/>
        <s v="Simon Funk"/>
        <s v="Thomas Hardy"/>
        <s v="Courtney Milan"/>
        <s v="Jessica Au"/>
        <s v="Sarah Orne Jewett"/>
        <s v="Amal El-Mohtar"/>
        <s v="M. John Harrison"/>
        <s v="Sarah Gailey"/>
        <s v="Fred Bodsworth"/>
        <s v="Stephen Crane"/>
        <s v="Jenny Offill"/>
        <s v="Philip Roth"/>
        <s v="Virginia Woolf"/>
        <s v="Victor LaValle"/>
        <s v="Ted Chiang"/>
        <s v="Tim Winton"/>
        <s v="William Makepeace Thackeray"/>
        <s v="Don DeLillo"/>
        <s v="Max Porter"/>
        <s v="Jack Vance"/>
        <s v="Colum McCann"/>
        <s v="Mrs. Oliphant"/>
        <s v="Daniel Defoe"/>
        <s v="Hunter S. Thompson"/>
        <s v="Philip Pullman"/>
        <s v="Kent Haruf"/>
        <s v="Jeanette Winterson"/>
        <s v="Algernon Blackwood"/>
        <s v="T.H. White"/>
        <s v="Teju Cole"/>
        <s v="Josephine Hart"/>
        <s v="Joyce Carol Oates"/>
        <s v="Louisa May Alcott"/>
        <s v="Ian Rankin"/>
        <s v="Ben Okri"/>
        <s v="Edgar Allan Poe"/>
        <s v="George Eliot"/>
        <s v="Ron Carlson"/>
        <s v="H.M. Ward"/>
        <s v="Paul Monette"/>
        <s v="Hallee Bridgeman"/>
        <s v="Colin Winnette"/>
        <s v="Tim Curran"/>
        <s v="Rachel Woods"/>
        <s v="Jim Harrison"/>
        <s v="Neil R. Jones"/>
        <s v="Patrick Manzai"/>
        <s v="Janet E. Morris"/>
        <s v="John Hersey"/>
        <s v="Douglas Adams"/>
        <s v="Natasha Brown"/>
        <s v="Dean Ing"/>
        <s v="Sigrid Nunez"/>
        <s v="Vera Nazarian"/>
        <s v="Sophie Jordan"/>
        <s v="Al Riske"/>
        <s v="Michael Cunningham"/>
        <s v="Morgan Robertson"/>
        <s v="Walter Jon Williams"/>
        <s v="N.K. Jemisin"/>
        <s v="P. Djèlí Clark"/>
        <s v="Rebecca Roanhorse"/>
        <s v="P.C. Cast"/>
        <s v="Richard Ford"/>
        <s v="Henry Fielding"/>
        <s v="Nancy Kress"/>
        <s v="Joe Haldeman"/>
        <s v="Kij Johnson"/>
        <s v="Jane Austen"/>
        <s v="Ottessa Moshfegh"/>
        <s v="Rick Moody"/>
        <s v="Zen Cho"/>
        <s v="George R.R. Martin"/>
        <s v="Dan Jacobson"/>
        <s v="Cory Doctorow"/>
        <s v="Elizabeth Spencer"/>
        <s v="Kaye Gibbons"/>
        <s v="Arthur C. Clarke"/>
        <s v="Emmuska Orczy"/>
        <s v="Christopher WunderLee"/>
        <s v="Matthew Reilly"/>
        <s v="Lore Segal"/>
        <s v="James Patrick Kelly"/>
        <s v="Pamela Clare"/>
        <s v="Cassandra Khaw"/>
        <s v="Russell Hoban"/>
        <s v="Vernon Lee"/>
        <s v="Connie Willis"/>
        <s v="Christopher Morley"/>
        <s v="Margaret Atwood"/>
        <s v="Ruth Ozeki"/>
        <s v="Glenway Wescott"/>
        <s v="Ian McDonald"/>
        <s v="Hubert Selby Jr."/>
        <s v="Marian Engel"/>
        <s v="Wilkie Collins"/>
        <s v="Carole Giangrande"/>
        <s v="Chuck Palahniuk"/>
        <s v="Gail Carriger"/>
        <s v="James Vance Marshall"/>
        <s v="Eleanor Druse"/>
        <s v="Gordon R. Dickson"/>
        <s v="Ethel Wilson"/>
        <s v="Peter Watts"/>
      </sharedItems>
    </cacheField>
    <cacheField name="word_count" numFmtId="0">
      <sharedItems containsSemiMixedTypes="0" containsString="0" containsNumber="1" containsInteger="1" minValue="617" maxValue="121911"/>
    </cacheField>
    <cacheField name="year" numFmtId="0">
      <sharedItems containsSemiMixedTypes="0" containsString="0" containsNumber="1" containsInteger="1" minValue="1688" maxValue="2022"/>
    </cacheField>
    <cacheField name="avg_rating" numFmtId="0">
      <sharedItems containsSemiMixedTypes="0" containsString="0" containsNumber="1" minValue="2.66" maxValue="4.59"/>
    </cacheField>
    <cacheField name="ratings_count" numFmtId="0">
      <sharedItems containsSemiMixedTypes="0" containsString="0" containsNumber="1" containsInteger="1" minValue="12" maxValue="6389780"/>
    </cacheField>
    <cacheField name="score" numFmtId="0">
      <sharedItems containsSemiMixedTypes="0" containsString="0" containsNumber="1" containsInteger="1" minValue="1" maxValue="51254"/>
    </cacheField>
    <cacheField name="N_score" numFmtId="0">
      <sharedItems containsSemiMixedTypes="0" containsString="0" containsNumber="1" minValue="0" maxValue="100"/>
    </cacheField>
    <cacheField name="Functional_Propp_Score" numFmtId="0">
      <sharedItems containsSemiMixedTypes="0" containsString="0" containsNumber="1" containsInteger="1" minValue="1" maxValue="3"/>
    </cacheField>
    <cacheField name="Freytag_Score" numFmtId="0">
      <sharedItems containsSemiMixedTypes="0" containsString="0" containsNumber="1" containsInteger="1" minValue="1" maxValue="4"/>
    </cacheField>
    <cacheField name="Three_part_Score" numFmtId="0">
      <sharedItems containsSemiMixedTypes="0" containsString="0" containsNumber="1" containsInteger="1" minValue="2" maxValue="4"/>
    </cacheField>
    <cacheField name="Hero_Journey_Score" numFmtId="0">
      <sharedItems containsSemiMixedTypes="0" containsString="0" containsNumber="1" containsInteger="1" minValue="1" maxValue="4"/>
    </cacheField>
    <cacheField name="Network_Dynamic_Score" numFmtId="0">
      <sharedItems containsSemiMixedTypes="0" containsString="0" containsNumber="1" containsInteger="1" minValue="1" maxValue="4"/>
    </cacheField>
    <cacheField name="Linear_Score" numFmtId="0">
      <sharedItems containsSemiMixedTypes="0" containsString="0" containsNumber="1" containsInteger="1" minValue="1" maxValue="4"/>
    </cacheField>
    <cacheField name="Biographical_Score" numFmtId="0">
      <sharedItems containsSemiMixedTypes="0" containsString="0" containsNumber="1" containsInteger="1" minValue="1" maxValue="4"/>
    </cacheField>
    <cacheField name="Comedy_Score" numFmtId="0">
      <sharedItems containsSemiMixedTypes="0" containsString="0" containsNumber="1" containsInteger="1" minValue="0" maxValue="4"/>
    </cacheField>
    <cacheField name="Mystery_Score" numFmtId="0">
      <sharedItems containsSemiMixedTypes="0" containsString="0" containsNumber="1" containsInteger="1" minValue="0" maxValue="4"/>
    </cacheField>
    <cacheField name="Romance_Score" numFmtId="0">
      <sharedItems containsSemiMixedTypes="0" containsString="0" containsNumber="1" containsInteger="1" minValue="0" maxValue="4"/>
    </cacheField>
    <cacheField name="Satire_Score" numFmtId="0">
      <sharedItems containsSemiMixedTypes="0" containsString="0" containsNumber="1" containsInteger="1" minValue="0" maxValue="4"/>
    </cacheField>
    <cacheField name="Tragedy_Score" numFmtId="0">
      <sharedItems containsSemiMixedTypes="0" containsString="0" containsNumber="1" containsInteger="1" minValue="0" maxValue="4"/>
    </cacheField>
    <cacheField name="Save_the_cat_Score" numFmtId="0">
      <sharedItems containsSemiMixedTypes="0" containsString="0" containsNumber="1" containsInteger="1" minValue="0" maxValue="2"/>
    </cacheField>
    <cacheField name="Grail_hero_Score" numFmtId="0">
      <sharedItems containsSemiMixedTypes="0" containsString="0" containsNumber="1" containsInteger="1" minValue="1" maxValue="4"/>
    </cacheField>
    <cacheField name="Heroine_Journey_Score" numFmtId="0">
      <sharedItems containsSemiMixedTypes="0" containsString="0" containsNumber="1" containsInteger="1" minValue="0" maxValue="4"/>
    </cacheField>
    <cacheField name="Hero_Journey_Neutral_Score" numFmtId="0">
      <sharedItems containsSemiMixedTypes="0" containsString="0" containsNumber="1" containsInteger="1" minValue="2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s v="000_the_old_man_and_the_sea.txt"/>
    <x v="0"/>
    <n v="26269"/>
    <n v="1952"/>
    <n v="3.81"/>
    <n v="1206230"/>
    <n v="26163"/>
    <n v="51.04"/>
    <n v="2"/>
    <n v="3"/>
    <n v="4"/>
    <n v="3"/>
    <n v="2"/>
    <n v="4"/>
    <n v="3"/>
    <n v="0"/>
    <n v="0"/>
    <n v="0"/>
    <n v="0"/>
    <n v="2"/>
    <n v="1"/>
    <n v="3"/>
    <n v="1"/>
    <n v="3"/>
  </r>
  <r>
    <s v="001_animal-farm.txt"/>
    <x v="1"/>
    <n v="29908"/>
    <n v="1945"/>
    <n v="3.99"/>
    <n v="4084025"/>
    <n v="51254"/>
    <n v="100"/>
    <n v="3"/>
    <n v="4"/>
    <n v="4"/>
    <n v="2"/>
    <n v="3"/>
    <n v="1"/>
    <n v="2"/>
    <n v="0"/>
    <n v="1"/>
    <n v="0"/>
    <n v="4"/>
    <n v="3"/>
    <n v="1"/>
    <n v="2"/>
    <n v="1"/>
    <n v="2"/>
  </r>
  <r>
    <s v="002_mice-and-men.txt"/>
    <x v="2"/>
    <n v="29673"/>
    <n v="1937"/>
    <n v="3.89"/>
    <n v="2639747"/>
    <n v="31023"/>
    <n v="60.53"/>
    <n v="3"/>
    <n v="4"/>
    <n v="4"/>
    <n v="2"/>
    <n v="3"/>
    <n v="4"/>
    <n v="3"/>
    <n v="0"/>
    <n v="1"/>
    <n v="0"/>
    <n v="2"/>
    <n v="4"/>
    <n v="1"/>
    <n v="2"/>
    <n v="0"/>
    <n v="3"/>
  </r>
  <r>
    <s v="006_a_christmas_carol.txt"/>
    <x v="3"/>
    <n v="27928"/>
    <n v="1843"/>
    <n v="4.08"/>
    <n v="857761"/>
    <n v="17475"/>
    <n v="34.090000000000003"/>
    <n v="2"/>
    <n v="1"/>
    <n v="2"/>
    <n v="1"/>
    <n v="3"/>
    <n v="3"/>
    <n v="2"/>
    <n v="1"/>
    <n v="2"/>
    <n v="0"/>
    <n v="3"/>
    <n v="1"/>
    <n v="1"/>
    <n v="1"/>
    <n v="0"/>
    <n v="2"/>
  </r>
  <r>
    <s v="007_the_strange_case_of_dr_jekyll.txt"/>
    <x v="4"/>
    <n v="26055"/>
    <n v="1886"/>
    <n v="3.83"/>
    <n v="612567"/>
    <n v="15470"/>
    <n v="30.18"/>
    <n v="2"/>
    <n v="3"/>
    <n v="4"/>
    <n v="1"/>
    <n v="3"/>
    <n v="2"/>
    <n v="4"/>
    <n v="0"/>
    <n v="3"/>
    <n v="0"/>
    <n v="1"/>
    <n v="4"/>
    <n v="1"/>
    <n v="2"/>
    <n v="0"/>
    <n v="2"/>
  </r>
  <r>
    <s v="008_heart-of-darkness.txt"/>
    <x v="5"/>
    <n v="37985"/>
    <n v="1902"/>
    <n v="3.43"/>
    <n v="527883"/>
    <n v="13606"/>
    <n v="26.54"/>
    <n v="2"/>
    <n v="3"/>
    <n v="4"/>
    <n v="3"/>
    <n v="4"/>
    <n v="2"/>
    <n v="3"/>
    <n v="0"/>
    <n v="2"/>
    <n v="1"/>
    <n v="3"/>
    <n v="4"/>
    <n v="1"/>
    <n v="3"/>
    <n v="0"/>
    <n v="4"/>
  </r>
  <r>
    <s v="009_deniel_kiz_elcernon_ucun_guller_eng.txt"/>
    <x v="6"/>
    <n v="84478"/>
    <n v="1966"/>
    <n v="4.22"/>
    <n v="710940"/>
    <n v="12162"/>
    <n v="23.73"/>
    <n v="3"/>
    <n v="4"/>
    <n v="4"/>
    <n v="3"/>
    <n v="4"/>
    <n v="2"/>
    <n v="4"/>
    <n v="1"/>
    <n v="2"/>
    <n v="2"/>
    <n v="3"/>
    <n v="4"/>
    <n v="1"/>
    <n v="3"/>
    <n v="1"/>
    <n v="4"/>
  </r>
  <r>
    <s v="010_a_clockwork_orange.txt"/>
    <x v="7"/>
    <n v="58300"/>
    <n v="1962"/>
    <n v="4"/>
    <n v="733340"/>
    <n v="11579"/>
    <n v="22.59"/>
    <n v="3"/>
    <n v="4"/>
    <n v="4"/>
    <n v="3"/>
    <n v="4"/>
    <n v="2"/>
    <n v="3"/>
    <n v="1"/>
    <n v="2"/>
    <n v="1"/>
    <n v="4"/>
    <n v="3"/>
    <n v="2"/>
    <n v="3"/>
    <n v="1"/>
    <n v="4"/>
  </r>
  <r>
    <s v="012_Breakfast-at-Tiffanys.txt"/>
    <x v="8"/>
    <n v="26337"/>
    <n v="1958"/>
    <n v="3.85"/>
    <n v="246976"/>
    <n v="10786"/>
    <n v="21.04"/>
    <n v="2"/>
    <n v="3"/>
    <n v="4"/>
    <n v="2"/>
    <n v="4"/>
    <n v="1"/>
    <n v="4"/>
    <n v="1"/>
    <n v="2"/>
    <n v="3"/>
    <n v="2"/>
    <n v="3"/>
    <n v="1"/>
    <n v="2"/>
    <n v="4"/>
    <n v="3"/>
  </r>
  <r>
    <s v="015_the_call_of_the_wild.txt"/>
    <x v="9"/>
    <n v="31730"/>
    <n v="1906"/>
    <n v="3.91"/>
    <n v="444950"/>
    <n v="9586"/>
    <n v="18.7"/>
    <n v="3"/>
    <n v="4"/>
    <n v="4"/>
    <n v="3"/>
    <n v="2"/>
    <n v="3"/>
    <n v="4"/>
    <n v="0"/>
    <n v="1"/>
    <n v="1"/>
    <n v="0"/>
    <n v="3"/>
    <n v="2"/>
    <n v="3"/>
    <n v="2"/>
    <n v="4"/>
  </r>
  <r>
    <s v="016_The_Time_Machine-H._G._Wells.txt"/>
    <x v="10"/>
    <n v="32152"/>
    <n v="1895"/>
    <n v="3.89"/>
    <n v="535423"/>
    <n v="8450"/>
    <n v="16.48"/>
    <n v="3"/>
    <n v="4"/>
    <n v="4"/>
    <n v="3"/>
    <n v="2"/>
    <n v="4"/>
    <n v="3"/>
    <n v="0"/>
    <n v="1"/>
    <n v="0"/>
    <n v="2"/>
    <n v="1"/>
    <n v="1"/>
    <n v="2"/>
    <n v="0"/>
    <n v="3"/>
  </r>
  <r>
    <s v="017_story_of_the_ws.txt"/>
    <x v="11"/>
    <n v="14351"/>
    <n v="1853"/>
    <n v="3.93"/>
    <n v="68325"/>
    <n v="8373"/>
    <n v="16.329999999999998"/>
    <n v="1"/>
    <n v="2"/>
    <n v="3"/>
    <n v="1"/>
    <n v="4"/>
    <n v="2"/>
    <n v="3"/>
    <n v="0"/>
    <n v="1"/>
    <n v="0"/>
    <n v="2"/>
    <n v="4"/>
    <n v="0"/>
    <n v="1"/>
    <n v="0"/>
    <n v="2"/>
  </r>
  <r>
    <s v="018_pearl.txt"/>
    <x v="2"/>
    <n v="25981"/>
    <n v="1947"/>
    <n v="3.54"/>
    <n v="248435"/>
    <n v="7866"/>
    <n v="15.35"/>
    <n v="3"/>
    <n v="4"/>
    <n v="4"/>
    <n v="3"/>
    <n v="4"/>
    <n v="2"/>
    <n v="3"/>
    <n v="0"/>
    <n v="1"/>
    <n v="0"/>
    <n v="2"/>
    <n v="4"/>
    <n v="1"/>
    <n v="2"/>
    <n v="3"/>
    <n v="3"/>
  </r>
  <r>
    <s v="019_night.txt"/>
    <x v="12"/>
    <n v="36566"/>
    <n v="1960"/>
    <n v="4.38"/>
    <n v="1284507"/>
    <n v="7769"/>
    <n v="15.16"/>
    <n v="2"/>
    <n v="3"/>
    <n v="4"/>
    <n v="1"/>
    <n v="3"/>
    <n v="4"/>
    <n v="4"/>
    <n v="0"/>
    <n v="0"/>
    <n v="0"/>
    <n v="0"/>
    <n v="4"/>
    <n v="0"/>
    <n v="2"/>
    <n v="1"/>
    <n v="3"/>
  </r>
  <r>
    <s v="020_the_awakening.txt"/>
    <x v="13"/>
    <n v="36700"/>
    <n v="1899"/>
    <n v="3.68"/>
    <n v="215290"/>
    <n v="7755"/>
    <n v="15.13"/>
    <n v="2"/>
    <n v="3"/>
    <n v="4"/>
    <n v="2"/>
    <n v="4"/>
    <n v="3"/>
    <n v="4"/>
    <n v="0"/>
    <n v="1"/>
    <n v="3"/>
    <n v="2"/>
    <n v="4"/>
    <n v="1"/>
    <n v="2"/>
    <n v="4"/>
    <n v="3"/>
  </r>
  <r>
    <s v="022_the_dead.txt"/>
    <x v="14"/>
    <n v="15849"/>
    <n v="1914"/>
    <n v="3.99"/>
    <n v="22212"/>
    <n v="6140"/>
    <n v="11.98"/>
    <n v="2"/>
    <n v="3"/>
    <n v="4"/>
    <n v="1"/>
    <n v="3"/>
    <n v="4"/>
    <n v="3"/>
    <n v="0"/>
    <n v="1"/>
    <n v="2"/>
    <n v="1"/>
    <n v="3"/>
    <n v="0"/>
    <n v="2"/>
    <n v="3"/>
    <n v="3"/>
  </r>
  <r>
    <s v="024_ethan_frome.txt"/>
    <x v="15"/>
    <n v="34896"/>
    <n v="1911"/>
    <n v="3.45"/>
    <n v="130764"/>
    <n v="5915"/>
    <n v="11.54"/>
    <n v="3"/>
    <n v="4"/>
    <n v="4"/>
    <n v="2"/>
    <n v="3"/>
    <n v="3"/>
    <n v="4"/>
    <n v="0"/>
    <n v="1"/>
    <n v="3"/>
    <n v="1"/>
    <n v="4"/>
    <n v="1"/>
    <n v="2"/>
    <n v="3"/>
    <n v="3"/>
  </r>
  <r>
    <s v="026_we_have_always_lived_in_the_ca.txt"/>
    <x v="16"/>
    <n v="53696"/>
    <n v="1962"/>
    <n v="3.93"/>
    <n v="252444"/>
    <n v="5640"/>
    <n v="11"/>
    <n v="3"/>
    <n v="4"/>
    <n v="4"/>
    <n v="2"/>
    <n v="3"/>
    <n v="1"/>
    <n v="3"/>
    <n v="0"/>
    <n v="2"/>
    <n v="0"/>
    <n v="1"/>
    <n v="3"/>
    <n v="0"/>
    <n v="2"/>
    <n v="4"/>
    <n v="3"/>
  </r>
  <r>
    <s v="028_Lord_of_the_flies.txt"/>
    <x v="17"/>
    <n v="59725"/>
    <n v="1954"/>
    <n v="3.7"/>
    <n v="3002291"/>
    <n v="4283"/>
    <n v="8.35"/>
    <n v="3"/>
    <n v="4"/>
    <n v="4"/>
    <n v="3"/>
    <n v="4"/>
    <n v="2"/>
    <n v="3"/>
    <n v="1"/>
    <n v="2"/>
    <n v="0"/>
    <n v="3"/>
    <n v="4"/>
    <n v="1"/>
    <n v="2"/>
    <n v="1"/>
    <n v="4"/>
  </r>
  <r>
    <s v="032_rita_hayworth_and_the_shawshank.txt"/>
    <x v="18"/>
    <n v="40015"/>
    <n v="1982"/>
    <n v="4.5"/>
    <n v="48826"/>
    <n v="4087"/>
    <n v="7.97"/>
    <n v="2"/>
    <n v="3"/>
    <n v="4"/>
    <n v="3"/>
    <n v="4"/>
    <n v="2"/>
    <n v="4"/>
    <n v="1"/>
    <n v="2"/>
    <n v="1"/>
    <n v="2"/>
    <n v="2"/>
    <n v="1"/>
    <n v="3"/>
    <n v="1"/>
    <n v="4"/>
  </r>
  <r>
    <s v="034_daisy_miller_and_other.txt"/>
    <x v="19"/>
    <n v="21220"/>
    <n v="1878"/>
    <n v="3.37"/>
    <n v="35594"/>
    <n v="3916"/>
    <n v="7.64"/>
    <n v="2"/>
    <n v="3"/>
    <n v="3"/>
    <n v="1"/>
    <n v="4"/>
    <n v="2"/>
    <n v="3"/>
    <n v="0"/>
    <n v="1"/>
    <n v="2"/>
    <n v="3"/>
    <n v="4"/>
    <n v="0"/>
    <n v="1"/>
    <n v="3"/>
    <n v="2"/>
  </r>
  <r>
    <s v="036_the_turn_of_the_screw.txt"/>
    <x v="19"/>
    <n v="39471"/>
    <n v="1898"/>
    <n v="3.39"/>
    <n v="164777"/>
    <n v="3488"/>
    <n v="6.8"/>
    <n v="2"/>
    <n v="3"/>
    <n v="4"/>
    <n v="2"/>
    <n v="3"/>
    <n v="1"/>
    <n v="3"/>
    <n v="0"/>
    <n v="4"/>
    <n v="1"/>
    <n v="0"/>
    <n v="4"/>
    <n v="1"/>
    <n v="2"/>
    <n v="3"/>
    <n v="3"/>
  </r>
  <r>
    <s v="037_jonathan_livingston_seagull_en.txt"/>
    <x v="20"/>
    <n v="9235"/>
    <n v="1970"/>
    <n v="3.85"/>
    <n v="259268"/>
    <n v="3478"/>
    <n v="6.78"/>
    <n v="2"/>
    <n v="3"/>
    <n v="4"/>
    <n v="3"/>
    <n v="2"/>
    <n v="1"/>
    <n v="4"/>
    <n v="1"/>
    <n v="0"/>
    <n v="0"/>
    <n v="2"/>
    <n v="1"/>
    <n v="2"/>
    <n v="3"/>
    <n v="2"/>
    <n v="4"/>
  </r>
  <r>
    <s v="038_anthem.txt"/>
    <x v="21"/>
    <n v="19124"/>
    <n v="1938"/>
    <n v="3.61"/>
    <n v="159855"/>
    <n v="3407"/>
    <n v="6.65"/>
    <n v="2"/>
    <n v="3"/>
    <n v="4"/>
    <n v="3"/>
    <n v="2"/>
    <n v="3"/>
    <n v="4"/>
    <n v="1"/>
    <n v="0"/>
    <n v="2"/>
    <n v="3"/>
    <n v="1"/>
    <n v="2"/>
    <n v="3"/>
    <n v="2"/>
    <n v="4"/>
  </r>
  <r>
    <s v="039_coraline.txt"/>
    <x v="22"/>
    <n v="30815"/>
    <n v="2002"/>
    <n v="4.12"/>
    <n v="732983"/>
    <n v="3303"/>
    <n v="6.44"/>
    <n v="3"/>
    <n v="4"/>
    <n v="4"/>
    <n v="3"/>
    <n v="3"/>
    <n v="2"/>
    <n v="3"/>
    <n v="1"/>
    <n v="3"/>
    <n v="0"/>
    <n v="1"/>
    <n v="1"/>
    <n v="2"/>
    <n v="3"/>
    <n v="4"/>
    <n v="4"/>
  </r>
  <r>
    <s v="041_raise_high_the_roof_beam.txt"/>
    <x v="23"/>
    <n v="22007"/>
    <n v="1963"/>
    <n v="4.1100000000000003"/>
    <n v="52022"/>
    <n v="3216"/>
    <n v="6.27"/>
    <n v="2"/>
    <n v="3"/>
    <n v="4"/>
    <n v="1"/>
    <n v="4"/>
    <n v="2"/>
    <n v="3"/>
    <n v="1"/>
    <n v="2"/>
    <n v="3"/>
    <n v="2"/>
    <n v="3"/>
    <n v="1"/>
    <n v="2"/>
    <n v="1"/>
    <n v="3"/>
  </r>
  <r>
    <s v="042_doyle-sign-389.txt"/>
    <x v="24"/>
    <n v="43355"/>
    <n v="1890"/>
    <n v="3.89"/>
    <n v="165023"/>
    <n v="3215"/>
    <n v="6.27"/>
    <n v="3"/>
    <n v="4"/>
    <n v="4"/>
    <n v="2"/>
    <n v="3"/>
    <n v="2"/>
    <n v="3"/>
    <n v="1"/>
    <n v="4"/>
    <n v="3"/>
    <n v="0"/>
    <n v="1"/>
    <n v="2"/>
    <n v="2"/>
    <n v="3"/>
    <n v="3"/>
  </r>
  <r>
    <s v="043_the_prime_of_miss_jean_brodie.txt"/>
    <x v="25"/>
    <n v="39498"/>
    <n v="1961"/>
    <n v="3.7"/>
    <n v="57094"/>
    <n v="3121"/>
    <n v="6.09"/>
    <n v="2"/>
    <n v="3"/>
    <n v="4"/>
    <n v="2"/>
    <n v="4"/>
    <n v="3"/>
    <n v="4"/>
    <n v="1"/>
    <n v="2"/>
    <n v="2"/>
    <n v="3"/>
    <n v="4"/>
    <n v="1"/>
    <n v="2"/>
    <n v="4"/>
    <n v="3"/>
  </r>
  <r>
    <s v="044_the_unicommon_reader.txt"/>
    <x v="26"/>
    <n v="23060"/>
    <n v="2007"/>
    <n v="3.74"/>
    <n v="55926"/>
    <n v="3066"/>
    <n v="5.98"/>
    <n v="1"/>
    <n v="3"/>
    <n v="3"/>
    <n v="2"/>
    <n v="4"/>
    <n v="2"/>
    <n v="4"/>
    <n v="1"/>
    <n v="0"/>
    <n v="0"/>
    <n v="3"/>
    <n v="1"/>
    <n v="2"/>
    <n v="3"/>
    <n v="4"/>
    <n v="4"/>
  </r>
  <r>
    <s v="045_the_ballad_of_the_sad_cafe_other.txt"/>
    <x v="27"/>
    <n v="46238"/>
    <n v="1951"/>
    <n v="3.8"/>
    <n v="24285"/>
    <n v="2977"/>
    <n v="5.81"/>
    <n v="2"/>
    <n v="3"/>
    <n v="4"/>
    <n v="1"/>
    <n v="3"/>
    <n v="2"/>
    <n v="4"/>
    <n v="0"/>
    <n v="1"/>
    <n v="2"/>
    <n v="1"/>
    <n v="4"/>
    <n v="0"/>
    <n v="2"/>
    <n v="3"/>
    <n v="3"/>
  </r>
  <r>
    <s v="046_cannery_row.txt"/>
    <x v="2"/>
    <n v="49837"/>
    <n v="1945"/>
    <n v="4.0599999999999996"/>
    <n v="143485"/>
    <n v="2958"/>
    <n v="5.77"/>
    <n v="2"/>
    <n v="3"/>
    <n v="3"/>
    <n v="1"/>
    <n v="4"/>
    <n v="2"/>
    <n v="3"/>
    <n v="3"/>
    <n v="0"/>
    <n v="1"/>
    <n v="2"/>
    <n v="1"/>
    <n v="2"/>
    <n v="2"/>
    <n v="0"/>
    <n v="3"/>
  </r>
  <r>
    <s v="047_the_crying_of_lot_49.txt"/>
    <x v="28"/>
    <n v="46600"/>
    <n v="1966"/>
    <n v="3.69"/>
    <n v="90078"/>
    <n v="2856"/>
    <n v="5.57"/>
    <n v="3"/>
    <n v="2"/>
    <n v="3"/>
    <n v="1"/>
    <n v="4"/>
    <n v="1"/>
    <n v="3"/>
    <n v="0"/>
    <n v="4"/>
    <n v="1"/>
    <n v="3"/>
    <n v="2"/>
    <n v="0"/>
    <n v="2"/>
    <n v="4"/>
    <n v="3"/>
  </r>
  <r>
    <s v="048_the_war_of_the_worlds.txt"/>
    <x v="10"/>
    <n v="59568"/>
    <n v="1898"/>
    <n v="3.83"/>
    <n v="326509"/>
    <n v="2787"/>
    <n v="5.44"/>
    <n v="2"/>
    <n v="3"/>
    <n v="4"/>
    <n v="2"/>
    <n v="3"/>
    <n v="1"/>
    <n v="3"/>
    <n v="0"/>
    <n v="1"/>
    <n v="0"/>
    <n v="2"/>
    <n v="2"/>
    <n v="1"/>
    <n v="2"/>
    <n v="0"/>
    <n v="3"/>
  </r>
  <r>
    <s v="050_the_body.txt"/>
    <x v="29"/>
    <n v="21240"/>
    <n v="1982"/>
    <n v="4.29"/>
    <n v="44004"/>
    <n v="2765"/>
    <n v="5.39"/>
    <n v="2"/>
    <n v="3"/>
    <n v="4"/>
    <n v="2"/>
    <n v="3"/>
    <n v="3"/>
    <n v="2"/>
    <n v="0"/>
    <n v="3"/>
    <n v="0"/>
    <n v="0"/>
    <n v="4"/>
    <n v="1"/>
    <n v="2"/>
    <n v="0"/>
    <n v="3"/>
  </r>
  <r>
    <s v="051_the_picture_of_dorian_gray.txt"/>
    <x v="30"/>
    <n v="54348"/>
    <n v="1891"/>
    <n v="4.13"/>
    <n v="1644003"/>
    <n v="2753"/>
    <n v="5.37"/>
    <n v="2"/>
    <n v="3"/>
    <n v="4"/>
    <n v="2"/>
    <n v="3"/>
    <n v="1"/>
    <n v="4"/>
    <n v="0"/>
    <n v="2"/>
    <n v="1"/>
    <n v="3"/>
    <n v="4"/>
    <n v="1"/>
    <n v="2"/>
    <n v="0"/>
    <n v="3"/>
  </r>
  <r>
    <s v="053_the_mist.txt"/>
    <x v="18"/>
    <n v="50390"/>
    <n v="1980"/>
    <n v="3.94"/>
    <n v="164531"/>
    <n v="2703"/>
    <n v="5.27"/>
    <n v="3"/>
    <n v="4"/>
    <n v="4"/>
    <n v="3"/>
    <n v="4"/>
    <n v="2"/>
    <n v="3"/>
    <n v="0"/>
    <n v="1"/>
    <n v="1"/>
    <n v="2"/>
    <n v="3"/>
    <n v="1"/>
    <n v="2"/>
    <n v="1"/>
    <n v="4"/>
  </r>
  <r>
    <s v="054_doyle-hound-383.txt"/>
    <x v="24"/>
    <n v="59321"/>
    <n v="1902"/>
    <n v="4.13"/>
    <n v="360579"/>
    <n v="2678"/>
    <n v="5.22"/>
    <n v="3"/>
    <n v="4"/>
    <n v="4"/>
    <n v="3"/>
    <n v="4"/>
    <n v="2"/>
    <n v="3"/>
    <n v="0"/>
    <n v="4"/>
    <n v="1"/>
    <n v="0"/>
    <n v="2"/>
    <n v="1"/>
    <n v="2"/>
    <n v="0"/>
    <n v="3"/>
  </r>
  <r>
    <s v="055_giovannis_room.txt"/>
    <x v="31"/>
    <n v="54693"/>
    <n v="1956"/>
    <n v="4.33"/>
    <n v="186526"/>
    <n v="2647"/>
    <n v="5.16"/>
    <n v="2"/>
    <n v="3"/>
    <n v="4"/>
    <n v="2"/>
    <n v="3"/>
    <n v="1"/>
    <n v="4"/>
    <n v="0"/>
    <n v="1"/>
    <n v="2"/>
    <n v="1"/>
    <n v="4"/>
    <n v="0"/>
    <n v="2"/>
    <n v="1"/>
    <n v="3"/>
  </r>
  <r>
    <s v="057_a_river_runs_through_it.txt"/>
    <x v="32"/>
    <n v="54693"/>
    <n v="1976"/>
    <n v="4.1500000000000004"/>
    <n v="10836"/>
    <n v="2473"/>
    <n v="4.82"/>
    <n v="2"/>
    <n v="3"/>
    <n v="4"/>
    <n v="1"/>
    <n v="3"/>
    <n v="2"/>
    <n v="4"/>
    <n v="0"/>
    <n v="1"/>
    <n v="2"/>
    <n v="1"/>
    <n v="4"/>
    <n v="0"/>
    <n v="2"/>
    <n v="1"/>
    <n v="3"/>
  </r>
  <r>
    <s v="058_invisible_man.txt"/>
    <x v="10"/>
    <n v="49424"/>
    <n v="1897"/>
    <n v="3.63"/>
    <n v="202256"/>
    <n v="2472"/>
    <n v="4.82"/>
    <n v="3"/>
    <n v="4"/>
    <n v="4"/>
    <n v="2"/>
    <n v="3"/>
    <n v="1"/>
    <n v="3"/>
    <n v="0"/>
    <n v="2"/>
    <n v="0"/>
    <n v="2"/>
    <n v="4"/>
    <n v="1"/>
    <n v="2"/>
    <n v="0"/>
    <n v="3"/>
  </r>
  <r>
    <s v="059_the_house_on_mango_street.txt"/>
    <x v="33"/>
    <n v="18075"/>
    <n v="1984"/>
    <n v="3.69"/>
    <n v="205418"/>
    <n v="2287"/>
    <n v="4.46"/>
    <n v="2"/>
    <n v="1"/>
    <n v="2"/>
    <n v="2"/>
    <n v="3"/>
    <n v="2"/>
    <n v="4"/>
    <n v="0"/>
    <n v="0"/>
    <n v="1"/>
    <n v="2"/>
    <n v="2"/>
    <n v="1"/>
    <n v="2"/>
    <n v="4"/>
    <n v="3"/>
  </r>
  <r>
    <s v="061_the_man_who_would_be_king.txt"/>
    <x v="34"/>
    <n v="14133"/>
    <n v="1889"/>
    <n v="3.69"/>
    <n v="12885"/>
    <n v="2249"/>
    <n v="4.3899999999999997"/>
    <n v="3"/>
    <n v="4"/>
    <n v="4"/>
    <n v="3"/>
    <n v="2"/>
    <n v="4"/>
    <n v="3"/>
    <n v="0"/>
    <n v="1"/>
    <n v="0"/>
    <n v="2"/>
    <n v="4"/>
    <n v="1"/>
    <n v="2"/>
    <n v="0"/>
    <n v="3"/>
  </r>
  <r>
    <s v="066_a_month_in_the_country.txt"/>
    <x v="35"/>
    <n v="36473"/>
    <n v="1980"/>
    <n v="4.1100000000000003"/>
    <n v="19521"/>
    <n v="1715"/>
    <n v="3.34"/>
    <n v="2"/>
    <n v="3"/>
    <n v="4"/>
    <n v="2"/>
    <n v="3"/>
    <n v="4"/>
    <n v="3"/>
    <n v="1"/>
    <n v="2"/>
    <n v="3"/>
    <n v="1"/>
    <n v="2"/>
    <n v="1"/>
    <n v="2"/>
    <n v="1"/>
    <n v="3"/>
  </r>
  <r>
    <s v="067_the_catcher_in_the_rye.txt"/>
    <x v="23"/>
    <n v="74190"/>
    <n v="1951"/>
    <n v="3.8"/>
    <n v="3649835"/>
    <n v="1684"/>
    <n v="3.28"/>
    <n v="2"/>
    <n v="3"/>
    <n v="4"/>
    <n v="2"/>
    <n v="4"/>
    <n v="1"/>
    <n v="3"/>
    <n v="0"/>
    <n v="1"/>
    <n v="1"/>
    <n v="3"/>
    <n v="2"/>
    <n v="1"/>
    <n v="2"/>
    <n v="0"/>
    <n v="3"/>
  </r>
  <r>
    <s v="068_the_great_divorce.txt"/>
    <x v="36"/>
    <n v="28947"/>
    <n v="1946"/>
    <n v="4.32"/>
    <n v="160848"/>
    <n v="1645"/>
    <n v="3.21"/>
    <n v="2"/>
    <n v="3"/>
    <n v="4"/>
    <n v="2"/>
    <n v="4"/>
    <n v="1"/>
    <n v="2"/>
    <n v="1"/>
    <n v="0"/>
    <n v="1"/>
    <n v="2"/>
    <n v="3"/>
    <n v="0"/>
    <n v="3"/>
    <n v="2"/>
    <n v="3"/>
  </r>
  <r>
    <s v="073_all_systems_red.txt"/>
    <x v="37"/>
    <n v="31066"/>
    <n v="2017"/>
    <n v="4.1399999999999997"/>
    <n v="274448"/>
    <n v="1395"/>
    <n v="2.72"/>
    <n v="3"/>
    <n v="4"/>
    <n v="4"/>
    <n v="3"/>
    <n v="4"/>
    <n v="2"/>
    <n v="3"/>
    <n v="1"/>
    <n v="3"/>
    <n v="0"/>
    <n v="2"/>
    <n v="1"/>
    <n v="2"/>
    <n v="3"/>
    <n v="4"/>
    <n v="4"/>
  </r>
  <r>
    <s v="074_The_Perks_of_Being_a_Wallflower.txt"/>
    <x v="38"/>
    <n v="62689"/>
    <n v="1999"/>
    <n v="4.2300000000000004"/>
    <n v="1868869"/>
    <n v="1369"/>
    <n v="2.67"/>
    <n v="2"/>
    <n v="3"/>
    <n v="4"/>
    <n v="2"/>
    <n v="4"/>
    <n v="3"/>
    <n v="4"/>
    <n v="1"/>
    <n v="2"/>
    <n v="3"/>
    <n v="1"/>
    <n v="3"/>
    <n v="1"/>
    <n v="3"/>
    <n v="2"/>
    <n v="4"/>
  </r>
  <r>
    <s v="075_the_giver_lois_lowry.txt"/>
    <x v="39"/>
    <n v="43481"/>
    <n v="1993"/>
    <n v="4.12"/>
    <n v="2594285"/>
    <n v="1368"/>
    <n v="2.67"/>
    <n v="3"/>
    <n v="4"/>
    <n v="4"/>
    <n v="3"/>
    <n v="2"/>
    <n v="1"/>
    <n v="3"/>
    <n v="0"/>
    <n v="2"/>
    <n v="0"/>
    <n v="3"/>
    <n v="2"/>
    <n v="1"/>
    <n v="3"/>
    <n v="2"/>
    <n v="4"/>
  </r>
  <r>
    <s v="076_the_case_of_charles_dexter_ward.txt"/>
    <x v="40"/>
    <n v="50715"/>
    <n v="1941"/>
    <n v="4.12"/>
    <n v="21471"/>
    <n v="1363"/>
    <n v="2.66"/>
    <n v="3"/>
    <n v="4"/>
    <n v="4"/>
    <n v="2"/>
    <n v="3"/>
    <n v="1"/>
    <n v="4"/>
    <n v="0"/>
    <n v="3"/>
    <n v="0"/>
    <n v="0"/>
    <n v="3"/>
    <n v="1"/>
    <n v="2"/>
    <n v="0"/>
    <n v="3"/>
  </r>
  <r>
    <s v="077_apt_pupil_Stephen_King.txt"/>
    <x v="18"/>
    <n v="72541"/>
    <n v="1982"/>
    <n v="3.92"/>
    <n v="37591"/>
    <n v="1342"/>
    <n v="2.62"/>
    <n v="3"/>
    <n v="4"/>
    <n v="4"/>
    <n v="2"/>
    <n v="3"/>
    <n v="1"/>
    <n v="3"/>
    <n v="0"/>
    <n v="2"/>
    <n v="0"/>
    <n v="1"/>
    <n v="4"/>
    <n v="0"/>
    <n v="2"/>
    <n v="0"/>
    <n v="3"/>
  </r>
  <r>
    <s v="078_the_bridge_of_san_luis_rey.txt"/>
    <x v="41"/>
    <n v="32094"/>
    <n v="1927"/>
    <n v="3.79"/>
    <n v="36256"/>
    <n v="1325"/>
    <n v="2.58"/>
    <n v="2"/>
    <n v="3"/>
    <n v="4"/>
    <n v="1"/>
    <n v="4"/>
    <n v="2"/>
    <n v="3"/>
    <n v="1"/>
    <n v="2"/>
    <n v="1"/>
    <n v="1"/>
    <n v="3"/>
    <n v="0"/>
    <n v="2"/>
    <n v="3"/>
    <n v="3"/>
  </r>
  <r>
    <s v="079_shopgirl.txt"/>
    <x v="42"/>
    <n v="36583"/>
    <n v="2000"/>
    <n v="3.42"/>
    <n v="39057"/>
    <n v="1316"/>
    <n v="2.57"/>
    <n v="2"/>
    <n v="3"/>
    <n v="4"/>
    <n v="2"/>
    <n v="4"/>
    <n v="1"/>
    <n v="4"/>
    <n v="2"/>
    <n v="0"/>
    <n v="4"/>
    <n v="1"/>
    <n v="2"/>
    <n v="2"/>
    <n v="3"/>
    <n v="4"/>
    <n v="3"/>
  </r>
  <r>
    <s v="080_pnin_vladimir_nabokov.txt"/>
    <x v="43"/>
    <n v="49988"/>
    <n v="1957"/>
    <n v="3.88"/>
    <n v="26376"/>
    <n v="1289"/>
    <n v="2.5099999999999998"/>
    <n v="2"/>
    <n v="3"/>
    <n v="4"/>
    <n v="1"/>
    <n v="3"/>
    <n v="2"/>
    <n v="4"/>
    <n v="2"/>
    <n v="1"/>
    <n v="1"/>
    <n v="3"/>
    <n v="3"/>
    <n v="1"/>
    <n v="2"/>
    <n v="1"/>
    <n v="3"/>
  </r>
  <r>
    <s v="081_study10.txt"/>
    <x v="24"/>
    <n v="43538"/>
    <n v="1887"/>
    <n v="4.1399999999999997"/>
    <n v="463438"/>
    <n v="1257"/>
    <n v="2.4500000000000002"/>
    <n v="3"/>
    <n v="4"/>
    <n v="4"/>
    <n v="3"/>
    <n v="2"/>
    <n v="3"/>
    <n v="4"/>
    <n v="0"/>
    <n v="4"/>
    <n v="2"/>
    <n v="1"/>
    <n v="4"/>
    <n v="1"/>
    <n v="3"/>
    <n v="0"/>
    <n v="3"/>
  </r>
  <r>
    <s v="082_the_castle_of_otranto.txt"/>
    <x v="44"/>
    <n v="34576"/>
    <n v="1764"/>
    <n v="3.19"/>
    <n v="37478"/>
    <n v="1242"/>
    <n v="2.42"/>
    <n v="3"/>
    <n v="4"/>
    <n v="4"/>
    <n v="3"/>
    <n v="4"/>
    <n v="2"/>
    <n v="3"/>
    <n v="1"/>
    <n v="3"/>
    <n v="2"/>
    <n v="0"/>
    <n v="4"/>
    <n v="1"/>
    <n v="3"/>
    <n v="2"/>
    <n v="4"/>
  </r>
  <r>
    <s v="083_the_drivers_seat.txt"/>
    <x v="25"/>
    <n v="25437"/>
    <n v="1970"/>
    <n v="3.61"/>
    <n v="10795"/>
    <n v="1218"/>
    <n v="2.37"/>
    <n v="3"/>
    <n v="4"/>
    <n v="4"/>
    <n v="1"/>
    <n v="3"/>
    <n v="2"/>
    <n v="3"/>
    <n v="0"/>
    <n v="3"/>
    <n v="0"/>
    <n v="1"/>
    <n v="4"/>
    <n v="0"/>
    <n v="2"/>
    <n v="3"/>
    <n v="3"/>
  </r>
  <r>
    <s v="087_the_mysterious_stranger.txt"/>
    <x v="45"/>
    <n v="36616"/>
    <n v="1916"/>
    <n v="4.12"/>
    <n v="10880"/>
    <n v="1149"/>
    <n v="2.2400000000000002"/>
    <n v="2"/>
    <n v="3"/>
    <n v="3"/>
    <n v="1"/>
    <n v="4"/>
    <n v="2"/>
    <n v="3"/>
    <n v="1"/>
    <n v="2"/>
    <n v="0"/>
    <n v="4"/>
    <n v="2"/>
    <n v="1"/>
    <n v="2"/>
    <n v="0"/>
    <n v="3"/>
  </r>
  <r>
    <s v="088_The_Machine_Stops.txt"/>
    <x v="46"/>
    <n v="12299"/>
    <n v="1909"/>
    <n v="4.07"/>
    <n v="18168"/>
    <n v="1144"/>
    <n v="2.23"/>
    <n v="2"/>
    <n v="3"/>
    <n v="4"/>
    <n v="3"/>
    <n v="2"/>
    <n v="1"/>
    <n v="3"/>
    <n v="0"/>
    <n v="1"/>
    <n v="0"/>
    <n v="4"/>
    <n v="4"/>
    <n v="1"/>
    <n v="3"/>
    <n v="2"/>
    <n v="3"/>
  </r>
  <r>
    <s v="093_to_kill_a_mocking_bird.txt"/>
    <x v="47"/>
    <n v="99235"/>
    <n v="1960"/>
    <n v="4.26"/>
    <n v="6389780"/>
    <n v="1034"/>
    <n v="2.02"/>
    <n v="2"/>
    <n v="3"/>
    <n v="3"/>
    <n v="2"/>
    <n v="4"/>
    <n v="2"/>
    <n v="3"/>
    <n v="1"/>
    <n v="2"/>
    <n v="1"/>
    <n v="3"/>
    <n v="4"/>
    <n v="2"/>
    <n v="3"/>
    <n v="4"/>
    <n v="4"/>
  </r>
  <r>
    <s v="094_The_History_of_Rasselas_Prince_Abissinia.txt"/>
    <x v="48"/>
    <n v="48722"/>
    <n v="1999"/>
    <n v="3.46"/>
    <n v="6621"/>
    <n v="1027"/>
    <n v="2"/>
    <n v="2"/>
    <n v="3"/>
    <n v="4"/>
    <n v="2"/>
    <n v="3"/>
    <n v="1"/>
    <n v="3"/>
    <n v="1"/>
    <n v="2"/>
    <n v="1"/>
    <n v="3"/>
    <n v="2"/>
    <n v="1"/>
    <n v="2"/>
    <n v="2"/>
    <n v="3"/>
  </r>
  <r>
    <s v="095_grendel.txt"/>
    <x v="49"/>
    <n v="38401"/>
    <n v="1971"/>
    <n v="3.69"/>
    <n v="40366"/>
    <n v="1004"/>
    <n v="1.96"/>
    <n v="3"/>
    <n v="4"/>
    <n v="4"/>
    <n v="2"/>
    <n v="3"/>
    <n v="1"/>
    <n v="4"/>
    <n v="0"/>
    <n v="1"/>
    <n v="0"/>
    <n v="2"/>
    <n v="4"/>
    <n v="1"/>
    <n v="2"/>
    <n v="0"/>
    <n v="3"/>
  </r>
  <r>
    <s v="096_double_indemnity.txt"/>
    <x v="50"/>
    <n v="35155"/>
    <n v="1936"/>
    <n v="4.0599999999999996"/>
    <n v="27008"/>
    <n v="1"/>
    <n v="0"/>
    <n v="3"/>
    <n v="4"/>
    <n v="4"/>
    <n v="1"/>
    <n v="3"/>
    <n v="2"/>
    <n v="3"/>
    <n v="0"/>
    <n v="3"/>
    <n v="1"/>
    <n v="2"/>
    <n v="4"/>
    <n v="1"/>
    <n v="2"/>
    <n v="1"/>
    <n v="2"/>
  </r>
  <r>
    <s v="098_the_gunslinger.txt"/>
    <x v="18"/>
    <n v="66896"/>
    <n v="1982"/>
    <n v="3.92"/>
    <n v="630282"/>
    <n v="991"/>
    <n v="1.93"/>
    <n v="3"/>
    <n v="4"/>
    <n v="4"/>
    <n v="3"/>
    <n v="4"/>
    <n v="2"/>
    <n v="4"/>
    <n v="0"/>
    <n v="2"/>
    <n v="1"/>
    <n v="0"/>
    <n v="3"/>
    <n v="1"/>
    <n v="3"/>
    <n v="0"/>
    <n v="4"/>
  </r>
  <r>
    <s v="099_train-dreams.txt"/>
    <x v="51"/>
    <n v="22395"/>
    <n v="2002"/>
    <n v="3.9"/>
    <n v="26329"/>
    <n v="989"/>
    <n v="1.93"/>
    <n v="2"/>
    <n v="3"/>
    <n v="4"/>
    <n v="2"/>
    <n v="3"/>
    <n v="4"/>
    <n v="4"/>
    <n v="1"/>
    <n v="2"/>
    <n v="1"/>
    <n v="0"/>
    <n v="3"/>
    <n v="1"/>
    <n v="2"/>
    <n v="1"/>
    <n v="3"/>
  </r>
  <r>
    <s v="100_the_postman_always_rings_twice.txt"/>
    <x v="50"/>
    <n v="34928"/>
    <n v="1934"/>
    <n v="3.77"/>
    <n v="45252"/>
    <n v="981"/>
    <n v="1.91"/>
    <n v="3"/>
    <n v="4"/>
    <n v="4"/>
    <n v="2"/>
    <n v="3"/>
    <n v="1"/>
    <n v="3"/>
    <n v="0"/>
    <n v="2"/>
    <n v="3"/>
    <n v="0"/>
    <n v="4"/>
    <n v="1"/>
    <n v="2"/>
    <n v="3"/>
    <n v="3"/>
  </r>
  <r>
    <s v="102_Miss_Lonelyhearts.txt"/>
    <x v="52"/>
    <n v="23203"/>
    <n v="1933"/>
    <n v="3.75"/>
    <n v="1293"/>
    <n v="941"/>
    <n v="1.83"/>
    <n v="2"/>
    <n v="3"/>
    <n v="4"/>
    <n v="2"/>
    <n v="4"/>
    <n v="1"/>
    <n v="3"/>
    <n v="0"/>
    <n v="1"/>
    <n v="1"/>
    <n v="4"/>
    <n v="4"/>
    <n v="0"/>
    <n v="3"/>
    <n v="0"/>
    <n v="3"/>
  </r>
  <r>
    <s v="103_seize_the_day.txt"/>
    <x v="53"/>
    <n v="38964"/>
    <n v="1956"/>
    <n v="3.53"/>
    <n v="12895"/>
    <n v="937"/>
    <n v="1.83"/>
    <n v="1"/>
    <n v="3"/>
    <n v="4"/>
    <n v="2"/>
    <n v="3"/>
    <n v="4"/>
    <n v="3"/>
    <n v="0"/>
    <n v="1"/>
    <n v="0"/>
    <n v="2"/>
    <n v="4"/>
    <n v="0"/>
    <n v="2"/>
    <n v="1"/>
    <n v="3"/>
  </r>
  <r>
    <s v="105_pale-horse.txt"/>
    <x v="54"/>
    <n v="61059"/>
    <n v="1939"/>
    <n v="3.97"/>
    <n v="4636"/>
    <n v="894"/>
    <n v="1.74"/>
    <n v="2"/>
    <n v="3"/>
    <n v="4"/>
    <n v="2"/>
    <n v="3"/>
    <n v="2"/>
    <n v="3"/>
    <n v="1"/>
    <n v="1"/>
    <n v="2"/>
    <n v="1"/>
    <n v="4"/>
    <n v="0"/>
    <n v="2"/>
    <n v="4"/>
    <n v="3"/>
  </r>
  <r>
    <s v="108_reflections_in_a_golden_eye.txt"/>
    <x v="27"/>
    <n v="34253"/>
    <n v="1941"/>
    <n v="3.83"/>
    <n v="6691"/>
    <n v="849"/>
    <n v="1.65"/>
    <n v="3"/>
    <n v="4"/>
    <n v="4"/>
    <n v="1"/>
    <n v="4"/>
    <n v="2"/>
    <n v="3"/>
    <n v="0"/>
    <n v="2"/>
    <n v="1"/>
    <n v="2"/>
    <n v="4"/>
    <n v="0"/>
    <n v="2"/>
    <n v="1"/>
    <n v="3"/>
  </r>
  <r>
    <s v="109_being_there.txt"/>
    <x v="55"/>
    <n v="25149"/>
    <n v="1970"/>
    <n v="3.86"/>
    <n v="14190"/>
    <n v="842"/>
    <n v="1.64"/>
    <n v="2"/>
    <n v="3"/>
    <n v="4"/>
    <n v="2"/>
    <n v="4"/>
    <n v="3"/>
    <n v="4"/>
    <n v="3"/>
    <n v="2"/>
    <n v="1"/>
    <n v="4"/>
    <n v="1"/>
    <n v="2"/>
    <n v="2"/>
    <n v="1"/>
    <n v="3"/>
  </r>
  <r>
    <s v="111_a_single_man.txt"/>
    <x v="56"/>
    <n v="43830"/>
    <n v="1964"/>
    <n v="4.0599999999999996"/>
    <n v="34987"/>
    <n v="832"/>
    <n v="1.62"/>
    <n v="2"/>
    <n v="3"/>
    <n v="4"/>
    <n v="2"/>
    <n v="4"/>
    <n v="1"/>
    <n v="3"/>
    <n v="1"/>
    <n v="2"/>
    <n v="1"/>
    <n v="3"/>
    <n v="2"/>
    <n v="1"/>
    <n v="2"/>
    <n v="2"/>
    <n v="4"/>
  </r>
  <r>
    <s v="113_youth.txt"/>
    <x v="5"/>
    <n v="13130"/>
    <n v="1924"/>
    <n v="3.68"/>
    <n v="3591"/>
    <n v="799"/>
    <n v="1.56"/>
    <n v="2"/>
    <n v="3"/>
    <n v="4"/>
    <n v="3"/>
    <n v="2"/>
    <n v="4"/>
    <n v="3"/>
    <n v="1"/>
    <n v="0"/>
    <n v="1"/>
    <n v="0"/>
    <n v="2"/>
    <n v="1"/>
    <n v="3"/>
    <n v="0"/>
    <n v="4"/>
  </r>
  <r>
    <s v="115_red_harvest.txt"/>
    <x v="57"/>
    <n v="60390"/>
    <n v="1929"/>
    <n v="3.95"/>
    <n v="28372"/>
    <n v="774"/>
    <n v="1.51"/>
    <n v="3"/>
    <n v="4"/>
    <n v="4"/>
    <n v="2"/>
    <n v="4"/>
    <n v="1"/>
    <n v="3"/>
    <n v="0"/>
    <n v="4"/>
    <n v="0"/>
    <n v="1"/>
    <n v="2"/>
    <n v="1"/>
    <n v="2"/>
    <n v="0"/>
    <n v="3"/>
  </r>
  <r>
    <s v="116_the_third_man.txt"/>
    <x v="58"/>
    <n v="29202"/>
    <n v="1949"/>
    <n v="3.79"/>
    <n v="15523"/>
    <n v="767"/>
    <n v="1.49"/>
    <n v="3"/>
    <n v="4"/>
    <n v="4"/>
    <n v="3"/>
    <n v="4"/>
    <n v="2"/>
    <n v="3"/>
    <n v="1"/>
    <n v="4"/>
    <n v="2"/>
    <n v="2"/>
    <n v="3"/>
    <n v="1"/>
    <n v="3"/>
    <n v="1"/>
    <n v="4"/>
  </r>
  <r>
    <s v="119_passing.txt"/>
    <x v="59"/>
    <n v="34693"/>
    <n v="1928"/>
    <n v="3.92"/>
    <n v="69964"/>
    <n v="712"/>
    <n v="1.39"/>
    <n v="3"/>
    <n v="4"/>
    <n v="4"/>
    <n v="2"/>
    <n v="4"/>
    <n v="1"/>
    <n v="3"/>
    <n v="0"/>
    <n v="2"/>
    <n v="1"/>
    <n v="2"/>
    <n v="4"/>
    <n v="0"/>
    <n v="2"/>
    <n v="4"/>
    <n v="3"/>
  </r>
  <r>
    <s v="121_the_beast_in_the_jungle.txt"/>
    <x v="19"/>
    <n v="18505"/>
    <n v="1903"/>
    <n v="3.63"/>
    <n v="5179"/>
    <n v="705"/>
    <n v="1.37"/>
    <n v="2"/>
    <n v="3"/>
    <n v="4"/>
    <n v="1"/>
    <n v="3"/>
    <n v="2"/>
    <n v="4"/>
    <n v="0"/>
    <n v="1"/>
    <n v="2"/>
    <n v="0"/>
    <n v="4"/>
    <n v="0"/>
    <n v="2"/>
    <n v="1"/>
    <n v="3"/>
  </r>
  <r>
    <s v="123_the_subterraneans.txt"/>
    <x v="60"/>
    <n v="39766"/>
    <n v="1958"/>
    <n v="3.66"/>
    <n v="16032"/>
    <n v="638"/>
    <n v="1.24"/>
    <n v="2"/>
    <n v="3"/>
    <n v="4"/>
    <n v="1"/>
    <n v="4"/>
    <n v="3"/>
    <n v="4"/>
    <n v="0"/>
    <n v="1"/>
    <n v="3"/>
    <n v="1"/>
    <n v="4"/>
    <n v="0"/>
    <n v="2"/>
    <n v="3"/>
    <n v="3"/>
  </r>
  <r>
    <s v="125_cycle_of_the_werewolf.txt"/>
    <x v="18"/>
    <n v="15987"/>
    <n v="1983"/>
    <n v="3.66"/>
    <n v="60613"/>
    <n v="622"/>
    <n v="1.21"/>
    <n v="3"/>
    <n v="4"/>
    <n v="4"/>
    <n v="3"/>
    <n v="3"/>
    <n v="2"/>
    <n v="3"/>
    <n v="1"/>
    <n v="3"/>
    <n v="0"/>
    <n v="1"/>
    <n v="2"/>
    <n v="2"/>
    <n v="3"/>
    <n v="1"/>
    <n v="4"/>
  </r>
  <r>
    <s v="127_the_stepford_wives.txt"/>
    <x v="61"/>
    <n v="32887"/>
    <n v="1972"/>
    <n v="3.86"/>
    <n v="45586"/>
    <n v="608"/>
    <n v="1.18"/>
    <n v="3"/>
    <n v="4"/>
    <n v="4"/>
    <n v="3"/>
    <n v="2"/>
    <n v="4"/>
    <n v="3"/>
    <n v="0"/>
    <n v="4"/>
    <n v="0"/>
    <n v="2"/>
    <n v="3"/>
    <n v="1"/>
    <n v="3"/>
    <n v="4"/>
    <n v="3"/>
  </r>
  <r>
    <s v="128_carmilla.txt"/>
    <x v="62"/>
    <n v="27613"/>
    <n v="1872"/>
    <n v="3.86"/>
    <n v="137485"/>
    <n v="603"/>
    <n v="1.17"/>
    <n v="3"/>
    <n v="4"/>
    <n v="4"/>
    <n v="2"/>
    <n v="3"/>
    <n v="4"/>
    <n v="3"/>
    <n v="0"/>
    <n v="3"/>
    <n v="2"/>
    <n v="0"/>
    <n v="3"/>
    <n v="1"/>
    <n v="2"/>
    <n v="3"/>
    <n v="3"/>
  </r>
  <r>
    <s v="130_the_island_of_dr_moreau.txt"/>
    <x v="10"/>
    <n v="49808"/>
    <n v="1896"/>
    <n v="3.73"/>
    <n v="125735"/>
    <n v="592"/>
    <n v="1.1499999999999999"/>
    <n v="3"/>
    <n v="4"/>
    <n v="4"/>
    <n v="3"/>
    <n v="4"/>
    <n v="2"/>
    <n v="3"/>
    <n v="0"/>
    <n v="1"/>
    <n v="0"/>
    <n v="2"/>
    <n v="3"/>
    <n v="1"/>
    <n v="2"/>
    <n v="0"/>
    <n v="3"/>
  </r>
  <r>
    <s v="133_down_among_the_sticks_and_bones.txt"/>
    <x v="63"/>
    <n v="39543"/>
    <n v="1930"/>
    <n v="4.1399999999999997"/>
    <n v="55852"/>
    <n v="557"/>
    <n v="1.08"/>
    <n v="3"/>
    <n v="4"/>
    <n v="4"/>
    <n v="2"/>
    <n v="3"/>
    <n v="1"/>
    <n v="3"/>
    <n v="0"/>
    <n v="1"/>
    <n v="2"/>
    <n v="1"/>
    <n v="4"/>
    <n v="1"/>
    <n v="2"/>
    <n v="3"/>
    <n v="3"/>
  </r>
  <r>
    <s v="134_oh_pioneers.txt"/>
    <x v="64"/>
    <n v="55321"/>
    <n v="1913"/>
    <n v="3.9"/>
    <n v="55464"/>
    <n v="554"/>
    <n v="1.08"/>
    <n v="2"/>
    <n v="3"/>
    <n v="4"/>
    <n v="2"/>
    <n v="3"/>
    <n v="2"/>
    <n v="4"/>
    <n v="1"/>
    <n v="0"/>
    <n v="3"/>
    <n v="0"/>
    <n v="3"/>
    <n v="1"/>
    <n v="2"/>
    <n v="4"/>
    <n v="3"/>
  </r>
  <r>
    <s v="135_the_maltese_falcon.txt"/>
    <x v="57"/>
    <n v="66479"/>
    <n v="1930"/>
    <n v="3.87"/>
    <n v="110152"/>
    <n v="553"/>
    <n v="1.08"/>
    <n v="3"/>
    <n v="4"/>
    <n v="4"/>
    <n v="2"/>
    <n v="4"/>
    <n v="3"/>
    <n v="2"/>
    <n v="0"/>
    <n v="4"/>
    <n v="1"/>
    <n v="2"/>
    <n v="3"/>
    <n v="1"/>
    <n v="2"/>
    <n v="0"/>
    <n v="3"/>
  </r>
  <r>
    <s v="138_the_hellbound_heart.txt"/>
    <x v="65"/>
    <n v="30047"/>
    <n v="1986"/>
    <n v="4.07"/>
    <n v="61358"/>
    <n v="531"/>
    <n v="1.03"/>
    <n v="3"/>
    <n v="4"/>
    <n v="4"/>
    <n v="2"/>
    <n v="3"/>
    <n v="1"/>
    <n v="2"/>
    <n v="0"/>
    <n v="2"/>
    <n v="1"/>
    <n v="0"/>
    <n v="3"/>
    <n v="1"/>
    <n v="2"/>
    <n v="3"/>
    <n v="3"/>
  </r>
  <r>
    <s v="139_the_word_for_world_is_forest.txt"/>
    <x v="66"/>
    <n v="40760"/>
    <n v="1972"/>
    <n v="4.05"/>
    <n v="35852"/>
    <n v="531"/>
    <n v="1.03"/>
    <n v="3"/>
    <n v="4"/>
    <n v="4"/>
    <n v="3"/>
    <n v="4"/>
    <n v="2"/>
    <n v="3"/>
    <n v="1"/>
    <n v="2"/>
    <n v="1"/>
    <n v="3"/>
    <n v="4"/>
    <n v="2"/>
    <n v="3"/>
    <n v="2"/>
    <n v="4"/>
  </r>
  <r>
    <s v="140_foe.txt"/>
    <x v="67"/>
    <n v="44944"/>
    <n v="1986"/>
    <n v="3.42"/>
    <n v="11741"/>
    <n v="523"/>
    <n v="1.02"/>
    <n v="2"/>
    <n v="3"/>
    <n v="4"/>
    <n v="2"/>
    <n v="4"/>
    <n v="1"/>
    <n v="3"/>
    <n v="0"/>
    <n v="2"/>
    <n v="1"/>
    <n v="2"/>
    <n v="3"/>
    <n v="0"/>
    <n v="2"/>
    <n v="4"/>
    <n v="3"/>
  </r>
  <r>
    <s v="145_the_aspern_papers.txt"/>
    <x v="19"/>
    <n v="38781"/>
    <n v="1888"/>
    <n v="3.7"/>
    <n v="6306"/>
    <n v="493"/>
    <n v="0.96"/>
    <n v="2"/>
    <n v="3"/>
    <n v="4"/>
    <n v="2"/>
    <n v="3"/>
    <n v="2"/>
    <n v="3"/>
    <n v="1"/>
    <n v="3"/>
    <n v="2"/>
    <n v="2"/>
    <n v="3"/>
    <n v="1"/>
    <n v="2"/>
    <n v="3"/>
    <n v="3"/>
  </r>
  <r>
    <s v="147_the_short_second_life_of_bree_tanner.txt"/>
    <x v="68"/>
    <n v="39219"/>
    <n v="2010"/>
    <n v="3.52"/>
    <n v="229702"/>
    <n v="484"/>
    <n v="0.94"/>
    <n v="2"/>
    <n v="3"/>
    <n v="3"/>
    <n v="1"/>
    <n v="4"/>
    <n v="2"/>
    <n v="3"/>
    <n v="0"/>
    <n v="2"/>
    <n v="1"/>
    <n v="2"/>
    <n v="4"/>
    <n v="1"/>
    <n v="1"/>
    <n v="3"/>
    <n v="3"/>
  </r>
  <r>
    <s v="150_norwood.txt"/>
    <x v="69"/>
    <n v="39001"/>
    <n v="1966"/>
    <n v="3.85"/>
    <n v="4242"/>
    <n v="478"/>
    <n v="0.93"/>
    <n v="2"/>
    <n v="3"/>
    <n v="4"/>
    <n v="2"/>
    <n v="3"/>
    <n v="1"/>
    <n v="4"/>
    <n v="2"/>
    <n v="1"/>
    <n v="3"/>
    <n v="2"/>
    <n v="1"/>
    <n v="2"/>
    <n v="3"/>
    <n v="2"/>
    <n v="4"/>
  </r>
  <r>
    <s v="151_on_chesil_beach.txt"/>
    <x v="70"/>
    <n v="36743"/>
    <n v="2007"/>
    <n v="3.61"/>
    <n v="96791"/>
    <n v="475"/>
    <n v="0.92"/>
    <n v="2"/>
    <n v="3"/>
    <n v="4"/>
    <n v="1"/>
    <n v="3"/>
    <n v="4"/>
    <n v="3"/>
    <n v="0"/>
    <n v="1"/>
    <n v="2"/>
    <n v="1"/>
    <n v="4"/>
    <n v="1"/>
    <n v="2"/>
    <n v="3"/>
    <n v="3"/>
  </r>
  <r>
    <s v="152_the_glass_key.txt"/>
    <x v="57"/>
    <n v="64429"/>
    <n v="1931"/>
    <n v="3.92"/>
    <n v="13053"/>
    <n v="474"/>
    <n v="0.92"/>
    <n v="3"/>
    <n v="4"/>
    <n v="4"/>
    <n v="2"/>
    <n v="4"/>
    <n v="3"/>
    <n v="2"/>
    <n v="1"/>
    <n v="4"/>
    <n v="2"/>
    <n v="3"/>
    <n v="4"/>
    <n v="1"/>
    <n v="2"/>
    <n v="3"/>
    <n v="3"/>
  </r>
  <r>
    <s v="153_three_famous_short_novels.txt"/>
    <x v="71"/>
    <n v="103854"/>
    <n v="1958"/>
    <n v="3.83"/>
    <n v="1887"/>
    <n v="467"/>
    <n v="0.91"/>
    <n v="3"/>
    <n v="4"/>
    <n v="4"/>
    <n v="3"/>
    <n v="4"/>
    <n v="2"/>
    <n v="4"/>
    <n v="1"/>
    <n v="2"/>
    <n v="1"/>
    <n v="3"/>
    <n v="4"/>
    <n v="1"/>
    <n v="3"/>
    <n v="2"/>
    <n v="4"/>
  </r>
  <r>
    <s v="156_the_13_clocks.txt"/>
    <x v="72"/>
    <n v="11750"/>
    <n v="1950"/>
    <n v="4"/>
    <n v="8170"/>
    <n v="457"/>
    <n v="0.89"/>
    <n v="3"/>
    <n v="4"/>
    <n v="4"/>
    <n v="3"/>
    <n v="2"/>
    <n v="3"/>
    <n v="2"/>
    <n v="3"/>
    <n v="1"/>
    <n v="3"/>
    <n v="2"/>
    <n v="0"/>
    <n v="1"/>
    <n v="2"/>
    <n v="3"/>
    <n v="4"/>
  </r>
  <r>
    <s v="163_the_ponder_heart.txt"/>
    <x v="73"/>
    <n v="32155"/>
    <n v="1954"/>
    <n v="3.63"/>
    <n v="2165"/>
    <n v="433"/>
    <n v="0.84"/>
    <n v="2"/>
    <n v="3"/>
    <n v="4"/>
    <n v="1"/>
    <n v="4"/>
    <n v="2"/>
    <n v="3"/>
    <n v="1"/>
    <n v="3"/>
    <n v="1"/>
    <n v="3"/>
    <n v="2"/>
    <n v="1"/>
    <n v="2"/>
    <n v="3"/>
    <n v="3"/>
  </r>
  <r>
    <s v="164_at_the_mountains_of_madness.txt"/>
    <x v="40"/>
    <n v="41233"/>
    <n v="1936"/>
    <n v="3.8"/>
    <n v="57267"/>
    <n v="432"/>
    <n v="0.84"/>
    <n v="2"/>
    <n v="3"/>
    <n v="4"/>
    <n v="2"/>
    <n v="3"/>
    <n v="3"/>
    <n v="2"/>
    <n v="0"/>
    <n v="3"/>
    <n v="0"/>
    <n v="1"/>
    <n v="4"/>
    <n v="1"/>
    <n v="2"/>
    <n v="0"/>
    <n v="3"/>
  </r>
  <r>
    <s v="166_the_loneliness_of_the_long_distance.txt"/>
    <x v="74"/>
    <n v="54775"/>
    <n v="1959"/>
    <n v="3.9"/>
    <n v="3067"/>
    <n v="429"/>
    <n v="0.84"/>
    <n v="1"/>
    <n v="2"/>
    <n v="3"/>
    <n v="1"/>
    <n v="4"/>
    <n v="2"/>
    <n v="3"/>
    <n v="0"/>
    <n v="1"/>
    <n v="0"/>
    <n v="2"/>
    <n v="4"/>
    <n v="0"/>
    <n v="2"/>
    <n v="0"/>
    <n v="3"/>
  </r>
  <r>
    <s v="167_houston_houston_do_you_read.txt"/>
    <x v="75"/>
    <n v="21436"/>
    <n v="1976"/>
    <n v="3.78"/>
    <n v="6841"/>
    <n v="428"/>
    <n v="0.83"/>
    <n v="2"/>
    <n v="3"/>
    <n v="4"/>
    <n v="2"/>
    <n v="3"/>
    <n v="1"/>
    <n v="3"/>
    <n v="0"/>
    <n v="1"/>
    <n v="0"/>
    <n v="2"/>
    <n v="3"/>
    <n v="0"/>
    <n v="2"/>
    <n v="4"/>
    <n v="3"/>
  </r>
  <r>
    <s v="170_chimes.txt"/>
    <x v="3"/>
    <n v="30418"/>
    <n v="1844"/>
    <n v="4"/>
    <n v="1330"/>
    <n v="419"/>
    <n v="0.82"/>
    <n v="3"/>
    <n v="4"/>
    <n v="4"/>
    <n v="3"/>
    <n v="4"/>
    <n v="2"/>
    <n v="3"/>
    <n v="3"/>
    <n v="1"/>
    <n v="2"/>
    <n v="4"/>
    <n v="2"/>
    <n v="2"/>
    <n v="3"/>
    <n v="3"/>
    <n v="3"/>
  </r>
  <r>
    <s v="172_small_things_like_these.txt"/>
    <x v="76"/>
    <n v="20038"/>
    <n v="2020"/>
    <n v="3.21"/>
    <n v="9642"/>
    <n v="397"/>
    <n v="0.77"/>
    <n v="2"/>
    <n v="3"/>
    <n v="4"/>
    <n v="3"/>
    <n v="2"/>
    <n v="3"/>
    <n v="4"/>
    <n v="0"/>
    <n v="1"/>
    <n v="0"/>
    <n v="2"/>
    <n v="3"/>
    <n v="1"/>
    <n v="3"/>
    <n v="2"/>
    <n v="4"/>
  </r>
  <r>
    <s v="173_oroonoko.txt"/>
    <x v="77"/>
    <n v="44210"/>
    <n v="1688"/>
    <n v="4.17"/>
    <n v="219423"/>
    <n v="395"/>
    <n v="0.77"/>
    <n v="3"/>
    <n v="4"/>
    <n v="4"/>
    <n v="3"/>
    <n v="4"/>
    <n v="2"/>
    <n v="4"/>
    <n v="0"/>
    <n v="0"/>
    <n v="3"/>
    <n v="1"/>
    <n v="4"/>
    <n v="1"/>
    <n v="2"/>
    <n v="2"/>
    <n v="3"/>
  </r>
  <r>
    <s v="174_good_bye_mr_chips.txt"/>
    <x v="78"/>
    <n v="16742"/>
    <n v="1934"/>
    <n v="3.01"/>
    <n v="15644"/>
    <n v="393"/>
    <n v="0.76"/>
    <n v="2"/>
    <n v="3"/>
    <n v="4"/>
    <n v="2"/>
    <n v="3"/>
    <n v="4"/>
    <n v="4"/>
    <n v="2"/>
    <n v="0"/>
    <n v="2"/>
    <n v="1"/>
    <n v="2"/>
    <n v="1"/>
    <n v="2"/>
    <n v="1"/>
    <n v="3"/>
  </r>
  <r>
    <s v="176_memory_wall.txt"/>
    <x v="79"/>
    <n v="67115"/>
    <n v="2010"/>
    <n v="3.97"/>
    <n v="13755"/>
    <n v="392"/>
    <n v="0.76"/>
    <n v="2"/>
    <n v="3"/>
    <n v="4"/>
    <n v="2"/>
    <n v="4"/>
    <n v="1"/>
    <n v="4"/>
    <n v="0"/>
    <n v="1"/>
    <n v="1"/>
    <n v="0"/>
    <n v="4"/>
    <n v="1"/>
    <n v="3"/>
    <n v="4"/>
    <n v="3"/>
  </r>
  <r>
    <s v="177_the_loved_one.txt"/>
    <x v="80"/>
    <n v="30842"/>
    <n v="1948"/>
    <n v="4.08"/>
    <n v="8811"/>
    <n v="382"/>
    <n v="0.74"/>
    <n v="2"/>
    <n v="3"/>
    <n v="3"/>
    <n v="1"/>
    <n v="4"/>
    <n v="2"/>
    <n v="3"/>
    <n v="0"/>
    <n v="1"/>
    <n v="2"/>
    <n v="4"/>
    <n v="3"/>
    <n v="1"/>
    <n v="2"/>
    <n v="2"/>
    <n v="3"/>
  </r>
  <r>
    <s v="178_binti.txt"/>
    <x v="81"/>
    <n v="113092"/>
    <n v="2015"/>
    <n v="3.76"/>
    <n v="12919"/>
    <n v="379"/>
    <n v="0.74"/>
    <n v="3"/>
    <n v="4"/>
    <n v="4"/>
    <n v="4"/>
    <n v="3"/>
    <n v="2"/>
    <n v="4"/>
    <n v="1"/>
    <n v="2"/>
    <n v="2"/>
    <n v="1"/>
    <n v="3"/>
    <n v="2"/>
    <n v="4"/>
    <n v="4"/>
    <n v="4"/>
  </r>
  <r>
    <s v="179_things_fall_apart.txt"/>
    <x v="82"/>
    <n v="50646"/>
    <n v="1959"/>
    <n v="3.86"/>
    <n v="76020"/>
    <n v="379"/>
    <n v="0.74"/>
    <n v="3"/>
    <n v="4"/>
    <n v="4"/>
    <n v="3"/>
    <n v="4"/>
    <n v="2"/>
    <n v="4"/>
    <n v="0"/>
    <n v="1"/>
    <n v="0"/>
    <n v="2"/>
    <n v="4"/>
    <n v="1"/>
    <n v="3"/>
    <n v="1"/>
    <n v="3"/>
  </r>
  <r>
    <s v="180_to_be_taught_if_fortunate.txt"/>
    <x v="83"/>
    <n v="39803"/>
    <n v="2019"/>
    <n v="3.74"/>
    <n v="386468"/>
    <n v="378"/>
    <n v="0.74"/>
    <n v="1"/>
    <n v="2"/>
    <n v="3"/>
    <n v="2"/>
    <n v="4"/>
    <n v="3"/>
    <n v="3"/>
    <n v="1"/>
    <n v="2"/>
    <n v="1"/>
    <n v="1"/>
    <n v="2"/>
    <n v="1"/>
    <n v="2"/>
    <n v="4"/>
    <n v="4"/>
  </r>
  <r>
    <s v="181_the_tenth_man.txt"/>
    <x v="58"/>
    <n v="33057"/>
    <n v="1985"/>
    <n v="4.2"/>
    <n v="48106"/>
    <n v="377"/>
    <n v="0.73"/>
    <n v="3"/>
    <n v="4"/>
    <n v="4"/>
    <n v="2"/>
    <n v="3"/>
    <n v="1"/>
    <n v="4"/>
    <n v="0"/>
    <n v="2"/>
    <n v="1"/>
    <n v="0"/>
    <n v="4"/>
    <n v="1"/>
    <n v="3"/>
    <n v="1"/>
    <n v="3"/>
  </r>
  <r>
    <s v="184_true_grit.txt"/>
    <x v="69"/>
    <n v="60809"/>
    <n v="1968"/>
    <n v="3.73"/>
    <n v="5033"/>
    <n v="376"/>
    <n v="0.73"/>
    <n v="3"/>
    <n v="4"/>
    <n v="4"/>
    <n v="3"/>
    <n v="2"/>
    <n v="3"/>
    <n v="4"/>
    <n v="1"/>
    <n v="2"/>
    <n v="0"/>
    <n v="2"/>
    <n v="2"/>
    <n v="1"/>
    <n v="3"/>
    <n v="4"/>
    <n v="3"/>
  </r>
  <r>
    <s v="185_waiting_for_the_barbarians.txt"/>
    <x v="67"/>
    <n v="64986"/>
    <n v="1980"/>
    <n v="4.17"/>
    <n v="63661"/>
    <n v="374"/>
    <n v="0.73"/>
    <n v="3"/>
    <n v="4"/>
    <n v="4"/>
    <n v="2"/>
    <n v="3"/>
    <n v="1"/>
    <n v="4"/>
    <n v="0"/>
    <n v="1"/>
    <n v="2"/>
    <n v="3"/>
    <n v="4"/>
    <n v="0"/>
    <n v="2"/>
    <n v="1"/>
    <n v="3"/>
  </r>
  <r>
    <s v="188_we_the_animals.txt"/>
    <x v="84"/>
    <n v="28016"/>
    <n v="2011"/>
    <n v="3.93"/>
    <n v="33420"/>
    <n v="374"/>
    <n v="0.73"/>
    <n v="3"/>
    <n v="4"/>
    <n v="4"/>
    <n v="2"/>
    <n v="4"/>
    <n v="1"/>
    <n v="3"/>
    <n v="0"/>
    <n v="1"/>
    <n v="0"/>
    <n v="1"/>
    <n v="4"/>
    <n v="0"/>
    <n v="2"/>
    <n v="1"/>
    <n v="3"/>
  </r>
  <r>
    <s v="191_every_heart_a_doorway.txt"/>
    <x v="63"/>
    <n v="38579"/>
    <n v="2016"/>
    <n v="3.72"/>
    <n v="24075"/>
    <n v="367"/>
    <n v="0.71"/>
    <n v="3"/>
    <n v="4"/>
    <n v="4"/>
    <n v="3"/>
    <n v="4"/>
    <n v="2"/>
    <n v="3"/>
    <n v="1"/>
    <n v="4"/>
    <n v="1"/>
    <n v="2"/>
    <n v="3"/>
    <n v="2"/>
    <n v="3"/>
    <n v="4"/>
    <n v="4"/>
  </r>
  <r>
    <s v="192_the_day_of_the_locust.txt"/>
    <x v="52"/>
    <n v="48266"/>
    <n v="1939"/>
    <n v="3.81"/>
    <n v="116563"/>
    <n v="364"/>
    <n v="0.71"/>
    <n v="2"/>
    <n v="3"/>
    <n v="4"/>
    <n v="1"/>
    <n v="4"/>
    <n v="2"/>
    <n v="3"/>
    <n v="1"/>
    <n v="0"/>
    <n v="2"/>
    <n v="4"/>
    <n v="3"/>
    <n v="1"/>
    <n v="2"/>
    <n v="1"/>
    <n v="3"/>
  </r>
  <r>
    <s v="193_artificial_condition_the_murderbot_diarie.txt"/>
    <x v="37"/>
    <n v="32142"/>
    <n v="2018"/>
    <n v="3.71"/>
    <n v="23144"/>
    <n v="363"/>
    <n v="0.71"/>
    <n v="3"/>
    <n v="4"/>
    <n v="4"/>
    <n v="2"/>
    <n v="3"/>
    <n v="1"/>
    <n v="3"/>
    <n v="0"/>
    <n v="3"/>
    <n v="0"/>
    <n v="1"/>
    <n v="2"/>
    <n v="2"/>
    <n v="3"/>
    <n v="4"/>
    <n v="4"/>
  </r>
  <r>
    <s v="194_rogue_protocol_the_murderbot_diaries.txt"/>
    <x v="37"/>
    <n v="34891"/>
    <n v="2018"/>
    <n v="4.26"/>
    <n v="161150"/>
    <n v="359"/>
    <n v="0.7"/>
    <n v="3"/>
    <n v="4"/>
    <n v="4"/>
    <n v="2"/>
    <n v="3"/>
    <n v="1"/>
    <n v="3"/>
    <n v="0"/>
    <n v="2"/>
    <n v="0"/>
    <n v="1"/>
    <n v="2"/>
    <n v="1"/>
    <n v="2"/>
    <n v="3"/>
    <n v="4"/>
  </r>
  <r>
    <s v="196_the_shawl.txt"/>
    <x v="85"/>
    <n v="16554"/>
    <n v="1989"/>
    <n v="4.25"/>
    <n v="130176"/>
    <n v="354"/>
    <n v="0.69"/>
    <n v="2"/>
    <n v="3"/>
    <n v="4"/>
    <n v="2"/>
    <n v="4"/>
    <n v="1"/>
    <n v="3"/>
    <n v="0"/>
    <n v="1"/>
    <n v="0"/>
    <n v="1"/>
    <n v="4"/>
    <n v="0"/>
    <n v="2"/>
    <n v="3"/>
    <n v="3"/>
  </r>
  <r>
    <s v="197_magic.txt"/>
    <x v="86"/>
    <n v="35676"/>
    <n v="1950"/>
    <n v="3.9"/>
    <n v="4617"/>
    <n v="351"/>
    <n v="0.68"/>
    <n v="3"/>
    <n v="4"/>
    <n v="4"/>
    <n v="3"/>
    <n v="3"/>
    <n v="2"/>
    <n v="3"/>
    <n v="2"/>
    <n v="3"/>
    <n v="1"/>
    <n v="3"/>
    <n v="1"/>
    <n v="2"/>
    <n v="3"/>
    <n v="2"/>
    <n v="4"/>
  </r>
  <r>
    <s v="198_the_barracks_thief.txt"/>
    <x v="87"/>
    <n v="22766"/>
    <n v="1986"/>
    <n v="3.87"/>
    <n v="8527"/>
    <n v="346"/>
    <n v="0.67"/>
    <n v="2"/>
    <n v="3"/>
    <n v="4"/>
    <n v="2"/>
    <n v="4"/>
    <n v="3"/>
    <n v="4"/>
    <n v="0"/>
    <n v="1"/>
    <n v="0"/>
    <n v="2"/>
    <n v="3"/>
    <n v="1"/>
    <n v="2"/>
    <n v="0"/>
    <n v="3"/>
  </r>
  <r>
    <s v="200_the_diamond_as_big_as_the_ritz.txt"/>
    <x v="88"/>
    <n v="14727"/>
    <n v="1922"/>
    <n v="3.83"/>
    <n v="1857"/>
    <n v="346"/>
    <n v="0.67"/>
    <n v="2"/>
    <n v="3"/>
    <n v="3"/>
    <n v="2"/>
    <n v="4"/>
    <n v="1"/>
    <n v="3"/>
    <n v="1"/>
    <n v="2"/>
    <n v="3"/>
    <n v="4"/>
    <n v="3"/>
    <n v="1"/>
    <n v="2"/>
    <n v="2"/>
    <n v="3"/>
  </r>
  <r>
    <s v="201_the_tiny_wife.txt"/>
    <x v="89"/>
    <n v="14313"/>
    <n v="2010"/>
    <n v="3.61"/>
    <n v="3975"/>
    <n v="343"/>
    <n v="0.67"/>
    <n v="2"/>
    <n v="3"/>
    <n v="4"/>
    <n v="2"/>
    <n v="4"/>
    <n v="1"/>
    <n v="3"/>
    <n v="1"/>
    <n v="2"/>
    <n v="2"/>
    <n v="1"/>
    <n v="2"/>
    <n v="1"/>
    <n v="3"/>
    <n v="4"/>
    <n v="3"/>
  </r>
  <r>
    <s v="203_the_end_of_the_tether.txt"/>
    <x v="5"/>
    <n v="51819"/>
    <n v="1924"/>
    <n v="3.74"/>
    <n v="3615"/>
    <n v="338"/>
    <n v="0.66"/>
    <n v="2"/>
    <n v="3"/>
    <n v="3"/>
    <n v="2"/>
    <n v="4"/>
    <n v="3"/>
    <n v="4"/>
    <n v="0"/>
    <n v="1"/>
    <n v="1"/>
    <n v="0"/>
    <n v="4"/>
    <n v="1"/>
    <n v="2"/>
    <n v="1"/>
    <n v="3"/>
  </r>
  <r>
    <s v="204_rage.txt"/>
    <x v="90"/>
    <n v="54059"/>
    <n v="1977"/>
    <n v="3.96"/>
    <n v="106"/>
    <n v="335"/>
    <n v="0.65"/>
    <n v="2"/>
    <n v="3"/>
    <n v="4"/>
    <n v="1"/>
    <n v="3"/>
    <n v="2"/>
    <n v="3"/>
    <n v="0"/>
    <n v="1"/>
    <n v="0"/>
    <n v="2"/>
    <n v="4"/>
    <n v="0"/>
    <n v="1"/>
    <n v="0"/>
    <n v="3"/>
  </r>
  <r>
    <s v="205_mothering_sunday.txt"/>
    <x v="91"/>
    <n v="32080"/>
    <n v="2016"/>
    <n v="3.72"/>
    <n v="51732"/>
    <n v="328"/>
    <n v="0.64"/>
    <n v="2"/>
    <n v="3"/>
    <n v="4"/>
    <n v="1"/>
    <n v="4"/>
    <n v="2"/>
    <n v="3"/>
    <n v="0"/>
    <n v="1"/>
    <n v="2"/>
    <n v="1"/>
    <n v="4"/>
    <n v="1"/>
    <n v="2"/>
    <n v="4"/>
    <n v="3"/>
  </r>
  <r>
    <s v="206_the_giving_tree.txt"/>
    <x v="92"/>
    <n v="617"/>
    <n v="1964"/>
    <n v="3.69"/>
    <n v="17132"/>
    <n v="325"/>
    <n v="0.63"/>
    <n v="2"/>
    <n v="3"/>
    <n v="4"/>
    <n v="1"/>
    <n v="3"/>
    <n v="4"/>
    <n v="3"/>
    <n v="0"/>
    <n v="0"/>
    <n v="1"/>
    <n v="2"/>
    <n v="3"/>
    <n v="1"/>
    <n v="2"/>
    <n v="1"/>
    <n v="2"/>
  </r>
  <r>
    <s v="207_angels_and_insects.txt"/>
    <x v="93"/>
    <n v="108476"/>
    <n v="1992"/>
    <n v="4.38"/>
    <n v="1165630"/>
    <n v="324"/>
    <n v="0.63"/>
    <n v="2"/>
    <n v="3"/>
    <n v="3"/>
    <n v="1"/>
    <n v="4"/>
    <n v="2"/>
    <n v="3"/>
    <n v="1"/>
    <n v="2"/>
    <n v="3"/>
    <n v="1"/>
    <n v="3"/>
    <n v="1"/>
    <n v="2"/>
    <n v="3"/>
    <n v="3"/>
  </r>
  <r>
    <s v="208_an_occurrence_at_owl_creek_bridge_other.txt"/>
    <x v="94"/>
    <n v="50967"/>
    <n v="2016"/>
    <n v="3.64"/>
    <n v="5988"/>
    <n v="321"/>
    <n v="0.62"/>
    <n v="2"/>
    <n v="3"/>
    <n v="3"/>
    <n v="2"/>
    <n v="1"/>
    <n v="4"/>
    <n v="3"/>
    <n v="0"/>
    <n v="0"/>
    <n v="0"/>
    <n v="0"/>
    <n v="2"/>
    <n v="1"/>
    <n v="2"/>
    <n v="0"/>
    <n v="3"/>
  </r>
  <r>
    <s v="214_who_goes_there.txt"/>
    <x v="95"/>
    <n v="21414"/>
    <n v="1938"/>
    <n v="3.85"/>
    <n v="608"/>
    <n v="316"/>
    <n v="0.61"/>
    <n v="3"/>
    <n v="4"/>
    <n v="4"/>
    <n v="2"/>
    <n v="3"/>
    <n v="1"/>
    <n v="2"/>
    <n v="0"/>
    <n v="3"/>
    <n v="0"/>
    <n v="0"/>
    <n v="1"/>
    <n v="1"/>
    <n v="2"/>
    <n v="0"/>
    <n v="3"/>
  </r>
  <r>
    <s v="215_the_abbess_of_crewe.txt"/>
    <x v="25"/>
    <n v="23927"/>
    <n v="1974"/>
    <n v="3.81"/>
    <n v="1202"/>
    <n v="294"/>
    <n v="0.56999999999999995"/>
    <n v="2"/>
    <n v="3"/>
    <n v="3"/>
    <n v="2"/>
    <n v="4"/>
    <n v="1"/>
    <n v="2"/>
    <n v="2"/>
    <n v="3"/>
    <n v="1"/>
    <n v="4"/>
    <n v="2"/>
    <n v="1"/>
    <n v="2"/>
    <n v="3"/>
    <n v="3"/>
  </r>
  <r>
    <s v="217_the_age_of_grief.txt"/>
    <x v="96"/>
    <n v="29926"/>
    <n v="1987"/>
    <n v="3.47"/>
    <n v="1285"/>
    <n v="290"/>
    <n v="0.56000000000000005"/>
    <n v="2"/>
    <n v="3"/>
    <n v="4"/>
    <n v="1"/>
    <n v="4"/>
    <n v="3"/>
    <n v="3"/>
    <n v="2"/>
    <n v="1"/>
    <n v="2"/>
    <n v="1"/>
    <n v="2"/>
    <n v="1"/>
    <n v="2"/>
    <n v="3"/>
    <n v="4"/>
  </r>
  <r>
    <s v="219_the_cement_garden.txt"/>
    <x v="70"/>
    <n v="42354"/>
    <n v="1978"/>
    <n v="3.76"/>
    <n v="3313"/>
    <n v="284"/>
    <n v="0.55000000000000004"/>
    <n v="2"/>
    <n v="3"/>
    <n v="4"/>
    <n v="1"/>
    <n v="4"/>
    <n v="2"/>
    <n v="3"/>
    <n v="0"/>
    <n v="2"/>
    <n v="1"/>
    <n v="0"/>
    <n v="3"/>
    <n v="0"/>
    <n v="1"/>
    <n v="2"/>
    <n v="3"/>
  </r>
  <r>
    <s v="221_ham_on_rye.txt"/>
    <x v="97"/>
    <n v="83301"/>
    <n v="1982"/>
    <n v="3.54"/>
    <n v="33208"/>
    <n v="280"/>
    <n v="0.54"/>
    <n v="2"/>
    <n v="3"/>
    <n v="4"/>
    <n v="2"/>
    <n v="3"/>
    <n v="4"/>
    <n v="4"/>
    <n v="1"/>
    <n v="0"/>
    <n v="0"/>
    <n v="3"/>
    <n v="2"/>
    <n v="1"/>
    <n v="2"/>
    <n v="0"/>
    <n v="3"/>
  </r>
  <r>
    <s v="222_running_wild.txt"/>
    <x v="98"/>
    <n v="20241"/>
    <n v="1999"/>
    <n v="4.1399999999999997"/>
    <n v="110779"/>
    <n v="278"/>
    <n v="0.54"/>
    <n v="3"/>
    <n v="4"/>
    <n v="4"/>
    <n v="2"/>
    <n v="3"/>
    <n v="1"/>
    <n v="3"/>
    <n v="0"/>
    <n v="4"/>
    <n v="0"/>
    <n v="2"/>
    <n v="4"/>
    <n v="1"/>
    <n v="2"/>
    <n v="3"/>
    <n v="3"/>
  </r>
  <r>
    <s v="223_stevenson_strange.txt"/>
    <x v="98"/>
    <n v="25768"/>
    <n v="1886"/>
    <n v="3.58"/>
    <n v="3233"/>
    <n v="273"/>
    <n v="0.53"/>
    <n v="2"/>
    <n v="4"/>
    <n v="4"/>
    <n v="1"/>
    <n v="3"/>
    <n v="2"/>
    <n v="4"/>
    <n v="0"/>
    <n v="4"/>
    <n v="0"/>
    <n v="2"/>
    <n v="4"/>
    <n v="1"/>
    <n v="2"/>
    <n v="0"/>
    <n v="3"/>
  </r>
  <r>
    <s v="224_the_thin_man.txt"/>
    <x v="57"/>
    <n v="57939"/>
    <n v="1934"/>
    <n v="3.91"/>
    <n v="36380"/>
    <n v="271"/>
    <n v="0.53"/>
    <n v="2"/>
    <n v="3"/>
    <n v="4"/>
    <n v="1"/>
    <n v="4"/>
    <n v="2"/>
    <n v="3"/>
    <n v="1"/>
    <n v="4"/>
    <n v="1"/>
    <n v="2"/>
    <n v="2"/>
    <n v="1"/>
    <n v="2"/>
    <n v="1"/>
    <n v="2"/>
  </r>
  <r>
    <s v="226_the_ebony_tower.txt"/>
    <x v="99"/>
    <n v="95260"/>
    <n v="1974"/>
    <n v="3.69"/>
    <n v="4194"/>
    <n v="261"/>
    <n v="0.51"/>
    <n v="2"/>
    <n v="3"/>
    <n v="4"/>
    <n v="1"/>
    <n v="4"/>
    <n v="3"/>
    <n v="2"/>
    <n v="1"/>
    <n v="2"/>
    <n v="3"/>
    <n v="2"/>
    <n v="4"/>
    <n v="1"/>
    <n v="2"/>
    <n v="4"/>
    <n v="3"/>
  </r>
  <r>
    <s v="228_a_wizard_of_earthsea.txt"/>
    <x v="66"/>
    <n v="69614"/>
    <n v="1968"/>
    <n v="4.01"/>
    <n v="332183"/>
    <n v="261"/>
    <n v="0.51"/>
    <n v="2"/>
    <n v="3"/>
    <n v="3"/>
    <n v="2"/>
    <n v="3"/>
    <n v="4"/>
    <n v="4"/>
    <n v="0"/>
    <n v="1"/>
    <n v="0"/>
    <n v="1"/>
    <n v="2"/>
    <n v="1"/>
    <n v="2"/>
    <n v="3"/>
    <n v="3"/>
  </r>
  <r>
    <s v="232_false_dawn.txt"/>
    <x v="15"/>
    <n v="76894"/>
    <n v="1924"/>
    <n v="3.63"/>
    <n v="352"/>
    <n v="251"/>
    <n v="0.49"/>
    <n v="2"/>
    <n v="3"/>
    <n v="4"/>
    <n v="2"/>
    <n v="3"/>
    <n v="2"/>
    <n v="4"/>
    <n v="1"/>
    <n v="1"/>
    <n v="2"/>
    <n v="2"/>
    <n v="3"/>
    <n v="1"/>
    <n v="2"/>
    <n v="4"/>
    <n v="3"/>
  </r>
  <r>
    <s v="233_Up_at_the_villa.txt"/>
    <x v="100"/>
    <n v="30018"/>
    <n v="1941"/>
    <n v="3.74"/>
    <n v="7467"/>
    <n v="248"/>
    <n v="0.48"/>
    <n v="2"/>
    <n v="3"/>
    <n v="4"/>
    <n v="2"/>
    <n v="4"/>
    <n v="1"/>
    <n v="3"/>
    <n v="1"/>
    <n v="2"/>
    <n v="3"/>
    <n v="2"/>
    <n v="2"/>
    <n v="1"/>
    <n v="2"/>
    <n v="4"/>
    <n v="3"/>
  </r>
  <r>
    <s v="236_the_long_walk.txt"/>
    <x v="90"/>
    <n v="84127"/>
    <n v="1979"/>
    <n v="4.08"/>
    <n v="201510"/>
    <n v="244"/>
    <n v="0.47"/>
    <n v="3"/>
    <n v="4"/>
    <n v="4"/>
    <n v="3"/>
    <n v="4"/>
    <n v="2"/>
    <n v="3"/>
    <n v="1"/>
    <n v="2"/>
    <n v="1"/>
    <n v="3"/>
    <n v="4"/>
    <n v="2"/>
    <n v="3"/>
    <n v="1"/>
    <n v="4"/>
  </r>
  <r>
    <s v="238_city_of_glass.txt"/>
    <x v="101"/>
    <n v="113858"/>
    <n v="1985"/>
    <n v="3.76"/>
    <n v="21698"/>
    <n v="243"/>
    <n v="0.47"/>
    <n v="2"/>
    <n v="3"/>
    <n v="4"/>
    <n v="2"/>
    <n v="4"/>
    <n v="1"/>
    <n v="3"/>
    <n v="0"/>
    <n v="3"/>
    <n v="1"/>
    <n v="0"/>
    <n v="4"/>
    <n v="1"/>
    <n v="2"/>
    <n v="0"/>
    <n v="3"/>
  </r>
  <r>
    <s v="241_ending_up.txt"/>
    <x v="102"/>
    <n v="39996"/>
    <n v="1974"/>
    <n v="3.58"/>
    <n v="885"/>
    <n v="239"/>
    <n v="0.46"/>
    <n v="2"/>
    <n v="3"/>
    <n v="3"/>
    <n v="1"/>
    <n v="4"/>
    <n v="2"/>
    <n v="3"/>
    <n v="1"/>
    <n v="2"/>
    <n v="0"/>
    <n v="3"/>
    <n v="4"/>
    <n v="1"/>
    <n v="2"/>
    <n v="2"/>
    <n v="3"/>
  </r>
  <r>
    <s v="242_the_picture_of_dorian_gray.txt"/>
    <x v="30"/>
    <n v="54585"/>
    <n v="1982"/>
    <n v="4"/>
    <n v="78"/>
    <n v="237"/>
    <n v="0.46"/>
    <n v="2"/>
    <n v="4"/>
    <n v="3"/>
    <n v="2"/>
    <n v="4"/>
    <n v="1"/>
    <n v="3"/>
    <n v="0"/>
    <n v="1"/>
    <n v="1"/>
    <n v="2"/>
    <n v="4"/>
    <n v="1"/>
    <n v="2"/>
    <n v="0"/>
    <n v="3"/>
  </r>
  <r>
    <s v="245_the_beach.txt"/>
    <x v="103"/>
    <n v="114218"/>
    <n v="1996"/>
    <n v="3.98"/>
    <n v="90843"/>
    <n v="233"/>
    <n v="0.45"/>
    <n v="3"/>
    <n v="4"/>
    <n v="4"/>
    <n v="3"/>
    <n v="4"/>
    <n v="2"/>
    <n v="3"/>
    <n v="1"/>
    <n v="2"/>
    <n v="1"/>
    <n v="2"/>
    <n v="4"/>
    <n v="1"/>
    <n v="3"/>
    <n v="2"/>
    <n v="4"/>
  </r>
  <r>
    <s v="248_granford.txt"/>
    <x v="104"/>
    <n v="111830"/>
    <n v="1853"/>
    <n v="3.84"/>
    <n v="45376"/>
    <n v="225"/>
    <n v="0.44"/>
    <n v="1"/>
    <n v="3"/>
    <n v="3"/>
    <n v="1"/>
    <n v="4"/>
    <n v="2"/>
    <n v="3"/>
    <n v="1"/>
    <n v="0"/>
    <n v="3"/>
    <n v="0"/>
    <n v="2"/>
    <n v="1"/>
    <n v="2"/>
    <n v="4"/>
    <n v="3"/>
  </r>
  <r>
    <s v="250_legion.txt"/>
    <x v="105"/>
    <n v="18013"/>
    <n v="2012"/>
    <n v="4.13"/>
    <n v="42536"/>
    <n v="216"/>
    <n v="0.42"/>
    <n v="2"/>
    <n v="3"/>
    <n v="4"/>
    <n v="2"/>
    <n v="4"/>
    <n v="1"/>
    <n v="3"/>
    <n v="0"/>
    <n v="4"/>
    <n v="1"/>
    <n v="0"/>
    <n v="2"/>
    <n v="1"/>
    <n v="2"/>
    <n v="1"/>
    <n v="3"/>
  </r>
  <r>
    <s v="252_the_comfort_of_strangers.txt"/>
    <x v="70"/>
    <n v="35743"/>
    <n v="1981"/>
    <n v="3.4"/>
    <n v="19257"/>
    <n v="213"/>
    <n v="0.41"/>
    <n v="2"/>
    <n v="3"/>
    <n v="4"/>
    <n v="1"/>
    <n v="4"/>
    <n v="2"/>
    <n v="3"/>
    <n v="0"/>
    <n v="2"/>
    <n v="1"/>
    <n v="2"/>
    <n v="4"/>
    <n v="0"/>
    <n v="1"/>
    <n v="3"/>
    <n v="3"/>
  </r>
  <r>
    <s v="257_appointment_in_samarra.txt"/>
    <x v="106"/>
    <n v="86050"/>
    <n v="1934"/>
    <n v="3.81"/>
    <n v="15742"/>
    <n v="209"/>
    <n v="0.41"/>
    <n v="2"/>
    <n v="3"/>
    <n v="4"/>
    <n v="1"/>
    <n v="4"/>
    <n v="3"/>
    <n v="2"/>
    <n v="0"/>
    <n v="1"/>
    <n v="1"/>
    <n v="2"/>
    <n v="4"/>
    <n v="1"/>
    <n v="2"/>
    <n v="1"/>
    <n v="2"/>
  </r>
  <r>
    <s v="258_farmer_giles_of_ham.txt"/>
    <x v="107"/>
    <n v="16840"/>
    <n v="1949"/>
    <n v="3.88"/>
    <n v="11368"/>
    <n v="209"/>
    <n v="0.41"/>
    <n v="3"/>
    <n v="4"/>
    <n v="4"/>
    <n v="3"/>
    <n v="2"/>
    <n v="4"/>
    <n v="3"/>
    <n v="3"/>
    <n v="1"/>
    <n v="0"/>
    <n v="2"/>
    <n v="0"/>
    <n v="2"/>
    <n v="3"/>
    <n v="0"/>
    <n v="4"/>
  </r>
  <r>
    <s v="259_the_snows_of_kilimanjaro_other.txt"/>
    <x v="0"/>
    <n v="50086"/>
    <n v="1961"/>
    <n v="3.8"/>
    <n v="45293"/>
    <n v="208"/>
    <n v="0.4"/>
    <n v="2"/>
    <n v="3"/>
    <n v="3"/>
    <n v="2"/>
    <n v="4"/>
    <n v="1"/>
    <n v="3"/>
    <n v="0"/>
    <n v="0"/>
    <n v="1"/>
    <n v="2"/>
    <n v="4"/>
    <n v="1"/>
    <n v="2"/>
    <n v="1"/>
    <n v="3"/>
  </r>
  <r>
    <s v="260_the_shadow_out_of_time.txt"/>
    <x v="40"/>
    <n v="25683"/>
    <n v="1936"/>
    <n v="3.88"/>
    <n v="5501"/>
    <n v="202"/>
    <n v="0.39"/>
    <n v="3"/>
    <n v="4"/>
    <n v="4"/>
    <n v="2"/>
    <n v="3"/>
    <n v="1"/>
    <n v="4"/>
    <n v="0"/>
    <n v="3"/>
    <n v="0"/>
    <n v="0"/>
    <n v="2"/>
    <n v="1"/>
    <n v="3"/>
    <n v="0"/>
    <n v="3"/>
  </r>
  <r>
    <s v="261_the_zoo_an_allegorical_adventure.txt"/>
    <x v="108"/>
    <n v="28680"/>
    <n v="2014"/>
    <n v="3.06"/>
    <n v="156"/>
    <n v="200"/>
    <n v="0.39"/>
    <n v="3"/>
    <n v="4"/>
    <n v="4"/>
    <n v="2"/>
    <n v="3"/>
    <n v="3"/>
    <n v="4"/>
    <n v="0"/>
    <n v="2"/>
    <n v="0"/>
    <n v="1"/>
    <n v="4"/>
    <n v="1"/>
    <n v="2"/>
    <n v="0"/>
    <n v="3"/>
  </r>
  <r>
    <s v="262_hatter.txt"/>
    <x v="109"/>
    <n v="77062"/>
    <n v="2011"/>
    <n v="3.9"/>
    <n v="478"/>
    <n v="199"/>
    <n v="0.39"/>
    <n v="3"/>
    <n v="4"/>
    <n v="3"/>
    <n v="2"/>
    <n v="4"/>
    <n v="1"/>
    <n v="3"/>
    <n v="2"/>
    <n v="1"/>
    <n v="1"/>
    <n v="2"/>
    <n v="1"/>
    <n v="2"/>
    <n v="3"/>
    <n v="1"/>
    <n v="4"/>
  </r>
  <r>
    <s v="263_the_basketball_diaries.txt"/>
    <x v="110"/>
    <n v="56865"/>
    <n v="1978"/>
    <n v="3.99"/>
    <n v="31161"/>
    <n v="198"/>
    <n v="0.38"/>
    <n v="2"/>
    <n v="3"/>
    <n v="4"/>
    <n v="2"/>
    <n v="4"/>
    <n v="1"/>
    <n v="3"/>
    <n v="0"/>
    <n v="1"/>
    <n v="0"/>
    <n v="2"/>
    <n v="3"/>
    <n v="0"/>
    <n v="2"/>
    <n v="1"/>
    <n v="3"/>
  </r>
  <r>
    <s v="264_the_name_of_the_world.txt"/>
    <x v="111"/>
    <n v="34246"/>
    <n v="2000"/>
    <n v="3.55"/>
    <n v="2519"/>
    <n v="198"/>
    <n v="0.38"/>
    <n v="2"/>
    <n v="3"/>
    <n v="4"/>
    <n v="2"/>
    <n v="3"/>
    <n v="1"/>
    <n v="4"/>
    <n v="0"/>
    <n v="1"/>
    <n v="2"/>
    <n v="1"/>
    <n v="3"/>
    <n v="1"/>
    <n v="3"/>
    <n v="0"/>
    <n v="4"/>
  </r>
  <r>
    <s v="266_after_life.txt"/>
    <x v="112"/>
    <n v="42190"/>
    <n v="2008"/>
    <n v="3.81"/>
    <n v="225"/>
    <n v="197"/>
    <n v="0.38"/>
    <n v="2"/>
    <n v="3"/>
    <n v="3"/>
    <n v="2"/>
    <n v="4"/>
    <n v="1"/>
    <n v="3"/>
    <n v="0"/>
    <n v="2"/>
    <n v="1"/>
    <n v="2"/>
    <n v="3"/>
    <n v="1"/>
    <n v="2"/>
    <n v="1"/>
    <n v="3"/>
  </r>
  <r>
    <s v="268_under_the_greenwood_tree.txt"/>
    <x v="113"/>
    <n v="56707"/>
    <n v="1872"/>
    <n v="3.65"/>
    <n v="13857"/>
    <n v="196"/>
    <n v="0.38"/>
    <n v="2"/>
    <n v="3"/>
    <n v="4"/>
    <n v="2"/>
    <n v="3"/>
    <n v="3"/>
    <n v="4"/>
    <n v="3"/>
    <n v="1"/>
    <n v="4"/>
    <n v="2"/>
    <n v="0"/>
    <n v="2"/>
    <n v="1"/>
    <n v="3"/>
    <n v="3"/>
  </r>
  <r>
    <s v="270_the_governess_affair.txt"/>
    <x v="114"/>
    <n v="32960"/>
    <n v="2012"/>
    <n v="3.85"/>
    <n v="18531"/>
    <n v="195"/>
    <n v="0.38"/>
    <n v="3"/>
    <n v="4"/>
    <n v="4"/>
    <n v="3"/>
    <n v="3"/>
    <n v="2"/>
    <n v="4"/>
    <n v="2"/>
    <n v="1"/>
    <n v="4"/>
    <n v="1"/>
    <n v="1"/>
    <n v="2"/>
    <n v="3"/>
    <n v="4"/>
    <n v="4"/>
  </r>
  <r>
    <s v="271_cold_enough_for_snow.txt"/>
    <x v="115"/>
    <n v="30231"/>
    <n v="2022"/>
    <n v="3.72"/>
    <n v="14198"/>
    <n v="195"/>
    <n v="0.38"/>
    <n v="2"/>
    <n v="3"/>
    <n v="4"/>
    <n v="2"/>
    <n v="4"/>
    <n v="3"/>
    <n v="4"/>
    <n v="1"/>
    <n v="2"/>
    <n v="1"/>
    <n v="0"/>
    <n v="2"/>
    <n v="1"/>
    <n v="2"/>
    <n v="4"/>
    <n v="3"/>
  </r>
  <r>
    <s v="273_the_secret_sharer.txt"/>
    <x v="5"/>
    <n v="16515"/>
    <n v="1909"/>
    <n v="3.62"/>
    <n v="5581"/>
    <n v="194"/>
    <n v="0.38"/>
    <n v="2"/>
    <n v="3"/>
    <n v="4"/>
    <n v="2"/>
    <n v="3"/>
    <n v="3"/>
    <n v="2"/>
    <n v="0"/>
    <n v="1"/>
    <n v="0"/>
    <n v="0"/>
    <n v="2"/>
    <n v="1"/>
    <n v="3"/>
    <n v="0"/>
    <n v="4"/>
  </r>
  <r>
    <s v="274_cousin_phyllis.txt"/>
    <x v="104"/>
    <n v="40332"/>
    <n v="1864"/>
    <n v="3.49"/>
    <n v="2735"/>
    <n v="193"/>
    <n v="0.37"/>
    <n v="2"/>
    <n v="3"/>
    <n v="4"/>
    <n v="1"/>
    <n v="3"/>
    <n v="2"/>
    <n v="3"/>
    <n v="1"/>
    <n v="0"/>
    <n v="2"/>
    <n v="0"/>
    <n v="2"/>
    <n v="1"/>
    <n v="2"/>
    <n v="4"/>
    <n v="3"/>
  </r>
  <r>
    <s v="275_the_country_of_the_pointed_firs.txt"/>
    <x v="116"/>
    <n v="41975"/>
    <n v="1910"/>
    <n v="3.78"/>
    <n v="4154"/>
    <n v="193"/>
    <n v="0.37"/>
    <n v="1"/>
    <n v="2"/>
    <n v="3"/>
    <n v="1"/>
    <n v="4"/>
    <n v="2"/>
    <n v="3"/>
    <n v="1"/>
    <n v="0"/>
    <n v="1"/>
    <n v="0"/>
    <n v="2"/>
    <n v="0"/>
    <n v="1"/>
    <n v="3"/>
    <n v="3"/>
  </r>
  <r>
    <s v="281_ordinary_love_and_good_will.txt"/>
    <x v="96"/>
    <n v="63288"/>
    <n v="1989"/>
    <n v="3.86"/>
    <n v="1628"/>
    <n v="188"/>
    <n v="0.36"/>
    <n v="2"/>
    <n v="3"/>
    <n v="3"/>
    <n v="1"/>
    <n v="4"/>
    <n v="2"/>
    <n v="3"/>
    <n v="0"/>
    <n v="1"/>
    <n v="0"/>
    <n v="1"/>
    <n v="3"/>
    <n v="1"/>
    <n v="2"/>
    <n v="0"/>
    <n v="3"/>
  </r>
  <r>
    <s v="286_this_is_how_you_lose_the_time_war.txt"/>
    <x v="117"/>
    <n v="35703"/>
    <n v="2019"/>
    <n v="3.87"/>
    <n v="256351"/>
    <n v="186"/>
    <n v="0.36"/>
    <n v="3"/>
    <n v="4"/>
    <n v="4"/>
    <n v="3"/>
    <n v="4"/>
    <n v="1"/>
    <n v="3"/>
    <n v="2"/>
    <n v="3"/>
    <n v="4"/>
    <n v="1"/>
    <n v="2"/>
    <n v="2"/>
    <n v="3"/>
    <n v="4"/>
    <n v="4"/>
  </r>
  <r>
    <s v="287_the_floating_gods.txt"/>
    <x v="118"/>
    <n v="22233"/>
    <n v="1982"/>
    <n v="3.82"/>
    <n v="276"/>
    <n v="185"/>
    <n v="0.36"/>
    <n v="2"/>
    <n v="3"/>
    <n v="4"/>
    <n v="2"/>
    <n v="4"/>
    <n v="1"/>
    <n v="3"/>
    <n v="0"/>
    <n v="2"/>
    <n v="0"/>
    <n v="1"/>
    <n v="4"/>
    <n v="1"/>
    <n v="3"/>
    <n v="2"/>
    <n v="3"/>
  </r>
  <r>
    <s v="291_the_man_that_corrupted_hadleyburg.txt"/>
    <x v="45"/>
    <n v="110630"/>
    <n v="1898"/>
    <n v="3.81"/>
    <n v="2839"/>
    <n v="184"/>
    <n v="0.36"/>
    <n v="1"/>
    <n v="2"/>
    <n v="3"/>
    <n v="1"/>
    <n v="2"/>
    <n v="4"/>
    <n v="3"/>
    <n v="0"/>
    <n v="0"/>
    <n v="0"/>
    <n v="2"/>
    <n v="2"/>
    <n v="1"/>
    <n v="1"/>
    <n v="0"/>
    <n v="2"/>
  </r>
  <r>
    <s v="293_river_of_teeth.txt"/>
    <x v="119"/>
    <n v="36091"/>
    <n v="2017"/>
    <n v="3.52"/>
    <n v="11063"/>
    <n v="184"/>
    <n v="0.36"/>
    <n v="3"/>
    <n v="4"/>
    <n v="4"/>
    <n v="2"/>
    <n v="4"/>
    <n v="1"/>
    <n v="3"/>
    <n v="0"/>
    <n v="2"/>
    <n v="1"/>
    <n v="0"/>
    <n v="2"/>
    <n v="1"/>
    <n v="3"/>
    <n v="2"/>
    <n v="4"/>
  </r>
  <r>
    <s v="294_last_of_the_curlews.txt"/>
    <x v="120"/>
    <n v="30781"/>
    <n v="1954"/>
    <n v="4.18"/>
    <n v="343"/>
    <n v="181"/>
    <n v="0.35"/>
    <n v="2"/>
    <n v="3"/>
    <n v="4"/>
    <n v="3"/>
    <n v="4"/>
    <n v="2"/>
    <n v="4"/>
    <n v="0"/>
    <n v="1"/>
    <n v="2"/>
    <n v="0"/>
    <n v="4"/>
    <n v="1"/>
    <n v="2"/>
    <n v="2"/>
    <n v="3"/>
  </r>
  <r>
    <s v="296_maggie.txt"/>
    <x v="121"/>
    <n v="22573"/>
    <n v="2005"/>
    <n v="3.31"/>
    <n v="9098"/>
    <n v="180"/>
    <n v="0.35"/>
    <n v="3"/>
    <n v="4"/>
    <n v="4"/>
    <n v="2"/>
    <n v="3"/>
    <n v="1"/>
    <n v="3"/>
    <n v="0"/>
    <n v="1"/>
    <n v="2"/>
    <n v="4"/>
    <n v="4"/>
    <n v="0"/>
    <n v="1"/>
    <n v="3"/>
    <n v="2"/>
  </r>
  <r>
    <s v="298_dept_of_speculation.txt"/>
    <x v="122"/>
    <n v="24545"/>
    <n v="2014"/>
    <n v="3.76"/>
    <n v="56418"/>
    <n v="171"/>
    <n v="0.33"/>
    <n v="1"/>
    <n v="2"/>
    <n v="3"/>
    <n v="1"/>
    <n v="4"/>
    <n v="1"/>
    <n v="3"/>
    <n v="1"/>
    <n v="2"/>
    <n v="2"/>
    <n v="1"/>
    <n v="2"/>
    <n v="1"/>
    <n v="2"/>
    <n v="4"/>
    <n v="3"/>
  </r>
  <r>
    <s v="300_goodbye_columbus.txt"/>
    <x v="123"/>
    <n v="36988"/>
    <n v="1959"/>
    <n v="3.86"/>
    <n v="20739"/>
    <n v="169"/>
    <n v="0.33"/>
    <n v="2"/>
    <n v="3"/>
    <n v="3"/>
    <n v="1"/>
    <n v="3"/>
    <n v="4"/>
    <n v="3"/>
    <n v="1"/>
    <n v="0"/>
    <n v="3"/>
    <n v="2"/>
    <n v="2"/>
    <n v="1"/>
    <n v="1"/>
    <n v="2"/>
    <n v="3"/>
  </r>
  <r>
    <s v="301_smith_of_wootton_major.txt"/>
    <x v="107"/>
    <n v="10141"/>
    <n v="1967"/>
    <n v="3.9"/>
    <n v="5632"/>
    <n v="168"/>
    <n v="0.33"/>
    <n v="3"/>
    <n v="4"/>
    <n v="4"/>
    <n v="3"/>
    <n v="4"/>
    <n v="2"/>
    <n v="4"/>
    <n v="1"/>
    <n v="2"/>
    <n v="0"/>
    <n v="1"/>
    <n v="0"/>
    <n v="1"/>
    <n v="3"/>
    <n v="1"/>
    <n v="4"/>
  </r>
  <r>
    <s v="302_the_great_gatsby.txt"/>
    <x v="88"/>
    <n v="48447"/>
    <n v="1925"/>
    <n v="3.93"/>
    <n v="5452210"/>
    <n v="168"/>
    <n v="0.33"/>
    <n v="3"/>
    <n v="4"/>
    <n v="4"/>
    <n v="2"/>
    <n v="3"/>
    <n v="1"/>
    <n v="3"/>
    <n v="0"/>
    <n v="2"/>
    <n v="3"/>
    <n v="2"/>
    <n v="4"/>
    <n v="1"/>
    <n v="3"/>
    <n v="1"/>
    <n v="2"/>
  </r>
  <r>
    <s v="305_the_dream_quest_of_unknown_kadath.txt"/>
    <x v="40"/>
    <n v="42183"/>
    <n v="1943"/>
    <n v="3.89"/>
    <n v="8465"/>
    <n v="167"/>
    <n v="0.32"/>
    <n v="3"/>
    <n v="4"/>
    <n v="4"/>
    <n v="3"/>
    <n v="2"/>
    <n v="1"/>
    <n v="3"/>
    <n v="0"/>
    <n v="2"/>
    <n v="0"/>
    <n v="1"/>
    <n v="2"/>
    <n v="1"/>
    <n v="3"/>
    <n v="0"/>
    <n v="4"/>
  </r>
  <r>
    <s v="306_madame_de_treymes.txt"/>
    <x v="15"/>
    <n v="18931"/>
    <n v="2014"/>
    <n v="3.45"/>
    <n v="1189"/>
    <n v="165"/>
    <n v="0.32"/>
    <n v="2"/>
    <n v="3"/>
    <n v="3"/>
    <n v="1"/>
    <n v="4"/>
    <n v="2"/>
    <n v="3"/>
    <n v="0"/>
    <n v="2"/>
    <n v="3"/>
    <n v="1"/>
    <n v="2"/>
    <n v="1"/>
    <n v="2"/>
    <n v="1"/>
    <n v="3"/>
  </r>
  <r>
    <s v="309_letters_from_the_earth.txt"/>
    <x v="45"/>
    <n v="95271"/>
    <n v="1962"/>
    <n v="4.18"/>
    <n v="9480"/>
    <n v="160"/>
    <n v="0.31"/>
    <n v="2"/>
    <n v="3"/>
    <n v="4"/>
    <n v="1"/>
    <n v="3"/>
    <n v="2"/>
    <n v="3"/>
    <n v="0"/>
    <n v="2"/>
    <n v="1"/>
    <n v="2"/>
    <n v="4"/>
    <n v="0"/>
    <n v="1"/>
    <n v="2"/>
    <n v="3"/>
  </r>
  <r>
    <s v="310_mrs_dalloway.txt"/>
    <x v="124"/>
    <n v="64544"/>
    <n v="1925"/>
    <n v="3.79"/>
    <n v="322006"/>
    <n v="159"/>
    <n v="0.31"/>
    <n v="1"/>
    <n v="2"/>
    <n v="3"/>
    <n v="1"/>
    <n v="4"/>
    <n v="2"/>
    <n v="3"/>
    <n v="1"/>
    <n v="1"/>
    <n v="2"/>
    <n v="3"/>
    <n v="3"/>
    <n v="1"/>
    <n v="2"/>
    <n v="4"/>
    <n v="3"/>
  </r>
  <r>
    <s v="311_the_ballad_of_black_tom.txt"/>
    <x v="125"/>
    <n v="27016"/>
    <n v="2016"/>
    <n v="3.85"/>
    <n v="30483"/>
    <n v="157"/>
    <n v="0.3"/>
    <n v="3"/>
    <n v="4"/>
    <n v="4"/>
    <n v="2"/>
    <n v="3"/>
    <n v="1"/>
    <n v="3"/>
    <n v="0"/>
    <n v="2"/>
    <n v="0"/>
    <n v="1"/>
    <n v="3"/>
    <n v="0"/>
    <n v="2"/>
    <n v="0"/>
    <n v="3"/>
  </r>
  <r>
    <s v="313_the_lifecycle_of_software_objects.txt"/>
    <x v="126"/>
    <n v="30665"/>
    <n v="2010"/>
    <n v="3.92"/>
    <n v="6977"/>
    <n v="156"/>
    <n v="0.3"/>
    <n v="2"/>
    <n v="3"/>
    <n v="4"/>
    <n v="2"/>
    <n v="4"/>
    <n v="1"/>
    <n v="3"/>
    <n v="1"/>
    <n v="0"/>
    <n v="2"/>
    <n v="1"/>
    <n v="2"/>
    <n v="1"/>
    <n v="2"/>
    <n v="4"/>
    <n v="4"/>
  </r>
  <r>
    <s v="314_all_my_friends_are_superheroes.txt"/>
    <x v="89"/>
    <n v="15791"/>
    <n v="2003"/>
    <n v="3.8"/>
    <n v="13279"/>
    <n v="154"/>
    <n v="0.3"/>
    <n v="3"/>
    <n v="4"/>
    <n v="4"/>
    <n v="2"/>
    <n v="4"/>
    <n v="1"/>
    <n v="3"/>
    <n v="2"/>
    <n v="1"/>
    <n v="4"/>
    <n v="3"/>
    <n v="1"/>
    <n v="2"/>
    <n v="3"/>
    <n v="2"/>
    <n v="4"/>
  </r>
  <r>
    <s v="316_the_canterville_ghost.txt"/>
    <x v="30"/>
    <n v="11373"/>
    <n v="1887"/>
    <n v="3.88"/>
    <n v="65078"/>
    <n v="154"/>
    <n v="0.3"/>
    <n v="2"/>
    <n v="3"/>
    <n v="3"/>
    <n v="2"/>
    <n v="3"/>
    <n v="2"/>
    <n v="3"/>
    <n v="2"/>
    <n v="1"/>
    <n v="2"/>
    <n v="3"/>
    <n v="2"/>
    <n v="1"/>
    <n v="3"/>
    <n v="3"/>
    <n v="2"/>
  </r>
  <r>
    <s v="317_the_wonderful_o.txt"/>
    <x v="72"/>
    <n v="10757"/>
    <n v="1957"/>
    <n v="3.87"/>
    <n v="1544"/>
    <n v="152"/>
    <n v="0.28999999999999998"/>
    <n v="3"/>
    <n v="4"/>
    <n v="4"/>
    <n v="2"/>
    <n v="3"/>
    <n v="1"/>
    <n v="2"/>
    <n v="4"/>
    <n v="2"/>
    <n v="1"/>
    <n v="4"/>
    <n v="1"/>
    <n v="2"/>
    <n v="3"/>
    <n v="3"/>
    <n v="3"/>
  </r>
  <r>
    <s v="318_breath.txt"/>
    <x v="127"/>
    <n v="56679"/>
    <n v="2008"/>
    <n v="3.9"/>
    <n v="23417"/>
    <n v="151"/>
    <n v="0.28999999999999998"/>
    <n v="2"/>
    <n v="3"/>
    <n v="4"/>
    <n v="2"/>
    <n v="3"/>
    <n v="1"/>
    <n v="4"/>
    <n v="0"/>
    <n v="1"/>
    <n v="2"/>
    <n v="0"/>
    <n v="3"/>
    <n v="1"/>
    <n v="2"/>
    <n v="0"/>
    <n v="3"/>
  </r>
  <r>
    <s v="319_the_dying_animal.txt"/>
    <x v="123"/>
    <n v="36877"/>
    <n v="2001"/>
    <n v="3.62"/>
    <n v="12487"/>
    <n v="151"/>
    <n v="0.28999999999999998"/>
    <n v="2"/>
    <n v="3"/>
    <n v="3"/>
    <n v="1"/>
    <n v="4"/>
    <n v="2"/>
    <n v="3"/>
    <n v="0"/>
    <n v="0"/>
    <n v="2"/>
    <n v="1"/>
    <n v="4"/>
    <n v="0"/>
    <n v="2"/>
    <n v="3"/>
    <n v="3"/>
  </r>
  <r>
    <s v="321_rebecca_and_rowena.txt"/>
    <x v="128"/>
    <n v="23040"/>
    <n v="1850"/>
    <n v="3.35"/>
    <n v="104"/>
    <n v="149"/>
    <n v="0.28999999999999998"/>
    <n v="3"/>
    <n v="4"/>
    <n v="4"/>
    <n v="3"/>
    <n v="4"/>
    <n v="2"/>
    <n v="4"/>
    <n v="1"/>
    <n v="0"/>
    <n v="3"/>
    <n v="2"/>
    <n v="1"/>
    <n v="1"/>
    <n v="3"/>
    <n v="4"/>
    <n v="4"/>
  </r>
  <r>
    <s v="326_the_optimist_s_daughter.txt"/>
    <x v="73"/>
    <n v="39694"/>
    <n v="1972"/>
    <n v="3.52"/>
    <n v="14520"/>
    <n v="146"/>
    <n v="0.28000000000000003"/>
    <n v="2"/>
    <n v="3"/>
    <n v="4"/>
    <n v="2"/>
    <n v="4"/>
    <n v="3"/>
    <n v="4"/>
    <n v="1"/>
    <n v="2"/>
    <n v="1"/>
    <n v="0"/>
    <n v="3"/>
    <n v="1"/>
    <n v="2"/>
    <n v="4"/>
    <n v="4"/>
  </r>
  <r>
    <s v="327_pafko_at_the_wall.txt"/>
    <x v="129"/>
    <n v="19207"/>
    <n v="2001"/>
    <n v="4.13"/>
    <n v="1324"/>
    <n v="145"/>
    <n v="0.28000000000000003"/>
    <n v="2"/>
    <n v="3"/>
    <n v="4"/>
    <n v="2"/>
    <n v="4"/>
    <n v="3"/>
    <n v="2"/>
    <n v="1"/>
    <n v="0"/>
    <n v="0"/>
    <n v="2"/>
    <n v="1"/>
    <n v="1"/>
    <n v="2"/>
    <n v="0"/>
    <n v="3"/>
  </r>
  <r>
    <s v="329_grief_is_the_thing_with_feathers.txt"/>
    <x v="130"/>
    <n v="13153"/>
    <n v="2015"/>
    <n v="3.83"/>
    <n v="45082"/>
    <n v="144"/>
    <n v="0.28000000000000003"/>
    <n v="3"/>
    <n v="2"/>
    <n v="3"/>
    <n v="2"/>
    <n v="4"/>
    <n v="1"/>
    <n v="3"/>
    <n v="0"/>
    <n v="1"/>
    <n v="0"/>
    <n v="1"/>
    <n v="4"/>
    <n v="1"/>
    <n v="2"/>
    <n v="1"/>
    <n v="3"/>
  </r>
  <r>
    <s v="330_lois_the_witch.txt"/>
    <x v="104"/>
    <n v="92399"/>
    <n v="1861"/>
    <n v="3.66"/>
    <n v="1474"/>
    <n v="142"/>
    <n v="0.28000000000000003"/>
    <n v="2"/>
    <n v="3"/>
    <n v="3"/>
    <n v="1"/>
    <n v="3"/>
    <n v="4"/>
    <n v="3"/>
    <n v="0"/>
    <n v="2"/>
    <n v="1"/>
    <n v="0"/>
    <n v="4"/>
    <n v="1"/>
    <n v="2"/>
    <n v="3"/>
    <n v="2"/>
  </r>
  <r>
    <s v="332_the_ballad_of_peckham_rye.txt"/>
    <x v="25"/>
    <n v="38033"/>
    <n v="1860"/>
    <n v="3.45"/>
    <n v="2563"/>
    <n v="141"/>
    <n v="0.27"/>
    <n v="2"/>
    <n v="3"/>
    <n v="4"/>
    <n v="2"/>
    <n v="4"/>
    <n v="1"/>
    <n v="3"/>
    <n v="2"/>
    <n v="3"/>
    <n v="2"/>
    <n v="4"/>
    <n v="3"/>
    <n v="1"/>
    <n v="2"/>
    <n v="1"/>
    <n v="3"/>
  </r>
  <r>
    <s v="333_the_dragon_masters.txt"/>
    <x v="131"/>
    <n v="31374"/>
    <n v="1962"/>
    <n v="3.8"/>
    <n v="1559"/>
    <n v="140"/>
    <n v="0.27"/>
    <n v="3"/>
    <n v="4"/>
    <n v="4"/>
    <n v="2"/>
    <n v="3"/>
    <n v="3"/>
    <n v="2"/>
    <n v="0"/>
    <n v="1"/>
    <n v="0"/>
    <n v="1"/>
    <n v="2"/>
    <n v="1"/>
    <n v="2"/>
    <n v="1"/>
    <n v="3"/>
  </r>
  <r>
    <s v="334_everything_in_this_country_must.txt"/>
    <x v="132"/>
    <n v="30444"/>
    <n v="2000"/>
    <n v="3.96"/>
    <n v="1148"/>
    <n v="138"/>
    <n v="0.27"/>
    <n v="2"/>
    <n v="3"/>
    <n v="4"/>
    <n v="2"/>
    <n v="4"/>
    <n v="1"/>
    <n v="3"/>
    <n v="0"/>
    <n v="1"/>
    <n v="0"/>
    <n v="1"/>
    <n v="4"/>
    <n v="1"/>
    <n v="2"/>
    <n v="0"/>
    <n v="3"/>
  </r>
  <r>
    <s v="335_coffey_on_the_mile.txt"/>
    <x v="18"/>
    <n v="27911"/>
    <n v="1996"/>
    <n v="4.59"/>
    <n v="17591"/>
    <n v="138"/>
    <n v="0.27"/>
    <n v="3"/>
    <n v="4"/>
    <n v="4"/>
    <n v="3"/>
    <n v="4"/>
    <n v="2"/>
    <n v="4"/>
    <n v="0"/>
    <n v="2"/>
    <n v="1"/>
    <n v="0"/>
    <n v="4"/>
    <n v="1"/>
    <n v="3"/>
    <n v="1"/>
    <n v="4"/>
  </r>
  <r>
    <s v="337_the_library_window.txt"/>
    <x v="133"/>
    <n v="18403"/>
    <n v="1896"/>
    <n v="3.71"/>
    <n v="510"/>
    <n v="137"/>
    <n v="0.27"/>
    <n v="2"/>
    <n v="3"/>
    <n v="4"/>
    <n v="2"/>
    <n v="3"/>
    <n v="1"/>
    <n v="3"/>
    <n v="0"/>
    <n v="4"/>
    <n v="1"/>
    <n v="0"/>
    <n v="2"/>
    <n v="1"/>
    <n v="3"/>
    <n v="4"/>
    <n v="3"/>
  </r>
  <r>
    <s v="339_the_king_of_pirates.txt"/>
    <x v="134"/>
    <n v="28833"/>
    <n v="1719"/>
    <n v="3.29"/>
    <n v="181"/>
    <n v="136"/>
    <n v="0.26"/>
    <n v="2"/>
    <n v="3"/>
    <n v="4"/>
    <n v="2"/>
    <n v="3"/>
    <n v="3"/>
    <n v="4"/>
    <n v="1"/>
    <n v="2"/>
    <n v="0"/>
    <n v="1"/>
    <n v="2"/>
    <n v="1"/>
    <n v="2"/>
    <n v="0"/>
    <n v="3"/>
  </r>
  <r>
    <s v="342_the_farthest_shore.txt"/>
    <x v="66"/>
    <n v="66241"/>
    <n v="1972"/>
    <n v="4.13"/>
    <n v="118473"/>
    <n v="135"/>
    <n v="0.26"/>
    <n v="3"/>
    <n v="4"/>
    <n v="4"/>
    <n v="3"/>
    <n v="4"/>
    <n v="2"/>
    <n v="3"/>
    <n v="1"/>
    <n v="2"/>
    <n v="1"/>
    <n v="0"/>
    <n v="2"/>
    <n v="1"/>
    <n v="4"/>
    <n v="2"/>
    <n v="4"/>
  </r>
  <r>
    <s v="343_tear_and_loathing_in_las_vegas.txt"/>
    <x v="135"/>
    <n v="52087"/>
    <n v="1972"/>
    <n v="4.07"/>
    <n v="359381"/>
    <n v="134"/>
    <n v="0.26"/>
    <n v="2"/>
    <n v="1"/>
    <n v="3"/>
    <n v="1"/>
    <n v="4"/>
    <n v="1"/>
    <n v="3"/>
    <n v="1"/>
    <n v="0"/>
    <n v="0"/>
    <n v="4"/>
    <n v="2"/>
    <n v="0"/>
    <n v="1"/>
    <n v="0"/>
    <n v="2"/>
  </r>
  <r>
    <s v="344_the_mouse_on_the_mile.txt"/>
    <x v="18"/>
    <n v="20667"/>
    <n v="1996"/>
    <n v="4.47"/>
    <n v="17699"/>
    <n v="133"/>
    <n v="0.26"/>
    <n v="2"/>
    <n v="3"/>
    <n v="4"/>
    <n v="1"/>
    <n v="3"/>
    <n v="2"/>
    <n v="3"/>
    <n v="0"/>
    <n v="1"/>
    <n v="0"/>
    <n v="1"/>
    <n v="3"/>
    <n v="0"/>
    <n v="2"/>
    <n v="0"/>
    <n v="2"/>
  </r>
  <r>
    <s v="345_lyras_oxford.txt"/>
    <x v="136"/>
    <n v="7354"/>
    <n v="2003"/>
    <n v="3.62"/>
    <n v="28863"/>
    <n v="132"/>
    <n v="0.26"/>
    <n v="2"/>
    <n v="3"/>
    <n v="4"/>
    <n v="2"/>
    <n v="3"/>
    <n v="3"/>
    <n v="2"/>
    <n v="1"/>
    <n v="4"/>
    <n v="0"/>
    <n v="1"/>
    <n v="2"/>
    <n v="2"/>
    <n v="3"/>
    <n v="4"/>
    <n v="4"/>
  </r>
  <r>
    <s v="347_my_mortal_enemy.txt"/>
    <x v="64"/>
    <n v="22929"/>
    <n v="1926"/>
    <n v="3.61"/>
    <n v="3255"/>
    <n v="132"/>
    <n v="0.26"/>
    <n v="2"/>
    <n v="3"/>
    <n v="3"/>
    <n v="1"/>
    <n v="4"/>
    <n v="2"/>
    <n v="4"/>
    <n v="0"/>
    <n v="0"/>
    <n v="2"/>
    <n v="0"/>
    <n v="4"/>
    <n v="0"/>
    <n v="1"/>
    <n v="3"/>
    <n v="2"/>
  </r>
  <r>
    <s v="349_the_moon_moth.txt"/>
    <x v="131"/>
    <n v="12324"/>
    <n v="2012"/>
    <n v="4.21"/>
    <n v="174"/>
    <n v="131"/>
    <n v="0.25"/>
    <n v="3"/>
    <n v="4"/>
    <n v="4"/>
    <n v="3"/>
    <n v="4"/>
    <n v="2"/>
    <n v="3"/>
    <n v="2"/>
    <n v="4"/>
    <n v="0"/>
    <n v="3"/>
    <n v="1"/>
    <n v="2"/>
    <n v="3"/>
    <n v="1"/>
    <n v="4"/>
  </r>
  <r>
    <s v="350_night_journey.txt"/>
    <x v="18"/>
    <n v="22006"/>
    <n v="1996"/>
    <n v="4.53"/>
    <n v="16433"/>
    <n v="131"/>
    <n v="0.25"/>
    <n v="2"/>
    <n v="3"/>
    <n v="4"/>
    <n v="2"/>
    <n v="3"/>
    <n v="4"/>
    <n v="3"/>
    <n v="0"/>
    <n v="1"/>
    <n v="0"/>
    <n v="0"/>
    <n v="3"/>
    <n v="1"/>
    <n v="2"/>
    <n v="0"/>
    <n v="3"/>
  </r>
  <r>
    <s v="351_our_souls_at_night.txt"/>
    <x v="137"/>
    <n v="30160"/>
    <n v="2015"/>
    <n v="3.92"/>
    <n v="79027"/>
    <n v="131"/>
    <n v="0.25"/>
    <n v="2"/>
    <n v="3"/>
    <n v="4"/>
    <n v="1"/>
    <n v="4"/>
    <n v="3"/>
    <n v="4"/>
    <n v="1"/>
    <n v="0"/>
    <n v="3"/>
    <n v="0"/>
    <n v="1"/>
    <n v="1"/>
    <n v="2"/>
    <n v="4"/>
    <n v="4"/>
  </r>
  <r>
    <s v="355_the_daylight_gate.txt"/>
    <x v="138"/>
    <n v="32548"/>
    <n v="2012"/>
    <n v="3.4"/>
    <n v="6539"/>
    <n v="126"/>
    <n v="0.24"/>
    <n v="3"/>
    <n v="4"/>
    <n v="4"/>
    <n v="2"/>
    <n v="4"/>
    <n v="3"/>
    <n v="4"/>
    <n v="0"/>
    <n v="3"/>
    <n v="2"/>
    <n v="1"/>
    <n v="4"/>
    <n v="1"/>
    <n v="3"/>
    <n v="4"/>
    <n v="4"/>
  </r>
  <r>
    <s v="357_the_man_whom_the_trees_loved.txt"/>
    <x v="139"/>
    <n v="26002"/>
    <n v="1912"/>
    <n v="3.67"/>
    <n v="882"/>
    <n v="123"/>
    <n v="0.24"/>
    <n v="2"/>
    <n v="3"/>
    <n v="4"/>
    <n v="1"/>
    <n v="4"/>
    <n v="2"/>
    <n v="3"/>
    <n v="0"/>
    <n v="1"/>
    <n v="1"/>
    <n v="0"/>
    <n v="4"/>
    <n v="0"/>
    <n v="2"/>
    <n v="3"/>
    <n v="3"/>
  </r>
  <r>
    <s v="358_coffey_s_hands.txt"/>
    <x v="18"/>
    <n v="20905"/>
    <n v="1996"/>
    <n v="4.5199999999999996"/>
    <n v="18104"/>
    <n v="120"/>
    <n v="0.23"/>
    <n v="2"/>
    <n v="3"/>
    <n v="4"/>
    <n v="1"/>
    <n v="4"/>
    <n v="2"/>
    <n v="3"/>
    <n v="0"/>
    <n v="2"/>
    <n v="1"/>
    <n v="0"/>
    <n v="4"/>
    <n v="1"/>
    <n v="2"/>
    <n v="0"/>
    <n v="3"/>
  </r>
  <r>
    <s v="359_the_book_of_merlyn.txt"/>
    <x v="140"/>
    <n v="38546"/>
    <n v="1977"/>
    <n v="3.9"/>
    <n v="9747"/>
    <n v="118"/>
    <n v="0.23"/>
    <n v="3"/>
    <n v="4"/>
    <n v="4"/>
    <n v="3"/>
    <n v="2"/>
    <n v="1"/>
    <n v="4"/>
    <n v="1"/>
    <n v="0"/>
    <n v="2"/>
    <n v="3"/>
    <n v="4"/>
    <n v="1"/>
    <n v="3"/>
    <n v="0"/>
    <n v="4"/>
  </r>
  <r>
    <s v="363_every_day_is_for_the_thief.txt"/>
    <x v="141"/>
    <n v="32807"/>
    <n v="2007"/>
    <n v="3.69"/>
    <n v="7624"/>
    <n v="114"/>
    <n v="0.22"/>
    <n v="2"/>
    <n v="3"/>
    <n v="4"/>
    <n v="2"/>
    <n v="4"/>
    <n v="3"/>
    <n v="4"/>
    <n v="1"/>
    <n v="2"/>
    <n v="1"/>
    <n v="3"/>
    <n v="2"/>
    <n v="1"/>
    <n v="2"/>
    <n v="3"/>
    <n v="4"/>
  </r>
  <r>
    <s v="364_damage.txt"/>
    <x v="142"/>
    <n v="44592"/>
    <n v="1991"/>
    <n v="3.59"/>
    <n v="6818"/>
    <n v="113"/>
    <n v="0.22"/>
    <n v="2"/>
    <n v="3"/>
    <n v="4"/>
    <n v="1"/>
    <n v="4"/>
    <n v="2"/>
    <n v="3"/>
    <n v="0"/>
    <n v="1"/>
    <n v="2"/>
    <n v="0"/>
    <n v="4"/>
    <n v="0"/>
    <n v="2"/>
    <n v="1"/>
    <n v="3"/>
  </r>
  <r>
    <s v="365_the_rise_of_life_on_earth.txt"/>
    <x v="143"/>
    <n v="26266"/>
    <n v="1991"/>
    <n v="3.63"/>
    <n v="482"/>
    <n v="111"/>
    <n v="0.21"/>
    <n v="2"/>
    <n v="3"/>
    <n v="4"/>
    <n v="2"/>
    <n v="3"/>
    <n v="3"/>
    <n v="4"/>
    <n v="0"/>
    <n v="1"/>
    <n v="1"/>
    <n v="2"/>
    <n v="4"/>
    <n v="0"/>
    <n v="2"/>
    <n v="4"/>
    <n v="3"/>
  </r>
  <r>
    <s v="367_behind_a_mask.txt"/>
    <x v="144"/>
    <n v="40844"/>
    <n v="2005"/>
    <n v="3.84"/>
    <n v="2391"/>
    <n v="110"/>
    <n v="0.21"/>
    <n v="2"/>
    <n v="3"/>
    <n v="3"/>
    <n v="1"/>
    <n v="4"/>
    <n v="2"/>
    <n v="3"/>
    <n v="1"/>
    <n v="3"/>
    <n v="2"/>
    <n v="3"/>
    <n v="2"/>
    <n v="1"/>
    <n v="2"/>
    <n v="4"/>
    <n v="3"/>
  </r>
  <r>
    <s v="368_death_is_not_the_end.txt"/>
    <x v="145"/>
    <n v="15865"/>
    <n v="1998"/>
    <n v="3.75"/>
    <n v="1244"/>
    <n v="109"/>
    <n v="0.21"/>
    <n v="2"/>
    <n v="3"/>
    <n v="4"/>
    <n v="1"/>
    <n v="3"/>
    <n v="2"/>
    <n v="3"/>
    <n v="0"/>
    <n v="4"/>
    <n v="0"/>
    <n v="1"/>
    <n v="2"/>
    <n v="1"/>
    <n v="2"/>
    <n v="0"/>
    <n v="3"/>
  </r>
  <r>
    <s v="369_astonishing_the_gods.txt"/>
    <x v="146"/>
    <n v="24893"/>
    <n v="1995"/>
    <n v="3.55"/>
    <n v="1404"/>
    <n v="108"/>
    <n v="0.21"/>
    <n v="3"/>
    <n v="4"/>
    <n v="4"/>
    <n v="4"/>
    <n v="3"/>
    <n v="2"/>
    <n v="4"/>
    <n v="1"/>
    <n v="2"/>
    <n v="1"/>
    <n v="0"/>
    <n v="1"/>
    <n v="2"/>
    <n v="3"/>
    <n v="2"/>
    <n v="4"/>
  </r>
  <r>
    <s v="370_the_gold-bug.txt"/>
    <x v="147"/>
    <n v="13648"/>
    <n v="1843"/>
    <n v="3.57"/>
    <n v="5385"/>
    <n v="107"/>
    <n v="0.21"/>
    <n v="2"/>
    <n v="3"/>
    <n v="3"/>
    <n v="2"/>
    <n v="3"/>
    <n v="4"/>
    <n v="3"/>
    <n v="1"/>
    <n v="4"/>
    <n v="0"/>
    <n v="1"/>
    <n v="1"/>
    <n v="2"/>
    <n v="2"/>
    <n v="0"/>
    <n v="3"/>
  </r>
  <r>
    <s v="371_the_lifted_veil.txt"/>
    <x v="148"/>
    <n v="27466"/>
    <n v="1859"/>
    <n v="3.4"/>
    <n v="4841"/>
    <n v="102"/>
    <n v="0.2"/>
    <n v="2"/>
    <n v="3"/>
    <n v="3"/>
    <n v="1"/>
    <n v="4"/>
    <n v="2"/>
    <n v="3"/>
    <n v="0"/>
    <n v="1"/>
    <n v="2"/>
    <n v="0"/>
    <n v="3"/>
    <n v="0"/>
    <n v="1"/>
    <n v="0"/>
    <n v="2"/>
  </r>
  <r>
    <s v="372_the_signal.txt"/>
    <x v="149"/>
    <n v="49440"/>
    <n v="2009"/>
    <n v="3.4"/>
    <n v="857"/>
    <n v="100"/>
    <n v="0.19"/>
    <n v="3"/>
    <n v="4"/>
    <n v="4"/>
    <n v="3"/>
    <n v="4"/>
    <n v="2"/>
    <n v="3"/>
    <n v="1"/>
    <n v="3"/>
    <n v="2"/>
    <n v="0"/>
    <n v="2"/>
    <n v="1"/>
    <n v="3"/>
    <n v="2"/>
    <n v="4"/>
  </r>
  <r>
    <s v="373_stone_prison.txt"/>
    <x v="150"/>
    <n v="12006"/>
    <n v="2012"/>
    <n v="3.48"/>
    <n v="239"/>
    <n v="100"/>
    <n v="0.19"/>
    <n v="3"/>
    <n v="4"/>
    <n v="4"/>
    <n v="2"/>
    <n v="3"/>
    <n v="1"/>
    <n v="4"/>
    <n v="0"/>
    <n v="2"/>
    <n v="3"/>
    <n v="0"/>
    <n v="4"/>
    <n v="1"/>
    <n v="2"/>
    <n v="3"/>
    <n v="3"/>
  </r>
  <r>
    <s v="374_sanctuary.txt"/>
    <x v="151"/>
    <n v="13167"/>
    <n v="1997"/>
    <n v="3.85"/>
    <n v="181"/>
    <n v="100"/>
    <n v="0.19"/>
    <n v="3"/>
    <n v="4"/>
    <n v="4"/>
    <n v="3"/>
    <n v="4"/>
    <n v="2"/>
    <n v="3"/>
    <n v="4"/>
    <n v="2"/>
    <n v="3"/>
    <n v="2"/>
    <n v="1"/>
    <n v="2"/>
    <n v="3"/>
    <n v="3"/>
    <n v="4"/>
  </r>
  <r>
    <s v="377_greater_than_rubies.txt"/>
    <x v="152"/>
    <n v="56920"/>
    <n v="2012"/>
    <n v="4.04"/>
    <n v="1070"/>
    <n v="100"/>
    <n v="0.19"/>
    <n v="2"/>
    <n v="3"/>
    <n v="4"/>
    <n v="2"/>
    <n v="3"/>
    <n v="1"/>
    <n v="3"/>
    <n v="2"/>
    <n v="1"/>
    <n v="4"/>
    <n v="0"/>
    <n v="1"/>
    <n v="2"/>
    <n v="3"/>
    <n v="4"/>
    <n v="3"/>
  </r>
  <r>
    <s v="378_fondly.txt"/>
    <x v="153"/>
    <n v="58536"/>
    <n v="2013"/>
    <n v="4.2699999999999996"/>
    <n v="45"/>
    <n v="100"/>
    <n v="0.19"/>
    <n v="2"/>
    <n v="3"/>
    <n v="4"/>
    <n v="2"/>
    <n v="4"/>
    <n v="1"/>
    <n v="3"/>
    <n v="1"/>
    <n v="2"/>
    <n v="2"/>
    <n v="3"/>
    <n v="4"/>
    <n v="1"/>
    <n v="2"/>
    <n v="3"/>
    <n v="3"/>
  </r>
  <r>
    <s v="381_fear_me.txt"/>
    <x v="154"/>
    <n v="24085"/>
    <n v="2011"/>
    <n v="3.69"/>
    <n v="393"/>
    <n v="100"/>
    <n v="0.19"/>
    <n v="3"/>
    <n v="4"/>
    <n v="4"/>
    <n v="2"/>
    <n v="4"/>
    <n v="1"/>
    <n v="3"/>
    <n v="0"/>
    <n v="2"/>
    <n v="0"/>
    <n v="1"/>
    <n v="3"/>
    <n v="1"/>
    <n v="2"/>
    <n v="0"/>
    <n v="3"/>
  </r>
  <r>
    <s v="383_flawless_mistake.txt"/>
    <x v="155"/>
    <n v="41710"/>
    <n v="2016"/>
    <n v="3.83"/>
    <n v="75"/>
    <n v="100"/>
    <n v="0.19"/>
    <n v="3"/>
    <n v="4"/>
    <n v="4"/>
    <n v="2"/>
    <n v="3"/>
    <n v="1"/>
    <n v="3"/>
    <n v="0"/>
    <n v="2"/>
    <n v="3"/>
    <n v="0"/>
    <n v="1"/>
    <n v="2"/>
    <n v="2"/>
    <n v="4"/>
    <n v="3"/>
  </r>
  <r>
    <s v="387_the_beast_god_forgot_to_invent.txt"/>
    <x v="156"/>
    <n v="92423"/>
    <n v="2000"/>
    <n v="4.01"/>
    <n v="1119"/>
    <n v="100"/>
    <n v="0.19"/>
    <n v="1"/>
    <n v="2"/>
    <n v="3"/>
    <n v="2"/>
    <n v="3"/>
    <n v="4"/>
    <n v="4"/>
    <n v="1"/>
    <n v="0"/>
    <n v="1"/>
    <n v="2"/>
    <n v="1"/>
    <n v="1"/>
    <n v="2"/>
    <n v="0"/>
    <n v="3"/>
  </r>
  <r>
    <s v="388_spacewrecked_on_venus.txt"/>
    <x v="157"/>
    <n v="8238"/>
    <n v="2016"/>
    <n v="3.3"/>
    <n v="46"/>
    <n v="100"/>
    <n v="0.19"/>
    <n v="3"/>
    <n v="4"/>
    <n v="4"/>
    <n v="2"/>
    <n v="3"/>
    <n v="4"/>
    <n v="2"/>
    <n v="0"/>
    <n v="3"/>
    <n v="0"/>
    <n v="1"/>
    <n v="2"/>
    <n v="1"/>
    <n v="2"/>
    <n v="0"/>
    <n v="3"/>
  </r>
  <r>
    <s v="389_till_tomorrow.txt"/>
    <x v="158"/>
    <n v="45234"/>
    <n v="2013"/>
    <n v="4.41"/>
    <n v="39"/>
    <n v="100"/>
    <n v="0.19"/>
    <n v="2"/>
    <n v="3"/>
    <n v="3"/>
    <n v="2"/>
    <n v="4"/>
    <n v="1"/>
    <n v="4"/>
    <n v="0"/>
    <n v="2"/>
    <n v="0"/>
    <n v="1"/>
    <n v="3"/>
    <n v="1"/>
    <n v="3"/>
    <n v="0"/>
    <n v="4"/>
  </r>
  <r>
    <s v="390_a_man_and_his_god.txt"/>
    <x v="159"/>
    <n v="13752"/>
    <n v="2012"/>
    <n v="4.42"/>
    <n v="97"/>
    <n v="100"/>
    <n v="0.19"/>
    <n v="3"/>
    <n v="4"/>
    <n v="4"/>
    <n v="3"/>
    <n v="4"/>
    <n v="2"/>
    <n v="3"/>
    <n v="1"/>
    <n v="2"/>
    <n v="1"/>
    <n v="2"/>
    <n v="4"/>
    <n v="2"/>
    <n v="3"/>
    <n v="1"/>
    <n v="4"/>
  </r>
  <r>
    <s v="398_a_single_pebble.txt"/>
    <x v="160"/>
    <n v="38069"/>
    <n v="1956"/>
    <n v="3.63"/>
    <n v="565"/>
    <n v="100"/>
    <n v="0.19"/>
    <n v="2"/>
    <n v="3"/>
    <n v="4"/>
    <n v="2"/>
    <n v="3"/>
    <n v="4"/>
    <n v="3"/>
    <n v="1"/>
    <n v="1"/>
    <n v="1"/>
    <n v="2"/>
    <n v="3"/>
    <n v="1"/>
    <n v="2"/>
    <n v="2"/>
    <n v="4"/>
  </r>
  <r>
    <s v="400_the_silence.txt"/>
    <x v="129"/>
    <n v="13882"/>
    <n v="2020"/>
    <n v="2.66"/>
    <n v="13676"/>
    <n v="100"/>
    <n v="0.19"/>
    <n v="2"/>
    <n v="3"/>
    <n v="4"/>
    <n v="1"/>
    <n v="4"/>
    <n v="2"/>
    <n v="3"/>
    <n v="0"/>
    <n v="1"/>
    <n v="1"/>
    <n v="2"/>
    <n v="3"/>
    <n v="0"/>
    <n v="2"/>
    <n v="3"/>
    <n v="3"/>
  </r>
  <r>
    <s v="407_the_restaurant_at_the_end.txt"/>
    <x v="161"/>
    <n v="52256"/>
    <n v="1980"/>
    <n v="4.2"/>
    <n v="299647"/>
    <n v="100"/>
    <n v="0.19"/>
    <n v="2"/>
    <n v="3"/>
    <n v="4"/>
    <n v="2"/>
    <n v="4"/>
    <n v="1"/>
    <n v="2"/>
    <n v="4"/>
    <n v="3"/>
    <n v="1"/>
    <n v="4"/>
    <n v="1"/>
    <n v="2"/>
    <n v="2"/>
    <n v="1"/>
    <n v="3"/>
  </r>
  <r>
    <s v="408_assembly.txt"/>
    <x v="162"/>
    <n v="17085"/>
    <n v="2021"/>
    <n v="3.84"/>
    <n v="28043"/>
    <n v="100"/>
    <n v="0.19"/>
    <n v="2"/>
    <n v="3"/>
    <n v="4"/>
    <n v="2"/>
    <n v="4"/>
    <n v="1"/>
    <n v="3"/>
    <n v="0"/>
    <n v="1"/>
    <n v="1"/>
    <n v="2"/>
    <n v="3"/>
    <n v="0"/>
    <n v="2"/>
    <n v="4"/>
    <n v="3"/>
  </r>
  <r>
    <s v="415_silent_thunder_universe.txt"/>
    <x v="163"/>
    <n v="43657"/>
    <n v="1991"/>
    <n v="3.57"/>
    <n v="23"/>
    <n v="99"/>
    <n v="0.19"/>
    <n v="3"/>
    <n v="4"/>
    <n v="4"/>
    <n v="3"/>
    <n v="4"/>
    <n v="2"/>
    <n v="3"/>
    <n v="1"/>
    <n v="4"/>
    <n v="2"/>
    <n v="3"/>
    <n v="2"/>
    <n v="2"/>
    <n v="3"/>
    <n v="2"/>
    <n v="4"/>
  </r>
  <r>
    <s v="416_mitz.txt"/>
    <x v="164"/>
    <n v="29491"/>
    <n v="1998"/>
    <n v="3.99"/>
    <n v="1193"/>
    <n v="99"/>
    <n v="0.19"/>
    <n v="2"/>
    <n v="3"/>
    <n v="4"/>
    <n v="2"/>
    <n v="4"/>
    <n v="3"/>
    <n v="4"/>
    <n v="1"/>
    <n v="0"/>
    <n v="1"/>
    <n v="2"/>
    <n v="3"/>
    <n v="1"/>
    <n v="2"/>
    <n v="3"/>
    <n v="3"/>
  </r>
  <r>
    <s v="417_the_clock_king_and_the_queen_of_the_hourglass.txt"/>
    <x v="165"/>
    <n v="37674"/>
    <n v="2005"/>
    <n v="3.29"/>
    <n v="48"/>
    <n v="99"/>
    <n v="0.19"/>
    <n v="3"/>
    <n v="4"/>
    <n v="4"/>
    <n v="3"/>
    <n v="4"/>
    <n v="2"/>
    <n v="4"/>
    <n v="1"/>
    <n v="3"/>
    <n v="2"/>
    <n v="1"/>
    <n v="2"/>
    <n v="1"/>
    <n v="3"/>
    <n v="4"/>
    <n v="4"/>
  </r>
  <r>
    <s v="418_breathless.txt"/>
    <x v="166"/>
    <n v="25116"/>
    <n v="2012"/>
    <n v="3.8"/>
    <n v="1783"/>
    <n v="99"/>
    <n v="0.19"/>
    <n v="2"/>
    <n v="3"/>
    <n v="3"/>
    <n v="2"/>
    <n v="3"/>
    <n v="2"/>
    <n v="3"/>
    <n v="1"/>
    <n v="1"/>
    <n v="4"/>
    <n v="0"/>
    <n v="1"/>
    <n v="2"/>
    <n v="2"/>
    <n v="4"/>
    <n v="3"/>
  </r>
  <r>
    <s v="419_sabrinas_window.txt"/>
    <x v="167"/>
    <n v="42946"/>
    <n v="2012"/>
    <n v="3.39"/>
    <n v="44"/>
    <n v="99"/>
    <n v="0.19"/>
    <n v="2"/>
    <n v="3"/>
    <n v="4"/>
    <n v="2"/>
    <n v="4"/>
    <n v="3"/>
    <n v="4"/>
    <n v="1"/>
    <n v="0"/>
    <n v="3"/>
    <n v="1"/>
    <n v="2"/>
    <n v="1"/>
    <n v="2"/>
    <n v="3"/>
    <n v="4"/>
  </r>
  <r>
    <s v="421_specimen_days.txt"/>
    <x v="168"/>
    <n v="100855"/>
    <n v="2005"/>
    <n v="3.61"/>
    <n v="6293"/>
    <n v="99"/>
    <n v="0.19"/>
    <n v="2"/>
    <n v="3"/>
    <n v="4"/>
    <n v="2"/>
    <n v="4"/>
    <n v="1"/>
    <n v="3"/>
    <n v="0"/>
    <n v="1"/>
    <n v="2"/>
    <n v="1"/>
    <n v="4"/>
    <n v="0"/>
    <n v="3"/>
    <n v="3"/>
    <n v="4"/>
  </r>
  <r>
    <s v="426_the_breathing_method.txt"/>
    <x v="18"/>
    <n v="28321"/>
    <n v="1982"/>
    <n v="3.64"/>
    <n v="3026"/>
    <n v="99"/>
    <n v="0.19"/>
    <n v="2"/>
    <n v="3"/>
    <n v="4"/>
    <n v="2"/>
    <n v="3"/>
    <n v="2"/>
    <n v="4"/>
    <n v="0"/>
    <n v="1"/>
    <n v="1"/>
    <n v="0"/>
    <n v="2"/>
    <n v="1"/>
    <n v="2"/>
    <n v="4"/>
    <n v="3"/>
  </r>
  <r>
    <s v="427_brown_dog.txt"/>
    <x v="156"/>
    <n v="79269"/>
    <n v="2013"/>
    <n v="4.16"/>
    <n v="2563"/>
    <n v="99"/>
    <n v="0.19"/>
    <n v="1"/>
    <n v="2"/>
    <n v="3"/>
    <n v="2"/>
    <n v="3"/>
    <n v="2"/>
    <n v="4"/>
    <n v="1"/>
    <n v="0"/>
    <n v="1"/>
    <n v="2"/>
    <n v="1"/>
    <n v="0"/>
    <n v="2"/>
    <n v="4"/>
    <n v="3"/>
  </r>
  <r>
    <s v="429_the_wreck_of_the_titan.txt"/>
    <x v="169"/>
    <n v="69678"/>
    <n v="1898"/>
    <n v="3.29"/>
    <n v="2120"/>
    <n v="99"/>
    <n v="0.19"/>
    <n v="2"/>
    <n v="3"/>
    <n v="3"/>
    <n v="2"/>
    <n v="3"/>
    <n v="2"/>
    <n v="1"/>
    <n v="1"/>
    <n v="1"/>
    <n v="2"/>
    <n v="0"/>
    <n v="1"/>
    <n v="1"/>
    <n v="2"/>
    <n v="2"/>
    <n v="3"/>
  </r>
  <r>
    <s v="430_prayers_on_the_wind.txt"/>
    <x v="170"/>
    <n v="15910"/>
    <n v="1991"/>
    <n v="4.04"/>
    <n v="55"/>
    <n v="99"/>
    <n v="0.19"/>
    <n v="2"/>
    <n v="3"/>
    <n v="4"/>
    <n v="1"/>
    <n v="3"/>
    <n v="2"/>
    <n v="4"/>
    <n v="0"/>
    <n v="1"/>
    <n v="0"/>
    <n v="2"/>
    <n v="4"/>
    <n v="0"/>
    <n v="3"/>
    <n v="0"/>
    <n v="2"/>
  </r>
  <r>
    <s v="431_the_awakened_kingdom.txt"/>
    <x v="171"/>
    <n v="35544"/>
    <n v="2014"/>
    <n v="4.01"/>
    <n v="6538"/>
    <n v="99"/>
    <n v="0.19"/>
    <n v="3"/>
    <n v="2"/>
    <n v="3"/>
    <n v="2"/>
    <n v="4"/>
    <n v="1"/>
    <n v="3"/>
    <n v="2"/>
    <n v="1"/>
    <n v="1"/>
    <n v="2"/>
    <n v="1"/>
    <n v="1"/>
    <n v="3"/>
    <n v="4"/>
    <n v="4"/>
  </r>
  <r>
    <s v="433_ring_shout.txt"/>
    <x v="172"/>
    <n v="39519"/>
    <n v="2020"/>
    <n v="3.98"/>
    <n v="39407"/>
    <n v="99"/>
    <n v="0.19"/>
    <n v="3"/>
    <n v="4"/>
    <n v="4"/>
    <n v="3"/>
    <n v="4"/>
    <n v="2"/>
    <n v="3"/>
    <n v="1"/>
    <n v="2"/>
    <n v="2"/>
    <n v="1"/>
    <n v="3"/>
    <n v="2"/>
    <n v="3"/>
    <n v="4"/>
    <n v="4"/>
  </r>
  <r>
    <s v="435_tread_of_angels.txt"/>
    <x v="173"/>
    <n v="38008"/>
    <n v="2022"/>
    <n v="3.47"/>
    <n v="5552"/>
    <n v="99"/>
    <n v="0.19"/>
    <n v="3"/>
    <n v="4"/>
    <n v="4"/>
    <n v="3"/>
    <n v="4"/>
    <n v="2"/>
    <n v="3"/>
    <n v="1"/>
    <n v="3"/>
    <n v="2"/>
    <n v="1"/>
    <n v="3"/>
    <n v="2"/>
    <n v="3"/>
    <n v="4"/>
    <n v="4"/>
  </r>
  <r>
    <s v="436_cardiff_by_the_sea.txt"/>
    <x v="143"/>
    <n v="90383"/>
    <n v="2020"/>
    <n v="3.73"/>
    <n v="2048"/>
    <n v="99"/>
    <n v="0.19"/>
    <n v="3"/>
    <n v="4"/>
    <n v="4"/>
    <n v="3"/>
    <n v="4"/>
    <n v="2"/>
    <n v="3"/>
    <n v="1"/>
    <n v="3"/>
    <n v="2"/>
    <n v="1"/>
    <n v="4"/>
    <n v="1"/>
    <n v="3"/>
    <n v="4"/>
    <n v="4"/>
  </r>
  <r>
    <s v="438_dragons_oath.txt"/>
    <x v="174"/>
    <n v="27602"/>
    <n v="2011"/>
    <n v="4.07"/>
    <n v="22402"/>
    <n v="98"/>
    <n v="0.19"/>
    <n v="3"/>
    <n v="4"/>
    <n v="4"/>
    <n v="3"/>
    <n v="3"/>
    <n v="2"/>
    <n v="4"/>
    <n v="0"/>
    <n v="1"/>
    <n v="3"/>
    <n v="0"/>
    <n v="4"/>
    <n v="2"/>
    <n v="3"/>
    <n v="2"/>
    <n v="4"/>
  </r>
  <r>
    <s v="439_wildlife.txt"/>
    <x v="175"/>
    <n v="52630"/>
    <n v="1990"/>
    <n v="3.72"/>
    <n v="4189"/>
    <n v="98"/>
    <n v="0.19"/>
    <n v="2"/>
    <n v="3"/>
    <n v="4"/>
    <n v="2"/>
    <n v="4"/>
    <n v="3"/>
    <n v="4"/>
    <n v="1"/>
    <n v="2"/>
    <n v="2"/>
    <n v="1"/>
    <n v="3"/>
    <n v="1"/>
    <n v="2"/>
    <n v="3"/>
    <n v="4"/>
  </r>
  <r>
    <s v="440_an_apology_for_the_life_of_mrs.txt"/>
    <x v="176"/>
    <n v="14440"/>
    <n v="1930"/>
    <n v="3.27"/>
    <n v="931"/>
    <n v="98"/>
    <n v="0.19"/>
    <n v="2"/>
    <n v="3"/>
    <n v="3"/>
    <n v="1"/>
    <n v="3"/>
    <n v="2"/>
    <n v="3"/>
    <n v="3"/>
    <n v="1"/>
    <n v="2"/>
    <n v="4"/>
    <n v="0"/>
    <n v="1"/>
    <n v="1"/>
    <n v="3"/>
    <n v="2"/>
  </r>
  <r>
    <s v="441_the_woman_Lit_by_fireflies.txt"/>
    <x v="156"/>
    <n v="79269"/>
    <n v="1990"/>
    <n v="4.05"/>
    <n v="2185"/>
    <n v="98"/>
    <n v="0.19"/>
    <n v="1"/>
    <n v="2"/>
    <n v="3"/>
    <n v="1"/>
    <n v="4"/>
    <n v="2"/>
    <n v="3"/>
    <n v="1"/>
    <n v="1"/>
    <n v="1"/>
    <n v="2"/>
    <n v="3"/>
    <n v="1"/>
    <n v="2"/>
    <n v="3"/>
    <n v="3"/>
  </r>
  <r>
    <s v="442_beggars_in_spain.txt"/>
    <x v="177"/>
    <n v="121911"/>
    <n v="1993"/>
    <n v="3.82"/>
    <n v="919"/>
    <n v="98"/>
    <n v="0.19"/>
    <n v="3"/>
    <n v="4"/>
    <n v="4"/>
    <n v="3"/>
    <n v="4"/>
    <n v="2"/>
    <n v="3"/>
    <n v="1"/>
    <n v="2"/>
    <n v="1"/>
    <n v="3"/>
    <n v="2"/>
    <n v="1"/>
    <n v="3"/>
    <n v="4"/>
    <n v="4"/>
  </r>
  <r>
    <s v="443_the_hemingway_hoax.txt"/>
    <x v="178"/>
    <n v="34861"/>
    <n v="1990"/>
    <n v="3.51"/>
    <n v="1429"/>
    <n v="98"/>
    <n v="0.19"/>
    <n v="3"/>
    <n v="4"/>
    <n v="4"/>
    <n v="2"/>
    <n v="4"/>
    <n v="1"/>
    <n v="3"/>
    <n v="1"/>
    <n v="3"/>
    <n v="1"/>
    <n v="2"/>
    <n v="3"/>
    <n v="1"/>
    <n v="3"/>
    <n v="1"/>
    <n v="4"/>
  </r>
  <r>
    <s v="444_the_dream-quest_of_vellitt.txt"/>
    <x v="179"/>
    <n v="35639"/>
    <n v="2016"/>
    <n v="3.86"/>
    <n v="4830"/>
    <n v="98"/>
    <n v="0.19"/>
    <n v="3"/>
    <n v="4"/>
    <n v="4"/>
    <n v="3"/>
    <n v="4"/>
    <n v="2"/>
    <n v="4"/>
    <n v="1"/>
    <n v="2"/>
    <n v="1"/>
    <n v="2"/>
    <n v="2"/>
    <n v="1"/>
    <n v="3"/>
    <n v="4"/>
    <n v="4"/>
  </r>
  <r>
    <s v="445_mildred_pierce.txt"/>
    <x v="50"/>
    <n v="103905"/>
    <n v="1941"/>
    <n v="3.93"/>
    <n v="10266"/>
    <n v="98"/>
    <n v="0.19"/>
    <n v="3"/>
    <n v="4"/>
    <n v="4"/>
    <n v="3"/>
    <n v="4"/>
    <n v="2"/>
    <n v="4"/>
    <n v="1"/>
    <n v="1"/>
    <n v="2"/>
    <n v="3"/>
    <n v="4"/>
    <n v="2"/>
    <n v="3"/>
    <n v="4"/>
    <n v="4"/>
  </r>
  <r>
    <s v="446_lady_susan_the_watsons_sanditon.txt"/>
    <x v="180"/>
    <n v="78494"/>
    <n v="1874"/>
    <n v="3.65"/>
    <n v="47644"/>
    <n v="98"/>
    <n v="0.19"/>
    <n v="2"/>
    <n v="3"/>
    <n v="3"/>
    <n v="1"/>
    <n v="4"/>
    <n v="2"/>
    <n v="3"/>
    <n v="2"/>
    <n v="1"/>
    <n v="3"/>
    <n v="4"/>
    <n v="1"/>
    <n v="1"/>
    <n v="1"/>
    <n v="4"/>
    <n v="3"/>
  </r>
  <r>
    <s v="450_mcglue.txt"/>
    <x v="181"/>
    <n v="5163"/>
    <n v="2014"/>
    <n v="3.33"/>
    <n v="13173"/>
    <n v="98"/>
    <n v="0.19"/>
    <n v="2"/>
    <n v="3"/>
    <n v="4"/>
    <n v="1"/>
    <n v="3"/>
    <n v="2"/>
    <n v="4"/>
    <n v="0"/>
    <n v="3"/>
    <n v="1"/>
    <n v="0"/>
    <n v="4"/>
    <n v="0"/>
    <n v="2"/>
    <n v="0"/>
    <n v="3"/>
  </r>
  <r>
    <s v="451_right_Livelihoods.txt"/>
    <x v="182"/>
    <n v="63077"/>
    <n v="2007"/>
    <n v="3.34"/>
    <n v="276"/>
    <n v="97"/>
    <n v="0.19"/>
    <n v="2"/>
    <n v="3"/>
    <n v="4"/>
    <n v="2"/>
    <n v="4"/>
    <n v="1"/>
    <n v="3"/>
    <n v="0"/>
    <n v="3"/>
    <n v="0"/>
    <n v="1"/>
    <n v="2"/>
    <n v="1"/>
    <n v="2"/>
    <n v="0"/>
    <n v="3"/>
  </r>
  <r>
    <s v="452_the_perilous_life_of_jade.txt"/>
    <x v="183"/>
    <n v="24874"/>
    <n v="2012"/>
    <n v="3.79"/>
    <n v="1302"/>
    <n v="97"/>
    <n v="0.19"/>
    <n v="2"/>
    <n v="3"/>
    <n v="4"/>
    <n v="1"/>
    <n v="3"/>
    <n v="2"/>
    <n v="4"/>
    <n v="3"/>
    <n v="1"/>
    <n v="4"/>
    <n v="2"/>
    <n v="1"/>
    <n v="2"/>
    <n v="2"/>
    <n v="4"/>
    <n v="3"/>
  </r>
  <r>
    <s v="453_a_song_for_lya.txt"/>
    <x v="184"/>
    <n v="79085"/>
    <n v="1974"/>
    <n v="4"/>
    <n v="1694"/>
    <n v="97"/>
    <n v="0.19"/>
    <n v="2"/>
    <n v="3"/>
    <n v="4"/>
    <n v="2"/>
    <n v="4"/>
    <n v="3"/>
    <n v="3"/>
    <n v="0"/>
    <n v="2"/>
    <n v="2"/>
    <n v="0"/>
    <n v="3"/>
    <n v="0"/>
    <n v="2"/>
    <n v="1"/>
    <n v="3"/>
  </r>
  <r>
    <s v="454_the_problem_of_thor_bridge.txt"/>
    <x v="24"/>
    <n v="9630"/>
    <n v="1922"/>
    <n v="3.69"/>
    <n v="1102"/>
    <n v="97"/>
    <n v="0.19"/>
    <n v="2"/>
    <n v="3"/>
    <n v="3"/>
    <n v="1"/>
    <n v="3"/>
    <n v="4"/>
    <n v="2"/>
    <n v="0"/>
    <n v="4"/>
    <n v="1"/>
    <n v="0"/>
    <n v="1"/>
    <n v="1"/>
    <n v="2"/>
    <n v="2"/>
    <n v="3"/>
  </r>
  <r>
    <s v="456_the_lathe_of_heaven.txt"/>
    <x v="66"/>
    <n v="59304"/>
    <n v="1971"/>
    <n v="4.12"/>
    <n v="78803"/>
    <n v="97"/>
    <n v="0.19"/>
    <n v="2"/>
    <n v="3"/>
    <n v="4"/>
    <n v="2"/>
    <n v="4"/>
    <n v="1"/>
    <n v="3"/>
    <n v="1"/>
    <n v="2"/>
    <n v="2"/>
    <n v="3"/>
    <n v="3"/>
    <n v="1"/>
    <n v="3"/>
    <n v="2"/>
    <n v="4"/>
  </r>
  <r>
    <s v="458_the_rape_of_tamar.txt"/>
    <x v="185"/>
    <n v="57303"/>
    <n v="1973"/>
    <n v="3.5"/>
    <n v="30"/>
    <n v="96"/>
    <n v="0.19"/>
    <n v="3"/>
    <n v="4"/>
    <n v="4"/>
    <n v="2"/>
    <n v="3"/>
    <n v="1"/>
    <n v="3"/>
    <n v="0"/>
    <n v="1"/>
    <n v="0"/>
    <n v="2"/>
    <n v="4"/>
    <n v="0"/>
    <n v="2"/>
    <n v="3"/>
    <n v="3"/>
  </r>
  <r>
    <s v="460_chicken_little.txt"/>
    <x v="186"/>
    <n v="19745"/>
    <n v="2011"/>
    <n v="3.87"/>
    <n v="353"/>
    <n v="96"/>
    <n v="0.19"/>
    <n v="3"/>
    <n v="4"/>
    <n v="4"/>
    <n v="3"/>
    <n v="4"/>
    <n v="2"/>
    <n v="3"/>
    <n v="1"/>
    <n v="3"/>
    <n v="0"/>
    <n v="2"/>
    <n v="2"/>
    <n v="1"/>
    <n v="3"/>
    <n v="2"/>
    <n v="4"/>
  </r>
  <r>
    <s v="462_in_the_cage.txt"/>
    <x v="19"/>
    <n v="34593"/>
    <n v="1898"/>
    <n v="3.13"/>
    <n v="984"/>
    <n v="96"/>
    <n v="0.19"/>
    <n v="2"/>
    <n v="3"/>
    <n v="4"/>
    <n v="1"/>
    <n v="4"/>
    <n v="2"/>
    <n v="3"/>
    <n v="1"/>
    <n v="2"/>
    <n v="3"/>
    <n v="2"/>
    <n v="1"/>
    <n v="0"/>
    <n v="2"/>
    <n v="4"/>
    <n v="3"/>
  </r>
  <r>
    <s v="463_the_third_man_and_the_fallen_idol.txt"/>
    <x v="58"/>
    <n v="41110"/>
    <n v="1949"/>
    <n v="3.73"/>
    <n v="3282"/>
    <n v="96"/>
    <n v="0.19"/>
    <n v="2"/>
    <n v="3"/>
    <n v="3"/>
    <n v="1"/>
    <n v="3"/>
    <n v="4"/>
    <n v="2"/>
    <n v="0"/>
    <n v="2"/>
    <n v="1"/>
    <n v="0"/>
    <n v="3"/>
    <n v="1"/>
    <n v="1"/>
    <n v="0"/>
    <n v="2"/>
  </r>
  <r>
    <s v="466_the_light_in_the_piazza.txt"/>
    <x v="187"/>
    <n v="22307"/>
    <n v="1960"/>
    <n v="3.51"/>
    <n v="533"/>
    <n v="96"/>
    <n v="0.19"/>
    <n v="2"/>
    <n v="3"/>
    <n v="4"/>
    <n v="1"/>
    <n v="3"/>
    <n v="2"/>
    <n v="3"/>
    <n v="2"/>
    <n v="1"/>
    <n v="4"/>
    <n v="1"/>
    <n v="1"/>
    <n v="2"/>
    <n v="2"/>
    <n v="4"/>
    <n v="3"/>
  </r>
  <r>
    <s v="477_ellen_foster.txt"/>
    <x v="188"/>
    <n v="38966"/>
    <n v="1987"/>
    <n v="3.79"/>
    <n v="31349"/>
    <n v="95"/>
    <n v="0.18"/>
    <n v="3"/>
    <n v="4"/>
    <n v="4"/>
    <n v="3"/>
    <n v="4"/>
    <n v="2"/>
    <n v="4"/>
    <n v="1"/>
    <n v="0"/>
    <n v="0"/>
    <n v="2"/>
    <n v="3"/>
    <n v="1"/>
    <n v="3"/>
    <n v="4"/>
    <n v="4"/>
  </r>
  <r>
    <s v="479_2001_a_space_odyssey.txt"/>
    <x v="189"/>
    <n v="62915"/>
    <n v="1968"/>
    <n v="4.17"/>
    <n v="321964"/>
    <n v="95"/>
    <n v="0.18"/>
    <n v="2"/>
    <n v="3"/>
    <n v="4"/>
    <n v="3"/>
    <n v="4"/>
    <n v="1"/>
    <n v="3"/>
    <n v="0"/>
    <n v="2"/>
    <n v="0"/>
    <n v="1"/>
    <n v="2"/>
    <n v="1"/>
    <n v="3"/>
    <n v="1"/>
    <n v="4"/>
  </r>
  <r>
    <s v="480_the_scarlet_pimpernel.txt"/>
    <x v="190"/>
    <n v="86267"/>
    <n v="2017"/>
    <n v="4.07"/>
    <n v="137718"/>
    <n v="95"/>
    <n v="0.18"/>
    <n v="3"/>
    <n v="4"/>
    <n v="4"/>
    <n v="3"/>
    <n v="3"/>
    <n v="2"/>
    <n v="3"/>
    <n v="2"/>
    <n v="3"/>
    <n v="4"/>
    <n v="1"/>
    <n v="1"/>
    <n v="2"/>
    <n v="3"/>
    <n v="3"/>
    <n v="4"/>
  </r>
  <r>
    <s v="481_the_loony.txt"/>
    <x v="191"/>
    <n v="32662"/>
    <n v="1961"/>
    <n v="4.17"/>
    <n v="12"/>
    <n v="94"/>
    <n v="0.18"/>
    <n v="3"/>
    <n v="4"/>
    <n v="4"/>
    <n v="3"/>
    <n v="4"/>
    <n v="2"/>
    <n v="4"/>
    <n v="1"/>
    <n v="3"/>
    <n v="2"/>
    <n v="3"/>
    <n v="4"/>
    <n v="1"/>
    <n v="3"/>
    <n v="1"/>
    <n v="4"/>
  </r>
  <r>
    <s v="483_hell_island.txt"/>
    <x v="192"/>
    <n v="22170"/>
    <n v="2005"/>
    <n v="3.87"/>
    <n v="11306"/>
    <n v="94"/>
    <n v="0.18"/>
    <n v="3"/>
    <n v="4"/>
    <n v="4"/>
    <n v="3"/>
    <n v="3"/>
    <n v="2"/>
    <n v="2"/>
    <n v="0"/>
    <n v="1"/>
    <n v="0"/>
    <n v="2"/>
    <n v="1"/>
    <n v="2"/>
    <n v="3"/>
    <n v="0"/>
    <n v="4"/>
  </r>
  <r>
    <s v="484_lucinella.txt"/>
    <x v="193"/>
    <n v="38649"/>
    <n v="1976"/>
    <n v="3.61"/>
    <n v="265"/>
    <n v="94"/>
    <n v="0.18"/>
    <n v="2"/>
    <n v="3"/>
    <n v="4"/>
    <n v="1"/>
    <n v="4"/>
    <n v="2"/>
    <n v="3"/>
    <n v="1"/>
    <n v="0"/>
    <n v="2"/>
    <n v="3"/>
    <n v="2"/>
    <n v="0"/>
    <n v="1"/>
    <n v="4"/>
    <n v="4"/>
  </r>
  <r>
    <s v="487_burn.txt"/>
    <x v="194"/>
    <n v="39397"/>
    <n v="2005"/>
    <n v="3.41"/>
    <n v="300"/>
    <n v="94"/>
    <n v="0.18"/>
    <n v="3"/>
    <n v="4"/>
    <n v="4"/>
    <n v="3"/>
    <n v="4"/>
    <n v="2"/>
    <n v="3"/>
    <n v="1"/>
    <n v="2"/>
    <n v="1"/>
    <n v="2"/>
    <n v="4"/>
    <n v="2"/>
    <n v="3"/>
    <n v="1"/>
    <n v="4"/>
  </r>
  <r>
    <s v="489_skin_deep.txt"/>
    <x v="195"/>
    <n v="52170"/>
    <n v="2012"/>
    <n v="4.12"/>
    <n v="6545"/>
    <n v="94"/>
    <n v="0.18"/>
    <n v="3"/>
    <n v="4"/>
    <n v="4"/>
    <n v="3"/>
    <n v="4"/>
    <n v="2"/>
    <n v="3"/>
    <n v="1"/>
    <n v="2"/>
    <n v="4"/>
    <n v="0"/>
    <n v="1"/>
    <n v="2"/>
    <n v="3"/>
    <n v="4"/>
    <n v="4"/>
  </r>
  <r>
    <s v="495_hammers_on_bone.txt"/>
    <x v="196"/>
    <n v="17662"/>
    <n v="2016"/>
    <n v="3.62"/>
    <n v="4601"/>
    <n v="93"/>
    <n v="0.18"/>
    <n v="3"/>
    <n v="4"/>
    <n v="4"/>
    <n v="2"/>
    <n v="3"/>
    <n v="1"/>
    <n v="3"/>
    <n v="0"/>
    <n v="4"/>
    <n v="0"/>
    <n v="1"/>
    <n v="2"/>
    <n v="1"/>
    <n v="2"/>
    <n v="0"/>
    <n v="3"/>
  </r>
  <r>
    <s v="498_in_an_absent_dream.txt"/>
    <x v="63"/>
    <n v="41300"/>
    <n v="2019"/>
    <n v="4.16"/>
    <n v="34948"/>
    <n v="93"/>
    <n v="0.18"/>
    <n v="3"/>
    <n v="4"/>
    <n v="4"/>
    <n v="3"/>
    <n v="4"/>
    <n v="2"/>
    <n v="4"/>
    <n v="1"/>
    <n v="2"/>
    <n v="1"/>
    <n v="2"/>
    <n v="3"/>
    <n v="2"/>
    <n v="3"/>
    <n v="4"/>
    <n v="4"/>
  </r>
  <r>
    <s v="500_my_tango_with_barbara_strozzi.txt"/>
    <x v="197"/>
    <n v="38377"/>
    <n v="2007"/>
    <n v="3.24"/>
    <n v="112"/>
    <n v="92"/>
    <n v="0.18"/>
    <n v="2"/>
    <n v="3"/>
    <n v="3"/>
    <n v="2"/>
    <n v="4"/>
    <n v="1"/>
    <n v="3"/>
    <n v="2"/>
    <n v="1"/>
    <n v="3"/>
    <n v="1"/>
    <n v="2"/>
    <n v="1"/>
    <n v="2"/>
    <n v="3"/>
    <n v="3"/>
  </r>
  <r>
    <s v="501_the_mystery_knight.txt"/>
    <x v="184"/>
    <n v="36592"/>
    <n v="2010"/>
    <n v="4.24"/>
    <n v="17424"/>
    <n v="92"/>
    <n v="0.18"/>
    <n v="3"/>
    <n v="4"/>
    <n v="4"/>
    <n v="3"/>
    <n v="4"/>
    <n v="2"/>
    <n v="3"/>
    <n v="1"/>
    <n v="3"/>
    <n v="0"/>
    <n v="2"/>
    <n v="2"/>
    <n v="1"/>
    <n v="3"/>
    <n v="0"/>
    <n v="4"/>
  </r>
  <r>
    <s v="507_the_sworn_sword.txt"/>
    <x v="184"/>
    <n v="36678"/>
    <n v="2003"/>
    <n v="4.1100000000000003"/>
    <n v="17344"/>
    <n v="91"/>
    <n v="0.18"/>
    <n v="3"/>
    <n v="4"/>
    <n v="4"/>
    <n v="2"/>
    <n v="3"/>
    <n v="3"/>
    <n v="3"/>
    <n v="2"/>
    <n v="1"/>
    <n v="3"/>
    <n v="1"/>
    <n v="1"/>
    <n v="2"/>
    <n v="2"/>
    <n v="3"/>
    <n v="4"/>
  </r>
  <r>
    <s v="510_beneath_the_sugar_sky.txt"/>
    <x v="63"/>
    <n v="38884"/>
    <n v="2018"/>
    <n v="3.85"/>
    <n v="43664"/>
    <n v="91"/>
    <n v="0.18"/>
    <n v="3"/>
    <n v="4"/>
    <n v="4"/>
    <n v="3"/>
    <n v="4"/>
    <n v="2"/>
    <n v="3"/>
    <n v="1"/>
    <n v="2"/>
    <n v="1"/>
    <n v="2"/>
    <n v="1"/>
    <n v="2"/>
    <n v="3"/>
    <n v="4"/>
    <n v="3"/>
  </r>
  <r>
    <s v="512_the_pavilion_on_the_links.txt"/>
    <x v="4"/>
    <n v="20620"/>
    <n v="1880"/>
    <n v="3.27"/>
    <n v="415"/>
    <n v="90"/>
    <n v="0.17"/>
    <n v="2"/>
    <n v="3"/>
    <n v="4"/>
    <n v="2"/>
    <n v="3"/>
    <n v="1"/>
    <n v="3"/>
    <n v="0"/>
    <n v="2"/>
    <n v="4"/>
    <n v="0"/>
    <n v="3"/>
    <n v="1"/>
    <n v="2"/>
    <n v="3"/>
    <n v="3"/>
  </r>
  <r>
    <s v="513_the_hedge_knight_II__sworn_sword.txt"/>
    <x v="184"/>
    <n v="36263"/>
    <n v="1998"/>
    <n v="4.28"/>
    <n v="25310"/>
    <n v="90"/>
    <n v="0.17"/>
    <n v="3"/>
    <n v="4"/>
    <n v="4"/>
    <n v="3"/>
    <n v="4"/>
    <n v="2"/>
    <n v="3"/>
    <n v="1"/>
    <n v="2"/>
    <n v="3"/>
    <n v="1"/>
    <n v="2"/>
    <n v="2"/>
    <n v="3"/>
    <n v="2"/>
    <n v="4"/>
  </r>
  <r>
    <s v="514_a_phantom_lover_and_other_dark.txt"/>
    <x v="198"/>
    <n v="20076"/>
    <n v="2020"/>
    <n v="3.68"/>
    <n v="402"/>
    <n v="90"/>
    <n v="0.17"/>
    <n v="2"/>
    <n v="3"/>
    <n v="4"/>
    <n v="1"/>
    <n v="3"/>
    <n v="2"/>
    <n v="3"/>
    <n v="0"/>
    <n v="3"/>
    <n v="1"/>
    <n v="0"/>
    <n v="4"/>
    <n v="0"/>
    <n v="1"/>
    <n v="2"/>
    <n v="2"/>
  </r>
  <r>
    <s v="516_roadwork.txt"/>
    <x v="90"/>
    <n v="89670"/>
    <n v="1981"/>
    <n v="3.6"/>
    <n v="40445"/>
    <n v="90"/>
    <n v="0.17"/>
    <n v="3"/>
    <n v="4"/>
    <n v="4"/>
    <n v="2"/>
    <n v="3"/>
    <n v="1"/>
    <n v="4"/>
    <n v="0"/>
    <n v="1"/>
    <n v="0"/>
    <n v="2"/>
    <n v="4"/>
    <n v="1"/>
    <n v="2"/>
    <n v="0"/>
    <n v="3"/>
  </r>
  <r>
    <s v="519_inside_job.txt"/>
    <x v="199"/>
    <n v="24015"/>
    <n v="2005"/>
    <n v="3.72"/>
    <n v="1986"/>
    <n v="90"/>
    <n v="0.17"/>
    <n v="2"/>
    <n v="3"/>
    <n v="3"/>
    <n v="1"/>
    <n v="3"/>
    <n v="2"/>
    <n v="2"/>
    <n v="1"/>
    <n v="4"/>
    <n v="2"/>
    <n v="3"/>
    <n v="1"/>
    <n v="1"/>
    <n v="1"/>
    <n v="3"/>
    <n v="3"/>
  </r>
  <r>
    <s v="521_the_haunted_bookshop.txt"/>
    <x v="200"/>
    <n v="75464"/>
    <n v="1919"/>
    <n v="3.61"/>
    <n v="5760"/>
    <n v="90"/>
    <n v="0.17"/>
    <n v="2"/>
    <n v="3"/>
    <n v="3"/>
    <n v="1"/>
    <n v="2"/>
    <n v="3"/>
    <n v="2"/>
    <n v="2"/>
    <n v="4"/>
    <n v="2"/>
    <n v="1"/>
    <n v="0"/>
    <n v="1"/>
    <n v="1"/>
    <n v="2"/>
    <n v="2"/>
  </r>
  <r>
    <s v="523_the_penelopiad.txt"/>
    <x v="201"/>
    <n v="29689"/>
    <n v="2005"/>
    <n v="3.71"/>
    <n v="78023"/>
    <n v="90"/>
    <n v="0.17"/>
    <n v="3"/>
    <n v="4"/>
    <n v="4"/>
    <n v="3"/>
    <n v="4"/>
    <n v="2"/>
    <n v="3"/>
    <n v="1"/>
    <n v="2"/>
    <n v="2"/>
    <n v="3"/>
    <n v="3"/>
    <n v="1"/>
    <n v="3"/>
    <n v="4"/>
    <n v="3"/>
  </r>
  <r>
    <s v="524_the_narrow_corner.txt"/>
    <x v="100"/>
    <n v="75271"/>
    <n v="1932"/>
    <n v="3.81"/>
    <n v="1842"/>
    <n v="89"/>
    <n v="0.17"/>
    <n v="2"/>
    <n v="3"/>
    <n v="4"/>
    <n v="1"/>
    <n v="4"/>
    <n v="2"/>
    <n v="3"/>
    <n v="0"/>
    <n v="2"/>
    <n v="1"/>
    <n v="2"/>
    <n v="4"/>
    <n v="1"/>
    <n v="2"/>
    <n v="3"/>
    <n v="3"/>
  </r>
  <r>
    <s v="525_the_face_a_timecode.txt"/>
    <x v="202"/>
    <n v="15989"/>
    <n v="2015"/>
    <n v="4"/>
    <n v="2793"/>
    <n v="89"/>
    <n v="0.17"/>
    <n v="1"/>
    <n v="2"/>
    <n v="3"/>
    <n v="2"/>
    <n v="4"/>
    <n v="1"/>
    <n v="3"/>
    <n v="0"/>
    <n v="0"/>
    <n v="0"/>
    <n v="1"/>
    <n v="0"/>
    <n v="1"/>
    <n v="2"/>
    <n v="4"/>
    <n v="3"/>
  </r>
  <r>
    <s v="529_the_river_swimmer.txt"/>
    <x v="156"/>
    <n v="48952"/>
    <n v="2013"/>
    <n v="3.8"/>
    <n v="1979"/>
    <n v="88"/>
    <n v="0.17"/>
    <n v="2"/>
    <n v="3"/>
    <n v="3"/>
    <n v="2"/>
    <n v="4"/>
    <n v="1"/>
    <n v="4"/>
    <n v="0"/>
    <n v="2"/>
    <n v="2"/>
    <n v="1"/>
    <n v="3"/>
    <n v="1"/>
    <n v="3"/>
    <n v="0"/>
    <n v="4"/>
  </r>
  <r>
    <s v="532_the_running_man.txt"/>
    <x v="90"/>
    <n v="66339"/>
    <n v="1982"/>
    <n v="3.9"/>
    <n v="140188"/>
    <n v="87"/>
    <n v="0.17"/>
    <n v="3"/>
    <n v="4"/>
    <n v="4"/>
    <n v="3"/>
    <n v="4"/>
    <n v="2"/>
    <n v="4"/>
    <n v="0"/>
    <n v="1"/>
    <n v="0"/>
    <n v="3"/>
    <n v="4"/>
    <n v="1"/>
    <n v="3"/>
    <n v="0"/>
    <n v="4"/>
  </r>
  <r>
    <s v="533_exit_strategy.txt"/>
    <x v="37"/>
    <n v="35770"/>
    <n v="2018"/>
    <n v="4.38"/>
    <n v="115457"/>
    <n v="87"/>
    <n v="0.17"/>
    <n v="2"/>
    <n v="3"/>
    <n v="4"/>
    <n v="2"/>
    <n v="3"/>
    <n v="2"/>
    <n v="4"/>
    <n v="1"/>
    <n v="2"/>
    <n v="0"/>
    <n v="2"/>
    <n v="1"/>
    <n v="2"/>
    <n v="3"/>
    <n v="3"/>
    <n v="4"/>
  </r>
  <r>
    <s v="534_the_pilgrim_hawk.txt"/>
    <x v="203"/>
    <n v="25083"/>
    <n v="1940"/>
    <n v="3.59"/>
    <n v="1487"/>
    <n v="86"/>
    <n v="0.17"/>
    <n v="1"/>
    <n v="2"/>
    <n v="3"/>
    <n v="1"/>
    <n v="4"/>
    <n v="2"/>
    <n v="3"/>
    <n v="1"/>
    <n v="2"/>
    <n v="3"/>
    <n v="2"/>
    <n v="3"/>
    <n v="1"/>
    <n v="2"/>
    <n v="4"/>
    <n v="3"/>
  </r>
  <r>
    <s v="537_the_menace_from_farside.txt"/>
    <x v="204"/>
    <n v="31986"/>
    <n v="2019"/>
    <n v="3.64"/>
    <n v="364"/>
    <n v="86"/>
    <n v="0.17"/>
    <n v="2"/>
    <n v="3"/>
    <n v="4"/>
    <n v="3"/>
    <n v="4"/>
    <n v="2"/>
    <n v="3"/>
    <n v="1"/>
    <n v="0"/>
    <n v="1"/>
    <n v="2"/>
    <n v="1"/>
    <n v="2"/>
    <n v="3"/>
    <n v="4"/>
    <n v="4"/>
  </r>
  <r>
    <s v="539_waiting_period.txt"/>
    <x v="205"/>
    <n v="55820"/>
    <n v="2002"/>
    <n v="3.38"/>
    <n v="1491"/>
    <n v="85"/>
    <n v="0.16"/>
    <n v="3"/>
    <n v="4"/>
    <n v="4"/>
    <n v="3"/>
    <n v="4"/>
    <n v="2"/>
    <n v="3"/>
    <n v="1"/>
    <n v="2"/>
    <n v="0"/>
    <n v="3"/>
    <n v="3"/>
    <n v="1"/>
    <n v="3"/>
    <n v="0"/>
    <n v="4"/>
  </r>
  <r>
    <s v="541_taste_of_marrow.txt"/>
    <x v="119"/>
    <n v="37638"/>
    <n v="2017"/>
    <n v="3.83"/>
    <n v="3339"/>
    <n v="85"/>
    <n v="0.16"/>
    <n v="3"/>
    <n v="4"/>
    <n v="4"/>
    <n v="3"/>
    <n v="4"/>
    <n v="2"/>
    <n v="3"/>
    <n v="1"/>
    <n v="2"/>
    <n v="2"/>
    <n v="1"/>
    <n v="2"/>
    <n v="2"/>
    <n v="3"/>
    <n v="4"/>
    <n v="4"/>
  </r>
  <r>
    <s v="543_bear.txt"/>
    <x v="206"/>
    <n v="30129"/>
    <n v="1976"/>
    <n v="3.42"/>
    <n v="9070"/>
    <n v="85"/>
    <n v="0.16"/>
    <n v="2"/>
    <n v="3"/>
    <n v="4"/>
    <n v="3"/>
    <n v="4"/>
    <n v="2"/>
    <n v="3"/>
    <n v="1"/>
    <n v="2"/>
    <n v="3"/>
    <n v="1"/>
    <n v="2"/>
    <n v="1"/>
    <n v="3"/>
    <n v="4"/>
    <n v="4"/>
  </r>
  <r>
    <s v="550_the_distracted_preacher.txt"/>
    <x v="113"/>
    <n v="21305"/>
    <n v="1879"/>
    <n v="3.35"/>
    <n v="350"/>
    <n v="83"/>
    <n v="0.16"/>
    <n v="2"/>
    <n v="3"/>
    <n v="4"/>
    <n v="2"/>
    <n v="3"/>
    <n v="2"/>
    <n v="3"/>
    <n v="1"/>
    <n v="2"/>
    <n v="4"/>
    <n v="1"/>
    <n v="2"/>
    <n v="1"/>
    <n v="2"/>
    <n v="3"/>
    <n v="3"/>
  </r>
  <r>
    <s v="552_a_rogues_life.txt"/>
    <x v="207"/>
    <n v="47259"/>
    <n v="1856"/>
    <n v="3.66"/>
    <n v="1011"/>
    <n v="82"/>
    <n v="0.16"/>
    <n v="2"/>
    <n v="3"/>
    <n v="4"/>
    <n v="2"/>
    <n v="3"/>
    <n v="4"/>
    <n v="4"/>
    <n v="2"/>
    <n v="1"/>
    <n v="3"/>
    <n v="3"/>
    <n v="1"/>
    <n v="1"/>
    <n v="2"/>
    <n v="1"/>
    <n v="3"/>
  </r>
  <r>
    <s v="553_the_two_dead_girls.txt"/>
    <x v="18"/>
    <n v="18880"/>
    <n v="1996"/>
    <n v="4.51"/>
    <n v="37191"/>
    <n v="82"/>
    <n v="0.16"/>
    <n v="2"/>
    <n v="3"/>
    <n v="3"/>
    <n v="1"/>
    <n v="4"/>
    <n v="2"/>
    <n v="3"/>
    <n v="0"/>
    <n v="2"/>
    <n v="0"/>
    <n v="1"/>
    <n v="4"/>
    <n v="1"/>
    <n v="2"/>
    <n v="0"/>
    <n v="3"/>
  </r>
  <r>
    <s v="557_midsummer.txt"/>
    <x v="208"/>
    <n v="20537"/>
    <n v="2014"/>
    <n v="4.25"/>
    <n v="16"/>
    <n v="81"/>
    <n v="0.16"/>
    <n v="2"/>
    <n v="3"/>
    <n v="4"/>
    <n v="2"/>
    <n v="4"/>
    <n v="1"/>
    <n v="3"/>
    <n v="0"/>
    <n v="2"/>
    <n v="1"/>
    <n v="0"/>
    <n v="4"/>
    <n v="0"/>
    <n v="2"/>
    <n v="4"/>
    <n v="3"/>
  </r>
  <r>
    <s v="558_guts.txt"/>
    <x v="209"/>
    <n v="3272"/>
    <n v="2004"/>
    <n v="3.87"/>
    <n v="14860"/>
    <n v="81"/>
    <n v="0.16"/>
    <n v="1"/>
    <n v="2"/>
    <n v="3"/>
    <n v="1"/>
    <n v="4"/>
    <n v="2"/>
    <n v="3"/>
    <n v="0"/>
    <n v="1"/>
    <n v="0"/>
    <n v="2"/>
    <n v="3"/>
    <n v="0"/>
    <n v="1"/>
    <n v="0"/>
    <n v="2"/>
  </r>
  <r>
    <s v="560_how_to_marry_a_werewolf.txt"/>
    <x v="210"/>
    <n v="47391"/>
    <n v="2018"/>
    <n v="4.1900000000000004"/>
    <n v="4865"/>
    <n v="81"/>
    <n v="0.16"/>
    <n v="3"/>
    <n v="4"/>
    <n v="4"/>
    <n v="2"/>
    <n v="3"/>
    <n v="1"/>
    <n v="3"/>
    <n v="2"/>
    <n v="1"/>
    <n v="4"/>
    <n v="1"/>
    <n v="2"/>
    <n v="2"/>
    <n v="3"/>
    <n v="4"/>
    <n v="4"/>
  </r>
  <r>
    <s v="562_walkabout.txt"/>
    <x v="211"/>
    <n v="27299"/>
    <n v="1959"/>
    <n v="3.48"/>
    <n v="2620"/>
    <n v="81"/>
    <n v="0.16"/>
    <n v="3"/>
    <n v="4"/>
    <n v="4"/>
    <n v="3"/>
    <n v="3"/>
    <n v="2"/>
    <n v="3"/>
    <n v="1"/>
    <n v="0"/>
    <n v="1"/>
    <n v="0"/>
    <n v="2"/>
    <n v="2"/>
    <n v="3"/>
    <n v="4"/>
    <n v="4"/>
  </r>
  <r>
    <s v="564_the_journals_of_eleanor_druse.txt"/>
    <x v="212"/>
    <n v="60486"/>
    <n v="2004"/>
    <n v="3.54"/>
    <n v="1524"/>
    <n v="80"/>
    <n v="0.15"/>
    <n v="3"/>
    <n v="4"/>
    <n v="4"/>
    <n v="3"/>
    <n v="4"/>
    <n v="2"/>
    <n v="4"/>
    <n v="0"/>
    <n v="4"/>
    <n v="1"/>
    <n v="2"/>
    <n v="3"/>
    <n v="1"/>
    <n v="3"/>
    <n v="4"/>
    <n v="4"/>
  </r>
  <r>
    <s v="565_lost_dorsai.txt"/>
    <x v="213"/>
    <n v="58111"/>
    <n v="1980"/>
    <n v="3.93"/>
    <n v="1478"/>
    <n v="80"/>
    <n v="0.15"/>
    <n v="3"/>
    <n v="2"/>
    <n v="3"/>
    <n v="2"/>
    <n v="3"/>
    <n v="3"/>
    <n v="2"/>
    <n v="0"/>
    <n v="1"/>
    <n v="0"/>
    <n v="0"/>
    <n v="1"/>
    <n v="1"/>
    <n v="2"/>
    <n v="1"/>
    <n v="3"/>
  </r>
  <r>
    <s v="566_swamp_angel.txt"/>
    <x v="214"/>
    <n v="60567"/>
    <n v="1990"/>
    <n v="3.62"/>
    <n v="1039"/>
    <n v="80"/>
    <n v="0.15"/>
    <n v="2"/>
    <n v="3"/>
    <n v="4"/>
    <n v="3"/>
    <n v="4"/>
    <n v="2"/>
    <n v="3"/>
    <n v="1"/>
    <n v="1"/>
    <n v="2"/>
    <n v="1"/>
    <n v="2"/>
    <n v="1"/>
    <n v="3"/>
    <n v="4"/>
    <n v="3"/>
  </r>
  <r>
    <s v="569_the_tragedy_of_the_korosko.txt"/>
    <x v="24"/>
    <n v="46492"/>
    <n v="1898"/>
    <n v="3.59"/>
    <n v="456"/>
    <n v="79"/>
    <n v="0.15"/>
    <n v="3"/>
    <n v="4"/>
    <n v="4"/>
    <n v="3"/>
    <n v="3"/>
    <n v="2"/>
    <n v="3"/>
    <n v="1"/>
    <n v="1"/>
    <n v="2"/>
    <n v="1"/>
    <n v="2"/>
    <n v="1"/>
    <n v="3"/>
    <n v="3"/>
    <n v="3"/>
  </r>
  <r>
    <s v="570_the_freeze-frame_revolution.txt"/>
    <x v="215"/>
    <n v="41037"/>
    <n v="2018"/>
    <n v="3.95"/>
    <n v="6384"/>
    <n v="79"/>
    <n v="0.15"/>
    <n v="2"/>
    <n v="3"/>
    <n v="4"/>
    <n v="2"/>
    <n v="4"/>
    <n v="1"/>
    <n v="3"/>
    <n v="0"/>
    <n v="2"/>
    <n v="0"/>
    <n v="1"/>
    <n v="3"/>
    <n v="1"/>
    <n v="2"/>
    <n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pivot_table" cacheId="4" applyNumberFormats="0" applyBorderFormats="0" applyFontFormats="0" applyPatternFormats="0" applyAlignmentFormats="0" applyWidthHeightFormats="0" dataCaption="" updatedVersion="8" compact="0" compactData="0">
  <location ref="A1:R219" firstHeaderRow="1" firstDataRow="2" firstDataCol="1"/>
  <pivotFields count="24">
    <pivotField name="filename" dataField="1" compact="0" outline="0" multipleItemSelectionAllowed="1" showAll="0"/>
    <pivotField name="author" axis="axisRow" compact="0" outline="0" multipleItemSelectionAllowed="1" showAll="0" sortType="ascending">
      <items count="217">
        <item x="93"/>
        <item x="167"/>
        <item x="26"/>
        <item x="74"/>
        <item x="103"/>
        <item x="139"/>
        <item x="117"/>
        <item x="94"/>
        <item x="89"/>
        <item x="7"/>
        <item x="79"/>
        <item x="77"/>
        <item x="189"/>
        <item x="24"/>
        <item x="21"/>
        <item x="83"/>
        <item x="146"/>
        <item x="105"/>
        <item x="36"/>
        <item x="208"/>
        <item x="27"/>
        <item x="196"/>
        <item x="97"/>
        <item x="3"/>
        <item x="69"/>
        <item x="82"/>
        <item x="56"/>
        <item x="200"/>
        <item x="191"/>
        <item x="209"/>
        <item x="76"/>
        <item x="65"/>
        <item x="153"/>
        <item x="132"/>
        <item x="199"/>
        <item x="186"/>
        <item x="114"/>
        <item x="85"/>
        <item x="185"/>
        <item x="109"/>
        <item x="134"/>
        <item x="6"/>
        <item x="57"/>
        <item x="163"/>
        <item x="51"/>
        <item x="111"/>
        <item x="129"/>
        <item x="161"/>
        <item x="46"/>
        <item x="147"/>
        <item x="15"/>
        <item x="212"/>
        <item x="12"/>
        <item x="104"/>
        <item x="187"/>
        <item x="190"/>
        <item x="0"/>
        <item x="214"/>
        <item x="73"/>
        <item x="80"/>
        <item x="88"/>
        <item x="120"/>
        <item x="210"/>
        <item x="148"/>
        <item x="1"/>
        <item x="184"/>
        <item x="203"/>
        <item x="213"/>
        <item x="58"/>
        <item x="91"/>
        <item x="10"/>
        <item x="150"/>
        <item x="40"/>
        <item x="152"/>
        <item x="47"/>
        <item x="176"/>
        <item x="19"/>
        <item x="11"/>
        <item x="44"/>
        <item x="205"/>
        <item x="135"/>
        <item x="204"/>
        <item x="70"/>
        <item x="145"/>
        <item x="61"/>
        <item x="62"/>
        <item x="23"/>
        <item x="98"/>
        <item x="35"/>
        <item x="67"/>
        <item x="107"/>
        <item x="60"/>
        <item x="9"/>
        <item x="131"/>
        <item x="31"/>
        <item x="78"/>
        <item x="14"/>
        <item x="50"/>
        <item x="194"/>
        <item x="72"/>
        <item x="75"/>
        <item x="211"/>
        <item x="180"/>
        <item x="96"/>
        <item x="159"/>
        <item x="138"/>
        <item x="122"/>
        <item x="55"/>
        <item x="115"/>
        <item x="110"/>
        <item x="156"/>
        <item x="178"/>
        <item x="99"/>
        <item x="49"/>
        <item x="160"/>
        <item x="106"/>
        <item x="2"/>
        <item x="95"/>
        <item x="5"/>
        <item x="142"/>
        <item x="143"/>
        <item x="84"/>
        <item x="13"/>
        <item x="54"/>
        <item x="188"/>
        <item x="137"/>
        <item x="179"/>
        <item x="102"/>
        <item x="39"/>
        <item x="193"/>
        <item x="144"/>
        <item x="118"/>
        <item x="201"/>
        <item x="206"/>
        <item x="45"/>
        <item x="37"/>
        <item x="192"/>
        <item x="130"/>
        <item x="168"/>
        <item x="169"/>
        <item x="133"/>
        <item x="25"/>
        <item x="171"/>
        <item x="177"/>
        <item x="162"/>
        <item x="52"/>
        <item x="22"/>
        <item x="157"/>
        <item x="59"/>
        <item x="81"/>
        <item x="32"/>
        <item x="30"/>
        <item x="181"/>
        <item x="172"/>
        <item x="174"/>
        <item x="195"/>
        <item x="158"/>
        <item x="101"/>
        <item x="151"/>
        <item x="215"/>
        <item x="136"/>
        <item x="123"/>
        <item x="155"/>
        <item x="173"/>
        <item x="20"/>
        <item x="90"/>
        <item x="175"/>
        <item x="182"/>
        <item x="86"/>
        <item x="4"/>
        <item x="29"/>
        <item x="149"/>
        <item x="34"/>
        <item x="197"/>
        <item x="202"/>
        <item x="48"/>
        <item x="33"/>
        <item x="119"/>
        <item x="116"/>
        <item x="53"/>
        <item x="63"/>
        <item x="92"/>
        <item x="16"/>
        <item x="164"/>
        <item x="112"/>
        <item x="166"/>
        <item x="108"/>
        <item x="38"/>
        <item x="121"/>
        <item x="18"/>
        <item x="68"/>
        <item x="42"/>
        <item x="140"/>
        <item x="126"/>
        <item x="141"/>
        <item x="113"/>
        <item x="28"/>
        <item x="41"/>
        <item x="154"/>
        <item x="127"/>
        <item x="87"/>
        <item x="8"/>
        <item x="66"/>
        <item x="165"/>
        <item x="198"/>
        <item x="125"/>
        <item x="124"/>
        <item x="43"/>
        <item x="100"/>
        <item x="170"/>
        <item x="207"/>
        <item x="64"/>
        <item x="71"/>
        <item x="17"/>
        <item x="128"/>
        <item x="183"/>
        <item t="default"/>
      </items>
    </pivotField>
    <pivotField name="word_count" compact="0" outline="0" multipleItemSelectionAllowed="1" showAll="0"/>
    <pivotField name="year" compact="0" outline="0" multipleItemSelectionAllowed="1" showAll="0"/>
    <pivotField name="avg_rating" compact="0" outline="0" multipleItemSelectionAllowed="1" showAll="0"/>
    <pivotField name="ratings_count" compact="0" outline="0" multipleItemSelectionAllowed="1" showAll="0"/>
    <pivotField name="score" compact="0" outline="0" multipleItemSelectionAllowed="1" showAll="0"/>
    <pivotField name="N_score" compact="0" outline="0" multipleItemSelectionAllowed="1" showAll="0"/>
    <pivotField name="Functional_Propp_Score" dataField="1" compact="0" outline="0" multipleItemSelectionAllowed="1" showAll="0"/>
    <pivotField name="Freytag_Score" dataField="1" compact="0" outline="0" multipleItemSelectionAllowed="1" showAll="0"/>
    <pivotField name="Three_part_Score" dataField="1" compact="0" outline="0" multipleItemSelectionAllowed="1" showAll="0"/>
    <pivotField name="Hero_Journey_Score" dataField="1" compact="0" outline="0" multipleItemSelectionAllowed="1" showAll="0"/>
    <pivotField name="Network_Dynamic_Score" dataField="1" compact="0" outline="0" multipleItemSelectionAllowed="1" showAll="0"/>
    <pivotField name="Linear_Score" dataField="1" compact="0" outline="0" multipleItemSelectionAllowed="1" showAll="0"/>
    <pivotField name="Biographical_Score" dataField="1" compact="0" outline="0" multipleItemSelectionAllowed="1" showAll="0"/>
    <pivotField name="Comedy_Score" dataField="1" compact="0" outline="0" multipleItemSelectionAllowed="1" showAll="0"/>
    <pivotField name="Mystery_Score" dataField="1" compact="0" outline="0" multipleItemSelectionAllowed="1" showAll="0"/>
    <pivotField name="Romance_Score" dataField="1" compact="0" outline="0" multipleItemSelectionAllowed="1" showAll="0"/>
    <pivotField name="Satire_Score" dataField="1" compact="0" outline="0" multipleItemSelectionAllowed="1" showAll="0"/>
    <pivotField name="Tragedy_Score" dataField="1" compact="0" outline="0" multipleItemSelectionAllowed="1" showAll="0"/>
    <pivotField name="Save_the_cat_Score" dataField="1" compact="0" outline="0" multipleItemSelectionAllowed="1" showAll="0"/>
    <pivotField name="Grail_hero_Score" dataField="1" compact="0" outline="0" multipleItemSelectionAllowed="1" showAll="0"/>
    <pivotField name="Heroine_Journey_Score" dataField="1" compact="0" outline="0" multipleItemSelectionAllowed="1" showAll="0"/>
    <pivotField name="Hero_Journey_Neutral_Score" dataField="1" compact="0" outline="0" multipleItemSelectionAllowed="1" showAll="0"/>
  </pivotFields>
  <rowFields count="1">
    <field x="1"/>
  </rowFields>
  <rowItems count="2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Количество по полю filename" fld="0" subtotal="count" baseField="0"/>
    <dataField name="Сумма по полю Functional_Propp_Score" fld="8" baseField="0"/>
    <dataField name="Сумма по полю Freytag_Score" fld="9" baseField="0"/>
    <dataField name="Сумма по полю Three_part_Score" fld="10" baseField="0"/>
    <dataField name="Сумма по полю Hero_Journey_Score" fld="11" baseField="0"/>
    <dataField name="Сумма по полю Network_Dynamic_Score" fld="12" baseField="0"/>
    <dataField name="Сумма по полю Linear_Score" fld="13" baseField="0"/>
    <dataField name="Сумма по полю Biographical_Score" fld="14" baseField="0"/>
    <dataField name="Сумма по полю Comedy_Score" fld="15" baseField="0"/>
    <dataField name="Сумма по полю Mystery_Score" fld="16" baseField="0"/>
    <dataField name="Сумма по полю Romance_Score" fld="17" baseField="0"/>
    <dataField name="Сумма по полю Satire_Score" fld="18" baseField="0"/>
    <dataField name="Сумма по полю Tragedy_Score" fld="19" baseField="0"/>
    <dataField name="Сумма по полю Save_the_cat_Score" fld="20" baseField="0"/>
    <dataField name="Сумма по полю Grail_hero_Score" fld="21" baseField="0"/>
    <dataField name="Сумма по полю Heroine_Journey_Score" fld="22" baseField="0"/>
    <dataField name="Сумма по полю Hero_Journey_Neutral_Score" fld="2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96"/>
  <sheetViews>
    <sheetView tabSelected="1" topLeftCell="E1" workbookViewId="0">
      <pane ySplit="3" topLeftCell="A4" activePane="bottomLeft" state="frozen"/>
      <selection pane="bottomLeft" activeCell="B101" sqref="B101"/>
    </sheetView>
  </sheetViews>
  <sheetFormatPr baseColWidth="10" defaultColWidth="14.5" defaultRowHeight="15" customHeight="1" x14ac:dyDescent="0.2"/>
  <cols>
    <col min="1" max="5" width="2.6640625" customWidth="1"/>
    <col min="6" max="6" width="15.6640625" customWidth="1"/>
    <col min="7" max="7" width="16.5" customWidth="1"/>
    <col min="8" max="8" width="13.5" customWidth="1"/>
    <col min="9" max="12" width="10.6640625" customWidth="1"/>
    <col min="13" max="13" width="11.83203125" customWidth="1"/>
    <col min="14" max="14" width="7" customWidth="1"/>
    <col min="15" max="15" width="7.5" customWidth="1"/>
    <col min="16" max="16" width="6.5" customWidth="1"/>
    <col min="17" max="17" width="6.83203125" customWidth="1"/>
    <col min="18" max="18" width="5.6640625" customWidth="1"/>
    <col min="19" max="19" width="7.1640625" customWidth="1"/>
    <col min="20" max="20" width="15.1640625" customWidth="1"/>
    <col min="21" max="21" width="8.5" customWidth="1"/>
    <col min="22" max="22" width="9.1640625" customWidth="1"/>
    <col min="23" max="23" width="8.33203125" customWidth="1"/>
    <col min="24" max="24" width="7.5" customWidth="1"/>
    <col min="25" max="25" width="9.1640625" customWidth="1"/>
    <col min="26" max="26" width="7.5" customWidth="1"/>
    <col min="27" max="27" width="5.5" customWidth="1"/>
    <col min="28" max="28" width="5.83203125" customWidth="1"/>
    <col min="29" max="29" width="6.5" customWidth="1"/>
    <col min="30" max="30" width="7.5" customWidth="1"/>
    <col min="31" max="31" width="9.5" customWidth="1"/>
    <col min="32" max="32" width="5.6640625" customWidth="1"/>
    <col min="33" max="33" width="6.83203125" customWidth="1"/>
    <col min="34" max="34" width="12" customWidth="1"/>
    <col min="35" max="39" width="10.6640625" customWidth="1"/>
    <col min="40" max="45" width="6.5" customWidth="1"/>
    <col min="46" max="49" width="10.6640625" customWidth="1"/>
    <col min="50" max="50" width="5" customWidth="1"/>
    <col min="51" max="51" width="6.5" customWidth="1"/>
    <col min="52" max="52" width="7.5" customWidth="1"/>
    <col min="53" max="53" width="5.33203125" customWidth="1"/>
    <col min="54" max="54" width="6.83203125" customWidth="1"/>
    <col min="55" max="57" width="7.33203125" customWidth="1"/>
    <col min="58" max="68" width="10.6640625" customWidth="1"/>
  </cols>
  <sheetData>
    <row r="1" spans="1:59" x14ac:dyDescent="0.2">
      <c r="A1" s="89" t="s">
        <v>270</v>
      </c>
      <c r="B1" s="89"/>
      <c r="C1" s="89"/>
      <c r="D1" s="89"/>
      <c r="E1" s="89"/>
    </row>
    <row r="2" spans="1:59" ht="20" x14ac:dyDescent="0.25">
      <c r="A2" s="89"/>
      <c r="B2" s="89"/>
      <c r="C2" s="89"/>
      <c r="D2" s="89"/>
      <c r="E2" s="89"/>
      <c r="F2" s="315" t="s">
        <v>271</v>
      </c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4"/>
      <c r="U2" s="316" t="s">
        <v>272</v>
      </c>
      <c r="V2" s="305"/>
      <c r="W2" s="305"/>
      <c r="X2" s="305"/>
      <c r="Y2" s="305"/>
      <c r="Z2" s="305"/>
      <c r="AA2" s="305"/>
      <c r="AB2" s="305"/>
      <c r="AC2" s="305"/>
      <c r="AD2" s="305"/>
      <c r="AE2" s="306"/>
      <c r="AF2" s="171"/>
      <c r="AH2" s="316" t="s">
        <v>273</v>
      </c>
      <c r="AI2" s="305"/>
      <c r="AJ2" s="305"/>
      <c r="AK2" s="305"/>
      <c r="AL2" s="305"/>
      <c r="AM2" s="305"/>
      <c r="AN2" s="305"/>
      <c r="AO2" s="305"/>
      <c r="AP2" s="305"/>
      <c r="AQ2" s="305"/>
      <c r="AR2" s="305"/>
      <c r="AS2" s="306"/>
      <c r="AT2" s="171"/>
      <c r="AV2" s="316" t="s">
        <v>274</v>
      </c>
      <c r="AW2" s="305"/>
      <c r="AX2" s="305"/>
      <c r="AY2" s="305"/>
      <c r="AZ2" s="305"/>
      <c r="BA2" s="305"/>
      <c r="BB2" s="305"/>
      <c r="BC2" s="305"/>
      <c r="BD2" s="305"/>
      <c r="BE2" s="305"/>
      <c r="BF2" s="306"/>
      <c r="BG2" s="171"/>
    </row>
    <row r="3" spans="1:59" ht="80" x14ac:dyDescent="0.2">
      <c r="A3" s="89"/>
      <c r="B3" s="89"/>
      <c r="C3" s="89"/>
      <c r="D3" s="89"/>
      <c r="E3" s="89"/>
      <c r="F3" s="172"/>
      <c r="G3" s="173" t="s">
        <v>0</v>
      </c>
      <c r="H3" s="174" t="s">
        <v>97</v>
      </c>
      <c r="I3" s="174" t="s">
        <v>98</v>
      </c>
      <c r="J3" s="174" t="s">
        <v>99</v>
      </c>
      <c r="K3" s="174" t="s">
        <v>100</v>
      </c>
      <c r="L3" s="174" t="s">
        <v>101</v>
      </c>
      <c r="M3" s="174" t="s">
        <v>132</v>
      </c>
      <c r="N3" s="175" t="s">
        <v>153</v>
      </c>
      <c r="O3" s="176" t="s">
        <v>154</v>
      </c>
      <c r="P3" s="177" t="s">
        <v>155</v>
      </c>
      <c r="Q3" s="177" t="s">
        <v>171</v>
      </c>
      <c r="R3" s="175" t="s">
        <v>163</v>
      </c>
      <c r="S3" s="178" t="s">
        <v>275</v>
      </c>
      <c r="U3" s="151" t="s">
        <v>76</v>
      </c>
      <c r="V3" s="159" t="s">
        <v>77</v>
      </c>
      <c r="W3" s="159" t="s">
        <v>78</v>
      </c>
      <c r="X3" s="159" t="s">
        <v>79</v>
      </c>
      <c r="Y3" s="159" t="s">
        <v>80</v>
      </c>
      <c r="Z3" s="177"/>
      <c r="AA3" s="177" t="s">
        <v>139</v>
      </c>
      <c r="AB3" s="177" t="s">
        <v>140</v>
      </c>
      <c r="AC3" s="177" t="s">
        <v>155</v>
      </c>
      <c r="AD3" s="177" t="s">
        <v>141</v>
      </c>
      <c r="AE3" s="178" t="s">
        <v>276</v>
      </c>
      <c r="AF3" s="6"/>
      <c r="AH3" s="179" t="s">
        <v>129</v>
      </c>
      <c r="AI3" s="180" t="s">
        <v>131</v>
      </c>
      <c r="AJ3" s="181" t="s">
        <v>128</v>
      </c>
      <c r="AK3" s="181" t="s">
        <v>127</v>
      </c>
      <c r="AL3" s="181" t="s">
        <v>130</v>
      </c>
      <c r="AM3" s="175"/>
      <c r="AN3" s="175" t="s">
        <v>139</v>
      </c>
      <c r="AO3" s="175" t="s">
        <v>140</v>
      </c>
      <c r="AP3" s="175" t="s">
        <v>149</v>
      </c>
      <c r="AQ3" s="175"/>
      <c r="AR3" s="175" t="s">
        <v>160</v>
      </c>
      <c r="AS3" s="178" t="s">
        <v>161</v>
      </c>
      <c r="AT3" s="75"/>
      <c r="AV3" s="182" t="s">
        <v>144</v>
      </c>
      <c r="AW3" s="91" t="s">
        <v>145</v>
      </c>
      <c r="AX3" s="92" t="s">
        <v>146</v>
      </c>
      <c r="AY3" s="92" t="s">
        <v>147</v>
      </c>
      <c r="AZ3" s="92" t="s">
        <v>277</v>
      </c>
      <c r="BB3" s="6" t="s">
        <v>139</v>
      </c>
      <c r="BC3" s="6" t="s">
        <v>140</v>
      </c>
      <c r="BD3" s="6" t="s">
        <v>149</v>
      </c>
      <c r="BE3" s="6" t="s">
        <v>141</v>
      </c>
      <c r="BF3" s="183" t="s">
        <v>150</v>
      </c>
    </row>
    <row r="4" spans="1:59" x14ac:dyDescent="0.2">
      <c r="A4" s="89"/>
      <c r="B4" s="89"/>
      <c r="C4" s="89"/>
      <c r="D4" s="89"/>
      <c r="E4" s="89"/>
      <c r="F4" s="317" t="s">
        <v>8</v>
      </c>
      <c r="G4" s="51" t="s">
        <v>117</v>
      </c>
      <c r="H4" s="7">
        <v>2</v>
      </c>
      <c r="I4" s="7">
        <v>2</v>
      </c>
      <c r="J4" s="7">
        <v>2</v>
      </c>
      <c r="K4" s="148">
        <v>4</v>
      </c>
      <c r="L4" s="148">
        <v>4</v>
      </c>
      <c r="M4" s="6">
        <f t="shared" ref="M4:M38" si="0">AVERAGE(H4:L4)</f>
        <v>2.8</v>
      </c>
      <c r="N4" s="6">
        <f t="shared" ref="N4:N38" si="1">MAX(H4:L4)</f>
        <v>4</v>
      </c>
      <c r="O4" s="6">
        <f t="shared" ref="O4:O38" si="2">LARGE(H4:L4, 2)</f>
        <v>4</v>
      </c>
      <c r="P4" s="6">
        <f t="shared" ref="P4:P38" si="3">LARGE(H4:L4, 3)</f>
        <v>2</v>
      </c>
      <c r="Q4" s="6">
        <f t="shared" ref="Q4:Q38" si="4">LARGE(H4:L4, 4)</f>
        <v>2</v>
      </c>
      <c r="R4" s="6">
        <f t="shared" ref="R4:R38" si="5">SUM(H4:L4)</f>
        <v>14</v>
      </c>
      <c r="S4" s="67">
        <f t="shared" ref="S4:S38" si="6">(H4/R4)^2 + (I4/R4)^2 + (J4/R4)^2 + (K4/R4)^2 + (L4/R4)^2</f>
        <v>0.22448979591836732</v>
      </c>
      <c r="U4" s="185">
        <v>0</v>
      </c>
      <c r="V4" s="110">
        <v>1</v>
      </c>
      <c r="W4" s="110">
        <v>0</v>
      </c>
      <c r="X4" s="110">
        <v>2</v>
      </c>
      <c r="Y4" s="110">
        <v>4</v>
      </c>
      <c r="AA4" s="6">
        <f t="shared" ref="AA4:AA38" si="7">MAX(U4:Y4)</f>
        <v>4</v>
      </c>
      <c r="AB4" s="6">
        <f t="shared" ref="AB4:AB38" si="8">LARGE(U4:Y4, 2)</f>
        <v>2</v>
      </c>
      <c r="AC4" s="6">
        <f t="shared" ref="AC4:AC38" si="9">LARGE(U4:Y4, 3)</f>
        <v>1</v>
      </c>
      <c r="AD4" s="6">
        <f t="shared" ref="AD4:AD38" si="10">SUM(U4:Y4)</f>
        <v>7</v>
      </c>
      <c r="AE4" s="67">
        <f t="shared" ref="AE4:AE38" si="11">IF(AD4=0,0, (U4/AD4)^2 + (V4/AD4)^2 + (W4/AD4)^2 + (X4/AD4)^2 + (Y4/AD4)^2)</f>
        <v>0.42857142857142855</v>
      </c>
      <c r="AH4" s="186">
        <v>1</v>
      </c>
      <c r="AI4" s="80">
        <v>1</v>
      </c>
      <c r="AJ4" s="80">
        <v>2</v>
      </c>
      <c r="AK4" s="80">
        <v>4</v>
      </c>
      <c r="AL4" s="80">
        <v>4</v>
      </c>
      <c r="AN4" s="62">
        <f t="shared" ref="AN4:AN38" si="12">MAX(AH4:AL4)</f>
        <v>4</v>
      </c>
      <c r="AO4" s="62">
        <f t="shared" ref="AO4:AO38" si="13">LARGE(AH4:AL4, 2)</f>
        <v>4</v>
      </c>
      <c r="AP4" s="6">
        <f t="shared" ref="AP4:AP38" si="14">LARGE(AH4:AL4, 3)</f>
        <v>2</v>
      </c>
      <c r="AR4" s="6">
        <f t="shared" ref="AR4:AR38" si="15">SUM(AH4:AL4)</f>
        <v>12</v>
      </c>
      <c r="AS4" s="67">
        <f t="shared" ref="AS4:AS38" si="16">IF(AR4=0,0, (AH4/AR4)^2 + (AI4/AR4)^2 + (AJ4/AR4)^2 + (AK4/AR4)^2 + (AL4/AR4)^2)</f>
        <v>0.26388888888888884</v>
      </c>
      <c r="AV4" s="186">
        <v>1</v>
      </c>
      <c r="AW4" s="80">
        <v>1</v>
      </c>
      <c r="AX4" s="80">
        <v>1</v>
      </c>
      <c r="AY4" s="80">
        <v>4</v>
      </c>
      <c r="AZ4" s="95">
        <v>2</v>
      </c>
      <c r="BB4" s="6">
        <f t="shared" ref="BB4:BB38" si="17">MAX(AV4:AZ4)</f>
        <v>4</v>
      </c>
      <c r="BC4" s="6">
        <f t="shared" ref="BC4:BC38" si="18">LARGE(AV4:AZ4, 2)</f>
        <v>2</v>
      </c>
      <c r="BD4" s="6">
        <f t="shared" ref="BD4:BD38" si="19">LARGE(AV4:AZ4, 3)</f>
        <v>1</v>
      </c>
      <c r="BE4" s="6">
        <f t="shared" ref="BE4:BE38" si="20">SUM(AV4:AZ4)</f>
        <v>9</v>
      </c>
      <c r="BF4" s="67">
        <f t="shared" ref="BF4:BF38" si="21">IF(BE4=0,0, (AV4/BE4)^2 + (AW4/BE4)^2 + (AX4/BE4)^2 + (AY4/BE4)^2 + (AZ4/BE4)^2)</f>
        <v>0.2839506172839506</v>
      </c>
    </row>
    <row r="5" spans="1:59" x14ac:dyDescent="0.2">
      <c r="A5" s="89"/>
      <c r="B5" s="89"/>
      <c r="C5" s="89"/>
      <c r="D5" s="89"/>
      <c r="E5" s="89"/>
      <c r="F5" s="318"/>
      <c r="G5" s="51" t="s">
        <v>118</v>
      </c>
      <c r="H5" s="148">
        <v>3</v>
      </c>
      <c r="I5" s="7">
        <v>2</v>
      </c>
      <c r="J5" s="7">
        <v>2</v>
      </c>
      <c r="K5" s="148">
        <v>3</v>
      </c>
      <c r="L5" s="148">
        <v>4</v>
      </c>
      <c r="M5" s="6">
        <f t="shared" si="0"/>
        <v>2.8</v>
      </c>
      <c r="N5" s="6">
        <f t="shared" si="1"/>
        <v>4</v>
      </c>
      <c r="O5" s="6">
        <f t="shared" si="2"/>
        <v>3</v>
      </c>
      <c r="P5" s="6">
        <f t="shared" si="3"/>
        <v>3</v>
      </c>
      <c r="Q5" s="6">
        <f t="shared" si="4"/>
        <v>2</v>
      </c>
      <c r="R5" s="6">
        <f t="shared" si="5"/>
        <v>14</v>
      </c>
      <c r="S5" s="67">
        <f t="shared" si="6"/>
        <v>0.21428571428571425</v>
      </c>
      <c r="U5" s="185">
        <v>0</v>
      </c>
      <c r="V5" s="110">
        <v>2</v>
      </c>
      <c r="W5" s="110">
        <v>3</v>
      </c>
      <c r="X5" s="110">
        <v>2</v>
      </c>
      <c r="Y5" s="110">
        <v>4</v>
      </c>
      <c r="AA5" s="6">
        <f t="shared" si="7"/>
        <v>4</v>
      </c>
      <c r="AB5" s="6">
        <f t="shared" si="8"/>
        <v>3</v>
      </c>
      <c r="AC5" s="6">
        <f t="shared" si="9"/>
        <v>2</v>
      </c>
      <c r="AD5" s="6">
        <f t="shared" si="10"/>
        <v>11</v>
      </c>
      <c r="AE5" s="67">
        <f t="shared" si="11"/>
        <v>0.27272727272727271</v>
      </c>
      <c r="AH5" s="186">
        <v>2</v>
      </c>
      <c r="AI5" s="80">
        <v>4</v>
      </c>
      <c r="AJ5" s="80">
        <v>2</v>
      </c>
      <c r="AK5" s="80">
        <v>4</v>
      </c>
      <c r="AL5" s="80">
        <v>4</v>
      </c>
      <c r="AN5" s="62">
        <f t="shared" si="12"/>
        <v>4</v>
      </c>
      <c r="AO5" s="62">
        <f t="shared" si="13"/>
        <v>4</v>
      </c>
      <c r="AP5" s="6">
        <f t="shared" si="14"/>
        <v>4</v>
      </c>
      <c r="AR5" s="6">
        <f t="shared" si="15"/>
        <v>16</v>
      </c>
      <c r="AS5" s="67">
        <f t="shared" si="16"/>
        <v>0.21875</v>
      </c>
      <c r="AV5" s="187">
        <v>2</v>
      </c>
      <c r="AW5" s="88">
        <v>2</v>
      </c>
      <c r="AX5" s="88">
        <v>1</v>
      </c>
      <c r="AY5" s="88">
        <v>4</v>
      </c>
      <c r="AZ5" s="95">
        <v>2</v>
      </c>
      <c r="BB5" s="6">
        <f t="shared" si="17"/>
        <v>4</v>
      </c>
      <c r="BC5" s="6">
        <f t="shared" si="18"/>
        <v>2</v>
      </c>
      <c r="BD5" s="6">
        <f t="shared" si="19"/>
        <v>2</v>
      </c>
      <c r="BE5" s="6">
        <f t="shared" si="20"/>
        <v>11</v>
      </c>
      <c r="BF5" s="67">
        <f t="shared" si="21"/>
        <v>0.23966942148760331</v>
      </c>
    </row>
    <row r="6" spans="1:59" x14ac:dyDescent="0.2">
      <c r="A6" s="89"/>
      <c r="B6" s="89"/>
      <c r="C6" s="89"/>
      <c r="D6" s="89"/>
      <c r="E6" s="89"/>
      <c r="F6" s="318"/>
      <c r="G6" s="101" t="s">
        <v>9</v>
      </c>
      <c r="H6" s="148">
        <v>3</v>
      </c>
      <c r="I6" s="7">
        <v>2</v>
      </c>
      <c r="J6" s="148">
        <v>4</v>
      </c>
      <c r="K6" s="7">
        <v>2</v>
      </c>
      <c r="L6" s="148">
        <v>4</v>
      </c>
      <c r="M6" s="6">
        <f t="shared" si="0"/>
        <v>3</v>
      </c>
      <c r="N6" s="6">
        <f t="shared" si="1"/>
        <v>4</v>
      </c>
      <c r="O6" s="6">
        <f t="shared" si="2"/>
        <v>4</v>
      </c>
      <c r="P6" s="6">
        <f t="shared" si="3"/>
        <v>3</v>
      </c>
      <c r="Q6" s="6">
        <f t="shared" si="4"/>
        <v>2</v>
      </c>
      <c r="R6" s="6">
        <f t="shared" si="5"/>
        <v>15</v>
      </c>
      <c r="S6" s="67">
        <f t="shared" si="6"/>
        <v>0.21777777777777779</v>
      </c>
      <c r="U6" s="188">
        <v>0</v>
      </c>
      <c r="V6" s="9">
        <v>0</v>
      </c>
      <c r="W6" s="9">
        <v>0</v>
      </c>
      <c r="X6" s="9">
        <v>0</v>
      </c>
      <c r="Y6" s="9">
        <v>2</v>
      </c>
      <c r="AA6" s="6">
        <f t="shared" si="7"/>
        <v>2</v>
      </c>
      <c r="AB6" s="6">
        <f t="shared" si="8"/>
        <v>0</v>
      </c>
      <c r="AC6" s="6">
        <f t="shared" si="9"/>
        <v>0</v>
      </c>
      <c r="AD6" s="6">
        <f t="shared" si="10"/>
        <v>2</v>
      </c>
      <c r="AE6" s="67">
        <f t="shared" si="11"/>
        <v>1</v>
      </c>
      <c r="AH6" s="186">
        <v>1</v>
      </c>
      <c r="AI6" s="80">
        <v>0</v>
      </c>
      <c r="AJ6" s="80">
        <v>4</v>
      </c>
      <c r="AK6" s="80">
        <v>0</v>
      </c>
      <c r="AL6" s="80">
        <v>4</v>
      </c>
      <c r="AN6" s="62">
        <f t="shared" si="12"/>
        <v>4</v>
      </c>
      <c r="AO6" s="62">
        <f t="shared" si="13"/>
        <v>4</v>
      </c>
      <c r="AP6" s="6">
        <f t="shared" si="14"/>
        <v>1</v>
      </c>
      <c r="AR6" s="6">
        <f t="shared" si="15"/>
        <v>9</v>
      </c>
      <c r="AS6" s="67">
        <f t="shared" si="16"/>
        <v>0.40740740740740738</v>
      </c>
      <c r="AV6" s="189">
        <v>1</v>
      </c>
      <c r="AW6" s="95">
        <v>1</v>
      </c>
      <c r="AX6" s="95">
        <v>2</v>
      </c>
      <c r="AY6" s="95">
        <v>1</v>
      </c>
      <c r="AZ6" s="95">
        <v>3</v>
      </c>
      <c r="BB6" s="6">
        <f t="shared" si="17"/>
        <v>3</v>
      </c>
      <c r="BC6" s="6">
        <f t="shared" si="18"/>
        <v>2</v>
      </c>
      <c r="BD6" s="6">
        <f t="shared" si="19"/>
        <v>1</v>
      </c>
      <c r="BE6" s="6">
        <f t="shared" si="20"/>
        <v>8</v>
      </c>
      <c r="BF6" s="67">
        <f t="shared" si="21"/>
        <v>0.25</v>
      </c>
    </row>
    <row r="7" spans="1:59" x14ac:dyDescent="0.2">
      <c r="A7" s="89"/>
      <c r="B7" s="89"/>
      <c r="C7" s="89"/>
      <c r="D7" s="89"/>
      <c r="E7" s="89"/>
      <c r="F7" s="318"/>
      <c r="G7" s="101" t="s">
        <v>11</v>
      </c>
      <c r="H7" s="148">
        <v>4</v>
      </c>
      <c r="I7" s="148">
        <v>3</v>
      </c>
      <c r="J7" s="148">
        <v>3</v>
      </c>
      <c r="K7" s="148">
        <v>4</v>
      </c>
      <c r="L7" s="148">
        <v>4</v>
      </c>
      <c r="M7" s="6">
        <f t="shared" si="0"/>
        <v>3.6</v>
      </c>
      <c r="N7" s="6">
        <f t="shared" si="1"/>
        <v>4</v>
      </c>
      <c r="O7" s="6">
        <f t="shared" si="2"/>
        <v>4</v>
      </c>
      <c r="P7" s="6">
        <f t="shared" si="3"/>
        <v>4</v>
      </c>
      <c r="Q7" s="6">
        <f t="shared" si="4"/>
        <v>3</v>
      </c>
      <c r="R7" s="6">
        <f t="shared" si="5"/>
        <v>18</v>
      </c>
      <c r="S7" s="67">
        <f t="shared" si="6"/>
        <v>0.20370370370370369</v>
      </c>
      <c r="U7" s="188">
        <v>0</v>
      </c>
      <c r="V7" s="9">
        <v>1</v>
      </c>
      <c r="W7" s="9">
        <v>0</v>
      </c>
      <c r="X7" s="9">
        <v>4</v>
      </c>
      <c r="Y7" s="9">
        <v>3</v>
      </c>
      <c r="AA7" s="6">
        <f t="shared" si="7"/>
        <v>4</v>
      </c>
      <c r="AB7" s="6">
        <f t="shared" si="8"/>
        <v>3</v>
      </c>
      <c r="AC7" s="6">
        <f t="shared" si="9"/>
        <v>1</v>
      </c>
      <c r="AD7" s="6">
        <f t="shared" si="10"/>
        <v>8</v>
      </c>
      <c r="AE7" s="67">
        <f t="shared" si="11"/>
        <v>0.40625</v>
      </c>
      <c r="AH7" s="186">
        <v>2</v>
      </c>
      <c r="AI7" s="80">
        <v>0</v>
      </c>
      <c r="AJ7" s="80">
        <v>2</v>
      </c>
      <c r="AK7" s="80">
        <v>4</v>
      </c>
      <c r="AL7" s="80">
        <v>4</v>
      </c>
      <c r="AN7" s="62">
        <f t="shared" si="12"/>
        <v>4</v>
      </c>
      <c r="AO7" s="62">
        <f t="shared" si="13"/>
        <v>4</v>
      </c>
      <c r="AP7" s="6">
        <f t="shared" si="14"/>
        <v>2</v>
      </c>
      <c r="AR7" s="6">
        <f t="shared" si="15"/>
        <v>12</v>
      </c>
      <c r="AS7" s="67">
        <f t="shared" si="16"/>
        <v>0.27777777777777779</v>
      </c>
      <c r="AV7" s="189">
        <v>2</v>
      </c>
      <c r="AW7" s="95">
        <v>1</v>
      </c>
      <c r="AX7" s="95">
        <v>2</v>
      </c>
      <c r="AY7" s="95">
        <v>4</v>
      </c>
      <c r="AZ7" s="95">
        <v>2</v>
      </c>
      <c r="BB7" s="6">
        <f t="shared" si="17"/>
        <v>4</v>
      </c>
      <c r="BC7" s="6">
        <f t="shared" si="18"/>
        <v>2</v>
      </c>
      <c r="BD7" s="6">
        <f t="shared" si="19"/>
        <v>2</v>
      </c>
      <c r="BE7" s="6">
        <f t="shared" si="20"/>
        <v>11</v>
      </c>
      <c r="BF7" s="67">
        <f t="shared" si="21"/>
        <v>0.23966942148760331</v>
      </c>
    </row>
    <row r="8" spans="1:59" x14ac:dyDescent="0.2">
      <c r="A8" s="89"/>
      <c r="B8" s="89"/>
      <c r="C8" s="89"/>
      <c r="D8" s="89"/>
      <c r="E8" s="89"/>
      <c r="F8" s="318"/>
      <c r="G8" s="101" t="s">
        <v>13</v>
      </c>
      <c r="H8" s="148">
        <v>3</v>
      </c>
      <c r="I8" s="148">
        <v>4</v>
      </c>
      <c r="J8" s="7">
        <v>2</v>
      </c>
      <c r="K8" s="148">
        <v>4</v>
      </c>
      <c r="L8" s="148">
        <v>4</v>
      </c>
      <c r="M8" s="6">
        <f t="shared" si="0"/>
        <v>3.4</v>
      </c>
      <c r="N8" s="6">
        <f t="shared" si="1"/>
        <v>4</v>
      </c>
      <c r="O8" s="6">
        <f t="shared" si="2"/>
        <v>4</v>
      </c>
      <c r="P8" s="6">
        <f t="shared" si="3"/>
        <v>4</v>
      </c>
      <c r="Q8" s="6">
        <f t="shared" si="4"/>
        <v>3</v>
      </c>
      <c r="R8" s="6">
        <f t="shared" si="5"/>
        <v>17</v>
      </c>
      <c r="S8" s="67">
        <f t="shared" si="6"/>
        <v>0.21107266435986161</v>
      </c>
      <c r="U8" s="188">
        <v>0</v>
      </c>
      <c r="V8" s="9">
        <v>2</v>
      </c>
      <c r="W8" s="9">
        <v>1</v>
      </c>
      <c r="X8" s="9">
        <v>3</v>
      </c>
      <c r="Y8" s="9">
        <v>4</v>
      </c>
      <c r="AA8" s="6">
        <f t="shared" si="7"/>
        <v>4</v>
      </c>
      <c r="AB8" s="6">
        <f t="shared" si="8"/>
        <v>3</v>
      </c>
      <c r="AC8" s="6">
        <f t="shared" si="9"/>
        <v>2</v>
      </c>
      <c r="AD8" s="6">
        <f t="shared" si="10"/>
        <v>10</v>
      </c>
      <c r="AE8" s="67">
        <f t="shared" si="11"/>
        <v>0.30000000000000004</v>
      </c>
      <c r="AH8" s="186">
        <v>4</v>
      </c>
      <c r="AI8" s="80">
        <v>1</v>
      </c>
      <c r="AJ8" s="80">
        <v>3</v>
      </c>
      <c r="AK8" s="80">
        <v>0</v>
      </c>
      <c r="AL8" s="80">
        <v>4</v>
      </c>
      <c r="AN8" s="62">
        <f t="shared" si="12"/>
        <v>4</v>
      </c>
      <c r="AO8" s="62">
        <f t="shared" si="13"/>
        <v>4</v>
      </c>
      <c r="AP8" s="6">
        <f t="shared" si="14"/>
        <v>3</v>
      </c>
      <c r="AR8" s="6">
        <f t="shared" si="15"/>
        <v>12</v>
      </c>
      <c r="AS8" s="67">
        <f t="shared" si="16"/>
        <v>0.29166666666666663</v>
      </c>
      <c r="AV8" s="189">
        <v>3</v>
      </c>
      <c r="AW8" s="95">
        <v>1</v>
      </c>
      <c r="AX8" s="95">
        <v>1</v>
      </c>
      <c r="AY8" s="95">
        <v>4</v>
      </c>
      <c r="AZ8" s="95">
        <v>3</v>
      </c>
      <c r="BB8" s="6">
        <f t="shared" si="17"/>
        <v>4</v>
      </c>
      <c r="BC8" s="6">
        <f t="shared" si="18"/>
        <v>3</v>
      </c>
      <c r="BD8" s="6">
        <f t="shared" si="19"/>
        <v>3</v>
      </c>
      <c r="BE8" s="6">
        <f t="shared" si="20"/>
        <v>12</v>
      </c>
      <c r="BF8" s="67">
        <f t="shared" si="21"/>
        <v>0.25</v>
      </c>
    </row>
    <row r="9" spans="1:59" x14ac:dyDescent="0.2">
      <c r="A9" s="89"/>
      <c r="B9" s="89"/>
      <c r="C9" s="89"/>
      <c r="D9" s="89"/>
      <c r="E9" s="89"/>
      <c r="F9" s="318"/>
      <c r="G9" s="101" t="s">
        <v>15</v>
      </c>
      <c r="H9" s="148">
        <v>4</v>
      </c>
      <c r="I9" s="148">
        <v>3</v>
      </c>
      <c r="J9" s="148">
        <v>3</v>
      </c>
      <c r="K9" s="148">
        <v>4</v>
      </c>
      <c r="L9" s="148">
        <v>4</v>
      </c>
      <c r="M9" s="6">
        <f t="shared" si="0"/>
        <v>3.6</v>
      </c>
      <c r="N9" s="6">
        <f t="shared" si="1"/>
        <v>4</v>
      </c>
      <c r="O9" s="6">
        <f t="shared" si="2"/>
        <v>4</v>
      </c>
      <c r="P9" s="6">
        <f t="shared" si="3"/>
        <v>4</v>
      </c>
      <c r="Q9" s="6">
        <f t="shared" si="4"/>
        <v>3</v>
      </c>
      <c r="R9" s="6">
        <f t="shared" si="5"/>
        <v>18</v>
      </c>
      <c r="S9" s="67">
        <f t="shared" si="6"/>
        <v>0.20370370370370369</v>
      </c>
      <c r="U9" s="188">
        <v>1</v>
      </c>
      <c r="V9" s="9">
        <v>2</v>
      </c>
      <c r="W9" s="9">
        <v>0</v>
      </c>
      <c r="X9" s="9">
        <v>3</v>
      </c>
      <c r="Y9" s="9">
        <v>4</v>
      </c>
      <c r="AA9" s="6">
        <f t="shared" si="7"/>
        <v>4</v>
      </c>
      <c r="AB9" s="6">
        <f t="shared" si="8"/>
        <v>3</v>
      </c>
      <c r="AC9" s="6">
        <f t="shared" si="9"/>
        <v>2</v>
      </c>
      <c r="AD9" s="6">
        <f t="shared" si="10"/>
        <v>10</v>
      </c>
      <c r="AE9" s="67">
        <f t="shared" si="11"/>
        <v>0.30000000000000004</v>
      </c>
      <c r="AH9" s="186">
        <v>4</v>
      </c>
      <c r="AI9" s="80">
        <v>1</v>
      </c>
      <c r="AJ9" s="80">
        <v>3</v>
      </c>
      <c r="AK9" s="80">
        <v>3</v>
      </c>
      <c r="AL9" s="80">
        <v>4</v>
      </c>
      <c r="AN9" s="62">
        <f t="shared" si="12"/>
        <v>4</v>
      </c>
      <c r="AO9" s="62">
        <f t="shared" si="13"/>
        <v>4</v>
      </c>
      <c r="AP9" s="6">
        <f t="shared" si="14"/>
        <v>3</v>
      </c>
      <c r="AR9" s="6">
        <f t="shared" si="15"/>
        <v>15</v>
      </c>
      <c r="AS9" s="67">
        <f t="shared" si="16"/>
        <v>0.22666666666666668</v>
      </c>
      <c r="AV9" s="189">
        <v>2</v>
      </c>
      <c r="AW9" s="95">
        <v>1</v>
      </c>
      <c r="AX9" s="95">
        <v>1</v>
      </c>
      <c r="AY9" s="95">
        <v>4</v>
      </c>
      <c r="AZ9" s="95">
        <v>2</v>
      </c>
      <c r="BB9" s="6">
        <f t="shared" si="17"/>
        <v>4</v>
      </c>
      <c r="BC9" s="6">
        <f t="shared" si="18"/>
        <v>2</v>
      </c>
      <c r="BD9" s="6">
        <f t="shared" si="19"/>
        <v>2</v>
      </c>
      <c r="BE9" s="6">
        <f t="shared" si="20"/>
        <v>10</v>
      </c>
      <c r="BF9" s="67">
        <f t="shared" si="21"/>
        <v>0.26</v>
      </c>
    </row>
    <row r="10" spans="1:59" x14ac:dyDescent="0.2">
      <c r="A10" s="89"/>
      <c r="B10" s="89"/>
      <c r="C10" s="89"/>
      <c r="D10" s="89"/>
      <c r="E10" s="89"/>
      <c r="F10" s="318"/>
      <c r="G10" s="101" t="s">
        <v>17</v>
      </c>
      <c r="H10" s="7">
        <v>3</v>
      </c>
      <c r="I10" s="7">
        <v>2</v>
      </c>
      <c r="J10" s="7">
        <v>2</v>
      </c>
      <c r="K10" s="7">
        <v>2</v>
      </c>
      <c r="L10" s="7">
        <v>3</v>
      </c>
      <c r="M10" s="6">
        <f t="shared" si="0"/>
        <v>2.4</v>
      </c>
      <c r="N10" s="6">
        <f t="shared" si="1"/>
        <v>3</v>
      </c>
      <c r="O10" s="6">
        <f t="shared" si="2"/>
        <v>3</v>
      </c>
      <c r="P10" s="6">
        <f t="shared" si="3"/>
        <v>2</v>
      </c>
      <c r="Q10" s="6">
        <f t="shared" si="4"/>
        <v>2</v>
      </c>
      <c r="R10" s="6">
        <f t="shared" si="5"/>
        <v>12</v>
      </c>
      <c r="S10" s="67">
        <f t="shared" si="6"/>
        <v>0.20833333333333331</v>
      </c>
      <c r="U10" s="188">
        <v>1</v>
      </c>
      <c r="V10" s="9">
        <v>2</v>
      </c>
      <c r="W10" s="9">
        <v>1</v>
      </c>
      <c r="X10" s="9">
        <v>3</v>
      </c>
      <c r="Y10" s="9">
        <v>4</v>
      </c>
      <c r="AA10" s="6">
        <f t="shared" si="7"/>
        <v>4</v>
      </c>
      <c r="AB10" s="6">
        <f t="shared" si="8"/>
        <v>3</v>
      </c>
      <c r="AC10" s="6">
        <f t="shared" si="9"/>
        <v>2</v>
      </c>
      <c r="AD10" s="6">
        <f t="shared" si="10"/>
        <v>11</v>
      </c>
      <c r="AE10" s="67">
        <f t="shared" si="11"/>
        <v>0.256198347107438</v>
      </c>
      <c r="AH10" s="186">
        <v>4</v>
      </c>
      <c r="AI10" s="80">
        <v>1</v>
      </c>
      <c r="AJ10" s="80">
        <v>4</v>
      </c>
      <c r="AK10" s="80">
        <v>3</v>
      </c>
      <c r="AL10" s="80">
        <v>4</v>
      </c>
      <c r="AN10" s="62">
        <f t="shared" si="12"/>
        <v>4</v>
      </c>
      <c r="AO10" s="62">
        <f t="shared" si="13"/>
        <v>4</v>
      </c>
      <c r="AP10" s="6">
        <f t="shared" si="14"/>
        <v>4</v>
      </c>
      <c r="AR10" s="6">
        <f t="shared" si="15"/>
        <v>16</v>
      </c>
      <c r="AS10" s="67">
        <f t="shared" si="16"/>
        <v>0.2265625</v>
      </c>
      <c r="AV10" s="189">
        <v>3</v>
      </c>
      <c r="AW10" s="95">
        <v>1</v>
      </c>
      <c r="AX10" s="95">
        <v>1</v>
      </c>
      <c r="AY10" s="95">
        <v>3</v>
      </c>
      <c r="AZ10" s="95">
        <v>3</v>
      </c>
      <c r="BB10" s="6">
        <f t="shared" si="17"/>
        <v>3</v>
      </c>
      <c r="BC10" s="6">
        <f t="shared" si="18"/>
        <v>3</v>
      </c>
      <c r="BD10" s="6">
        <f t="shared" si="19"/>
        <v>3</v>
      </c>
      <c r="BE10" s="6">
        <f t="shared" si="20"/>
        <v>11</v>
      </c>
      <c r="BF10" s="67">
        <f t="shared" si="21"/>
        <v>0.23966942148760328</v>
      </c>
    </row>
    <row r="11" spans="1:59" x14ac:dyDescent="0.2">
      <c r="A11" s="89"/>
      <c r="B11" s="89"/>
      <c r="C11" s="89"/>
      <c r="D11" s="89"/>
      <c r="E11" s="89"/>
      <c r="F11" s="317" t="s">
        <v>19</v>
      </c>
      <c r="G11" s="55" t="s">
        <v>119</v>
      </c>
      <c r="H11" s="148">
        <v>3</v>
      </c>
      <c r="I11" s="7">
        <v>2</v>
      </c>
      <c r="J11" s="7">
        <v>2</v>
      </c>
      <c r="K11" s="148">
        <v>4</v>
      </c>
      <c r="L11" s="148">
        <v>4</v>
      </c>
      <c r="M11" s="6">
        <f t="shared" si="0"/>
        <v>3</v>
      </c>
      <c r="N11" s="6">
        <f t="shared" si="1"/>
        <v>4</v>
      </c>
      <c r="O11" s="6">
        <f t="shared" si="2"/>
        <v>4</v>
      </c>
      <c r="P11" s="6">
        <f t="shared" si="3"/>
        <v>3</v>
      </c>
      <c r="Q11" s="6">
        <f t="shared" si="4"/>
        <v>2</v>
      </c>
      <c r="R11" s="6">
        <f t="shared" si="5"/>
        <v>15</v>
      </c>
      <c r="S11" s="67">
        <f t="shared" si="6"/>
        <v>0.21777777777777779</v>
      </c>
      <c r="U11" s="185">
        <v>0</v>
      </c>
      <c r="V11" s="110">
        <v>1</v>
      </c>
      <c r="W11" s="110">
        <v>1</v>
      </c>
      <c r="X11" s="110">
        <v>3</v>
      </c>
      <c r="Y11" s="110">
        <v>2</v>
      </c>
      <c r="AA11" s="6">
        <f t="shared" si="7"/>
        <v>3</v>
      </c>
      <c r="AB11" s="6">
        <f t="shared" si="8"/>
        <v>2</v>
      </c>
      <c r="AC11" s="6">
        <f t="shared" si="9"/>
        <v>1</v>
      </c>
      <c r="AD11" s="6">
        <f t="shared" si="10"/>
        <v>7</v>
      </c>
      <c r="AE11" s="67">
        <f t="shared" si="11"/>
        <v>0.30612244897959179</v>
      </c>
      <c r="AH11" s="186">
        <v>1</v>
      </c>
      <c r="AI11" s="80">
        <v>1</v>
      </c>
      <c r="AJ11" s="80">
        <v>2</v>
      </c>
      <c r="AK11" s="80">
        <v>4</v>
      </c>
      <c r="AL11" s="80">
        <v>3</v>
      </c>
      <c r="AN11" s="62">
        <f t="shared" si="12"/>
        <v>4</v>
      </c>
      <c r="AO11" s="62">
        <f t="shared" si="13"/>
        <v>3</v>
      </c>
      <c r="AP11" s="6">
        <f t="shared" si="14"/>
        <v>2</v>
      </c>
      <c r="AR11" s="6">
        <f t="shared" si="15"/>
        <v>11</v>
      </c>
      <c r="AS11" s="67">
        <f t="shared" si="16"/>
        <v>0.256198347107438</v>
      </c>
      <c r="AV11" s="186">
        <v>3</v>
      </c>
      <c r="AW11" s="80">
        <v>1</v>
      </c>
      <c r="AX11" s="95">
        <v>1</v>
      </c>
      <c r="AY11" s="80">
        <v>3</v>
      </c>
      <c r="AZ11" s="95">
        <v>1</v>
      </c>
      <c r="BB11" s="6">
        <f t="shared" si="17"/>
        <v>3</v>
      </c>
      <c r="BC11" s="6">
        <f t="shared" si="18"/>
        <v>3</v>
      </c>
      <c r="BD11" s="6">
        <f t="shared" si="19"/>
        <v>1</v>
      </c>
      <c r="BE11" s="6">
        <f t="shared" si="20"/>
        <v>9</v>
      </c>
      <c r="BF11" s="67">
        <f t="shared" si="21"/>
        <v>0.25925925925925924</v>
      </c>
    </row>
    <row r="12" spans="1:59" x14ac:dyDescent="0.2">
      <c r="A12" s="89"/>
      <c r="B12" s="89"/>
      <c r="C12" s="89"/>
      <c r="D12" s="89"/>
      <c r="E12" s="89"/>
      <c r="F12" s="318"/>
      <c r="G12" s="55" t="s">
        <v>120</v>
      </c>
      <c r="H12" s="7">
        <v>2</v>
      </c>
      <c r="I12" s="7">
        <v>2</v>
      </c>
      <c r="J12" s="7">
        <v>2</v>
      </c>
      <c r="K12" s="7">
        <v>4</v>
      </c>
      <c r="L12" s="7">
        <v>4</v>
      </c>
      <c r="M12" s="6">
        <f t="shared" si="0"/>
        <v>2.8</v>
      </c>
      <c r="N12" s="6">
        <f t="shared" si="1"/>
        <v>4</v>
      </c>
      <c r="O12" s="6">
        <f t="shared" si="2"/>
        <v>4</v>
      </c>
      <c r="P12" s="6">
        <f t="shared" si="3"/>
        <v>2</v>
      </c>
      <c r="Q12" s="6">
        <f t="shared" si="4"/>
        <v>2</v>
      </c>
      <c r="R12" s="6">
        <f t="shared" si="5"/>
        <v>14</v>
      </c>
      <c r="S12" s="67">
        <f t="shared" si="6"/>
        <v>0.22448979591836732</v>
      </c>
      <c r="U12" s="185">
        <v>0</v>
      </c>
      <c r="V12" s="110">
        <v>1</v>
      </c>
      <c r="W12" s="110">
        <v>1</v>
      </c>
      <c r="X12" s="110">
        <v>4</v>
      </c>
      <c r="Y12" s="110">
        <v>4</v>
      </c>
      <c r="AA12" s="6">
        <f t="shared" si="7"/>
        <v>4</v>
      </c>
      <c r="AB12" s="6">
        <f t="shared" si="8"/>
        <v>4</v>
      </c>
      <c r="AC12" s="6">
        <f t="shared" si="9"/>
        <v>1</v>
      </c>
      <c r="AD12" s="6">
        <f t="shared" si="10"/>
        <v>10</v>
      </c>
      <c r="AE12" s="67">
        <f t="shared" si="11"/>
        <v>0.34000000000000008</v>
      </c>
      <c r="AH12" s="186">
        <v>1</v>
      </c>
      <c r="AI12" s="80">
        <v>3</v>
      </c>
      <c r="AJ12" s="80">
        <v>2</v>
      </c>
      <c r="AK12" s="80">
        <v>4</v>
      </c>
      <c r="AL12" s="80">
        <v>4</v>
      </c>
      <c r="AN12" s="62">
        <f t="shared" si="12"/>
        <v>4</v>
      </c>
      <c r="AO12" s="62">
        <f t="shared" si="13"/>
        <v>4</v>
      </c>
      <c r="AP12" s="6">
        <f t="shared" si="14"/>
        <v>3</v>
      </c>
      <c r="AR12" s="6">
        <f t="shared" si="15"/>
        <v>14</v>
      </c>
      <c r="AS12" s="67">
        <f t="shared" si="16"/>
        <v>0.23469387755102039</v>
      </c>
      <c r="AV12" s="186">
        <v>1</v>
      </c>
      <c r="AW12" s="80">
        <v>2</v>
      </c>
      <c r="AX12" s="95">
        <v>1</v>
      </c>
      <c r="AY12" s="80">
        <v>4</v>
      </c>
      <c r="AZ12" s="95">
        <v>4</v>
      </c>
      <c r="BB12" s="6">
        <f t="shared" si="17"/>
        <v>4</v>
      </c>
      <c r="BC12" s="6">
        <f t="shared" si="18"/>
        <v>4</v>
      </c>
      <c r="BD12" s="6">
        <f t="shared" si="19"/>
        <v>2</v>
      </c>
      <c r="BE12" s="6">
        <f t="shared" si="20"/>
        <v>12</v>
      </c>
      <c r="BF12" s="67">
        <f t="shared" si="21"/>
        <v>0.2638888888888889</v>
      </c>
    </row>
    <row r="13" spans="1:59" x14ac:dyDescent="0.2">
      <c r="A13" s="89"/>
      <c r="B13" s="89"/>
      <c r="C13" s="89"/>
      <c r="D13" s="89"/>
      <c r="E13" s="89"/>
      <c r="F13" s="318"/>
      <c r="G13" s="190" t="s">
        <v>20</v>
      </c>
      <c r="H13" s="148">
        <v>3</v>
      </c>
      <c r="I13" s="7">
        <v>1</v>
      </c>
      <c r="J13" s="7">
        <v>2</v>
      </c>
      <c r="K13" s="148">
        <v>3</v>
      </c>
      <c r="L13" s="148">
        <v>3</v>
      </c>
      <c r="M13" s="6">
        <f t="shared" si="0"/>
        <v>2.4</v>
      </c>
      <c r="N13" s="6">
        <f t="shared" si="1"/>
        <v>3</v>
      </c>
      <c r="O13" s="6">
        <f t="shared" si="2"/>
        <v>3</v>
      </c>
      <c r="P13" s="6">
        <f t="shared" si="3"/>
        <v>3</v>
      </c>
      <c r="Q13" s="6">
        <f t="shared" si="4"/>
        <v>2</v>
      </c>
      <c r="R13" s="6">
        <f t="shared" si="5"/>
        <v>12</v>
      </c>
      <c r="S13" s="67">
        <f t="shared" si="6"/>
        <v>0.22222222222222221</v>
      </c>
      <c r="U13" s="188">
        <v>3</v>
      </c>
      <c r="V13" s="9">
        <v>2</v>
      </c>
      <c r="W13" s="9">
        <v>1</v>
      </c>
      <c r="X13" s="9">
        <v>4</v>
      </c>
      <c r="Y13" s="9">
        <v>1</v>
      </c>
      <c r="AA13" s="6">
        <f t="shared" si="7"/>
        <v>4</v>
      </c>
      <c r="AB13" s="6">
        <f t="shared" si="8"/>
        <v>3</v>
      </c>
      <c r="AC13" s="6">
        <f t="shared" si="9"/>
        <v>2</v>
      </c>
      <c r="AD13" s="6">
        <f t="shared" si="10"/>
        <v>11</v>
      </c>
      <c r="AE13" s="67">
        <f t="shared" si="11"/>
        <v>0.25619834710743805</v>
      </c>
      <c r="AH13" s="186">
        <v>4</v>
      </c>
      <c r="AI13" s="80">
        <v>1</v>
      </c>
      <c r="AJ13" s="80">
        <v>2</v>
      </c>
      <c r="AK13" s="80">
        <v>0</v>
      </c>
      <c r="AL13" s="80">
        <v>2</v>
      </c>
      <c r="AN13" s="62">
        <f t="shared" si="12"/>
        <v>4</v>
      </c>
      <c r="AO13" s="62">
        <f t="shared" si="13"/>
        <v>2</v>
      </c>
      <c r="AP13" s="6">
        <f t="shared" si="14"/>
        <v>2</v>
      </c>
      <c r="AR13" s="6">
        <f t="shared" si="15"/>
        <v>9</v>
      </c>
      <c r="AS13" s="67">
        <f t="shared" si="16"/>
        <v>0.30864197530864196</v>
      </c>
      <c r="AV13" s="189">
        <v>3</v>
      </c>
      <c r="AW13" s="95">
        <v>1</v>
      </c>
      <c r="AX13" s="95">
        <v>1</v>
      </c>
      <c r="AY13" s="95">
        <v>2</v>
      </c>
      <c r="AZ13" s="95">
        <v>2</v>
      </c>
      <c r="BB13" s="6">
        <f t="shared" si="17"/>
        <v>3</v>
      </c>
      <c r="BC13" s="6">
        <f t="shared" si="18"/>
        <v>2</v>
      </c>
      <c r="BD13" s="6">
        <f t="shared" si="19"/>
        <v>2</v>
      </c>
      <c r="BE13" s="6">
        <f t="shared" si="20"/>
        <v>9</v>
      </c>
      <c r="BF13" s="67">
        <f t="shared" si="21"/>
        <v>0.23456790123456789</v>
      </c>
    </row>
    <row r="14" spans="1:59" x14ac:dyDescent="0.2">
      <c r="A14" s="89"/>
      <c r="B14" s="89"/>
      <c r="C14" s="89"/>
      <c r="D14" s="89"/>
      <c r="E14" s="89"/>
      <c r="F14" s="318"/>
      <c r="G14" s="190" t="s">
        <v>22</v>
      </c>
      <c r="H14" s="148">
        <v>4</v>
      </c>
      <c r="I14" s="148">
        <v>4</v>
      </c>
      <c r="J14" s="148">
        <v>4</v>
      </c>
      <c r="K14" s="148">
        <v>4</v>
      </c>
      <c r="L14" s="148">
        <v>4</v>
      </c>
      <c r="M14" s="6">
        <f t="shared" si="0"/>
        <v>4</v>
      </c>
      <c r="N14" s="6">
        <f t="shared" si="1"/>
        <v>4</v>
      </c>
      <c r="O14" s="6">
        <f t="shared" si="2"/>
        <v>4</v>
      </c>
      <c r="P14" s="6">
        <f t="shared" si="3"/>
        <v>4</v>
      </c>
      <c r="Q14" s="6">
        <f t="shared" si="4"/>
        <v>4</v>
      </c>
      <c r="R14" s="6">
        <f t="shared" si="5"/>
        <v>20</v>
      </c>
      <c r="S14" s="67">
        <f t="shared" si="6"/>
        <v>0.20000000000000004</v>
      </c>
      <c r="U14" s="188">
        <v>3</v>
      </c>
      <c r="V14" s="9">
        <v>1</v>
      </c>
      <c r="W14" s="9">
        <v>3</v>
      </c>
      <c r="X14" s="9">
        <v>2</v>
      </c>
      <c r="Y14" s="9">
        <v>0</v>
      </c>
      <c r="AA14" s="6">
        <f t="shared" si="7"/>
        <v>3</v>
      </c>
      <c r="AB14" s="6">
        <f t="shared" si="8"/>
        <v>3</v>
      </c>
      <c r="AC14" s="6">
        <f t="shared" si="9"/>
        <v>2</v>
      </c>
      <c r="AD14" s="6">
        <f t="shared" si="10"/>
        <v>9</v>
      </c>
      <c r="AE14" s="67">
        <f t="shared" si="11"/>
        <v>0.2839506172839506</v>
      </c>
      <c r="AH14" s="186">
        <v>4</v>
      </c>
      <c r="AI14" s="80">
        <v>1</v>
      </c>
      <c r="AJ14" s="80">
        <v>4</v>
      </c>
      <c r="AK14" s="80">
        <v>1</v>
      </c>
      <c r="AL14" s="80">
        <v>1</v>
      </c>
      <c r="AN14" s="62">
        <f t="shared" si="12"/>
        <v>4</v>
      </c>
      <c r="AO14" s="62">
        <f t="shared" si="13"/>
        <v>4</v>
      </c>
      <c r="AP14" s="6">
        <f t="shared" si="14"/>
        <v>1</v>
      </c>
      <c r="AR14" s="6">
        <f t="shared" si="15"/>
        <v>11</v>
      </c>
      <c r="AS14" s="67">
        <f t="shared" si="16"/>
        <v>0.28925619834710736</v>
      </c>
      <c r="AV14" s="189">
        <v>4</v>
      </c>
      <c r="AW14" s="95">
        <v>3</v>
      </c>
      <c r="AX14" s="95">
        <v>4</v>
      </c>
      <c r="AY14" s="95">
        <v>4</v>
      </c>
      <c r="AZ14" s="95">
        <v>2</v>
      </c>
      <c r="BB14" s="6">
        <f t="shared" si="17"/>
        <v>4</v>
      </c>
      <c r="BC14" s="6">
        <f t="shared" si="18"/>
        <v>4</v>
      </c>
      <c r="BD14" s="6">
        <f t="shared" si="19"/>
        <v>4</v>
      </c>
      <c r="BE14" s="6">
        <f t="shared" si="20"/>
        <v>17</v>
      </c>
      <c r="BF14" s="67">
        <f t="shared" si="21"/>
        <v>0.21107266435986161</v>
      </c>
    </row>
    <row r="15" spans="1:59" x14ac:dyDescent="0.2">
      <c r="A15" s="89"/>
      <c r="B15" s="89"/>
      <c r="C15" s="89"/>
      <c r="D15" s="89"/>
      <c r="E15" s="89"/>
      <c r="F15" s="318"/>
      <c r="G15" s="190" t="s">
        <v>24</v>
      </c>
      <c r="H15" s="148">
        <v>4</v>
      </c>
      <c r="I15" s="148">
        <v>3</v>
      </c>
      <c r="J15" s="148">
        <v>4</v>
      </c>
      <c r="K15" s="148">
        <v>4</v>
      </c>
      <c r="L15" s="148">
        <v>4</v>
      </c>
      <c r="M15" s="6">
        <f t="shared" si="0"/>
        <v>3.8</v>
      </c>
      <c r="N15" s="6">
        <f t="shared" si="1"/>
        <v>4</v>
      </c>
      <c r="O15" s="6">
        <f t="shared" si="2"/>
        <v>4</v>
      </c>
      <c r="P15" s="6">
        <f t="shared" si="3"/>
        <v>4</v>
      </c>
      <c r="Q15" s="6">
        <f t="shared" si="4"/>
        <v>4</v>
      </c>
      <c r="R15" s="6">
        <f t="shared" si="5"/>
        <v>19</v>
      </c>
      <c r="S15" s="67">
        <f t="shared" si="6"/>
        <v>0.20221606648199444</v>
      </c>
      <c r="U15" s="188">
        <v>3</v>
      </c>
      <c r="V15" s="9">
        <v>1</v>
      </c>
      <c r="W15" s="9">
        <v>0</v>
      </c>
      <c r="X15" s="9">
        <v>2</v>
      </c>
      <c r="Y15" s="9">
        <v>0</v>
      </c>
      <c r="AA15" s="6">
        <f t="shared" si="7"/>
        <v>3</v>
      </c>
      <c r="AB15" s="6">
        <f t="shared" si="8"/>
        <v>2</v>
      </c>
      <c r="AC15" s="6">
        <f t="shared" si="9"/>
        <v>1</v>
      </c>
      <c r="AD15" s="6">
        <f t="shared" si="10"/>
        <v>6</v>
      </c>
      <c r="AE15" s="67">
        <f t="shared" si="11"/>
        <v>0.3888888888888889</v>
      </c>
      <c r="AH15" s="186">
        <v>4</v>
      </c>
      <c r="AI15" s="80">
        <v>0</v>
      </c>
      <c r="AJ15" s="80">
        <v>4</v>
      </c>
      <c r="AK15" s="80">
        <v>0</v>
      </c>
      <c r="AL15" s="80">
        <v>1</v>
      </c>
      <c r="AN15" s="62">
        <f t="shared" si="12"/>
        <v>4</v>
      </c>
      <c r="AO15" s="62">
        <f t="shared" si="13"/>
        <v>4</v>
      </c>
      <c r="AP15" s="6">
        <f t="shared" si="14"/>
        <v>1</v>
      </c>
      <c r="AR15" s="6">
        <f t="shared" si="15"/>
        <v>9</v>
      </c>
      <c r="AS15" s="67">
        <f t="shared" si="16"/>
        <v>0.40740740740740738</v>
      </c>
      <c r="AV15" s="189">
        <v>4</v>
      </c>
      <c r="AW15" s="95">
        <v>3</v>
      </c>
      <c r="AX15" s="95">
        <v>2</v>
      </c>
      <c r="AY15" s="95">
        <v>3</v>
      </c>
      <c r="AZ15" s="95">
        <v>1</v>
      </c>
      <c r="BB15" s="6">
        <f t="shared" si="17"/>
        <v>4</v>
      </c>
      <c r="BC15" s="6">
        <f t="shared" si="18"/>
        <v>3</v>
      </c>
      <c r="BD15" s="6">
        <f t="shared" si="19"/>
        <v>3</v>
      </c>
      <c r="BE15" s="6">
        <f t="shared" si="20"/>
        <v>13</v>
      </c>
      <c r="BF15" s="67">
        <f t="shared" si="21"/>
        <v>0.23076923076923081</v>
      </c>
    </row>
    <row r="16" spans="1:59" x14ac:dyDescent="0.2">
      <c r="A16" s="89"/>
      <c r="B16" s="89"/>
      <c r="C16" s="89"/>
      <c r="D16" s="89"/>
      <c r="E16" s="89"/>
      <c r="F16" s="318"/>
      <c r="G16" s="190" t="s">
        <v>26</v>
      </c>
      <c r="H16" s="148">
        <v>4</v>
      </c>
      <c r="I16" s="148">
        <v>3</v>
      </c>
      <c r="J16" s="148">
        <v>3</v>
      </c>
      <c r="K16" s="148">
        <v>4</v>
      </c>
      <c r="L16" s="148">
        <v>3</v>
      </c>
      <c r="M16" s="6">
        <f t="shared" si="0"/>
        <v>3.4</v>
      </c>
      <c r="N16" s="6">
        <f t="shared" si="1"/>
        <v>4</v>
      </c>
      <c r="O16" s="6">
        <f t="shared" si="2"/>
        <v>4</v>
      </c>
      <c r="P16" s="6">
        <f t="shared" si="3"/>
        <v>3</v>
      </c>
      <c r="Q16" s="6">
        <f t="shared" si="4"/>
        <v>3</v>
      </c>
      <c r="R16" s="6">
        <f t="shared" si="5"/>
        <v>17</v>
      </c>
      <c r="S16" s="67">
        <f t="shared" si="6"/>
        <v>0.20415224913494812</v>
      </c>
      <c r="U16" s="188">
        <v>4</v>
      </c>
      <c r="V16" s="9">
        <v>2</v>
      </c>
      <c r="W16" s="9">
        <v>1</v>
      </c>
      <c r="X16" s="9">
        <v>4</v>
      </c>
      <c r="Y16" s="9">
        <v>1</v>
      </c>
      <c r="AA16" s="6">
        <f t="shared" si="7"/>
        <v>4</v>
      </c>
      <c r="AB16" s="6">
        <f t="shared" si="8"/>
        <v>4</v>
      </c>
      <c r="AC16" s="6">
        <f t="shared" si="9"/>
        <v>2</v>
      </c>
      <c r="AD16" s="6">
        <f t="shared" si="10"/>
        <v>12</v>
      </c>
      <c r="AE16" s="67">
        <f t="shared" si="11"/>
        <v>0.26388888888888884</v>
      </c>
      <c r="AH16" s="186">
        <v>4</v>
      </c>
      <c r="AI16" s="80">
        <v>1</v>
      </c>
      <c r="AJ16" s="80">
        <v>4</v>
      </c>
      <c r="AK16" s="80">
        <v>3</v>
      </c>
      <c r="AL16" s="80">
        <v>1</v>
      </c>
      <c r="AN16" s="62">
        <f t="shared" si="12"/>
        <v>4</v>
      </c>
      <c r="AO16" s="62">
        <f t="shared" si="13"/>
        <v>4</v>
      </c>
      <c r="AP16" s="6">
        <f t="shared" si="14"/>
        <v>3</v>
      </c>
      <c r="AR16" s="6">
        <f t="shared" si="15"/>
        <v>13</v>
      </c>
      <c r="AS16" s="67">
        <f t="shared" si="16"/>
        <v>0.25443786982248523</v>
      </c>
      <c r="AV16" s="189">
        <v>3</v>
      </c>
      <c r="AW16" s="95">
        <v>2</v>
      </c>
      <c r="AX16" s="95">
        <v>1</v>
      </c>
      <c r="AY16" s="95">
        <v>4</v>
      </c>
      <c r="AZ16" s="95">
        <v>1</v>
      </c>
      <c r="BB16" s="6">
        <f t="shared" si="17"/>
        <v>4</v>
      </c>
      <c r="BC16" s="6">
        <f t="shared" si="18"/>
        <v>3</v>
      </c>
      <c r="BD16" s="6">
        <f t="shared" si="19"/>
        <v>2</v>
      </c>
      <c r="BE16" s="6">
        <f t="shared" si="20"/>
        <v>11</v>
      </c>
      <c r="BF16" s="67">
        <f t="shared" si="21"/>
        <v>0.25619834710743805</v>
      </c>
    </row>
    <row r="17" spans="1:58" x14ac:dyDescent="0.2">
      <c r="A17" s="89"/>
      <c r="B17" s="89"/>
      <c r="C17" s="89"/>
      <c r="D17" s="89"/>
      <c r="E17" s="89"/>
      <c r="F17" s="318"/>
      <c r="G17" s="190" t="s">
        <v>27</v>
      </c>
      <c r="H17" s="148">
        <v>4</v>
      </c>
      <c r="I17" s="148">
        <v>3</v>
      </c>
      <c r="J17" s="148">
        <v>3</v>
      </c>
      <c r="K17" s="148">
        <v>4</v>
      </c>
      <c r="L17" s="148">
        <v>4</v>
      </c>
      <c r="M17" s="6">
        <f t="shared" si="0"/>
        <v>3.6</v>
      </c>
      <c r="N17" s="6">
        <f t="shared" si="1"/>
        <v>4</v>
      </c>
      <c r="O17" s="6">
        <f t="shared" si="2"/>
        <v>4</v>
      </c>
      <c r="P17" s="6">
        <f t="shared" si="3"/>
        <v>4</v>
      </c>
      <c r="Q17" s="6">
        <f t="shared" si="4"/>
        <v>3</v>
      </c>
      <c r="R17" s="6">
        <f t="shared" si="5"/>
        <v>18</v>
      </c>
      <c r="S17" s="67">
        <f t="shared" si="6"/>
        <v>0.20370370370370369</v>
      </c>
      <c r="U17" s="188">
        <v>4</v>
      </c>
      <c r="V17" s="9">
        <v>3</v>
      </c>
      <c r="W17" s="9">
        <v>1</v>
      </c>
      <c r="X17" s="9">
        <v>4</v>
      </c>
      <c r="Y17" s="9">
        <v>1</v>
      </c>
      <c r="AA17" s="6">
        <f t="shared" si="7"/>
        <v>4</v>
      </c>
      <c r="AB17" s="6">
        <f t="shared" si="8"/>
        <v>4</v>
      </c>
      <c r="AC17" s="6">
        <f t="shared" si="9"/>
        <v>3</v>
      </c>
      <c r="AD17" s="6">
        <f t="shared" si="10"/>
        <v>13</v>
      </c>
      <c r="AE17" s="67">
        <f t="shared" si="11"/>
        <v>0.25443786982248523</v>
      </c>
      <c r="AH17" s="186">
        <v>4</v>
      </c>
      <c r="AI17" s="80">
        <v>1</v>
      </c>
      <c r="AJ17" s="80">
        <v>3</v>
      </c>
      <c r="AK17" s="80">
        <v>1</v>
      </c>
      <c r="AL17" s="80">
        <v>1</v>
      </c>
      <c r="AN17" s="62">
        <f t="shared" si="12"/>
        <v>4</v>
      </c>
      <c r="AO17" s="62">
        <f t="shared" si="13"/>
        <v>3</v>
      </c>
      <c r="AP17" s="6">
        <f t="shared" si="14"/>
        <v>1</v>
      </c>
      <c r="AR17" s="6">
        <f t="shared" si="15"/>
        <v>10</v>
      </c>
      <c r="AS17" s="67">
        <f t="shared" si="16"/>
        <v>0.28000000000000003</v>
      </c>
      <c r="AV17" s="189">
        <v>2</v>
      </c>
      <c r="AW17" s="95">
        <v>2</v>
      </c>
      <c r="AX17" s="95">
        <v>1</v>
      </c>
      <c r="AY17" s="95">
        <v>4</v>
      </c>
      <c r="AZ17" s="95">
        <v>2</v>
      </c>
      <c r="BB17" s="6">
        <f t="shared" si="17"/>
        <v>4</v>
      </c>
      <c r="BC17" s="6">
        <f t="shared" si="18"/>
        <v>2</v>
      </c>
      <c r="BD17" s="6">
        <f t="shared" si="19"/>
        <v>2</v>
      </c>
      <c r="BE17" s="6">
        <f t="shared" si="20"/>
        <v>11</v>
      </c>
      <c r="BF17" s="67">
        <f t="shared" si="21"/>
        <v>0.23966942148760331</v>
      </c>
    </row>
    <row r="18" spans="1:58" x14ac:dyDescent="0.2">
      <c r="A18" s="89"/>
      <c r="B18" s="89"/>
      <c r="C18" s="89"/>
      <c r="D18" s="89"/>
      <c r="E18" s="89"/>
      <c r="F18" s="317" t="s">
        <v>29</v>
      </c>
      <c r="G18" s="56" t="s">
        <v>121</v>
      </c>
      <c r="H18" s="148">
        <v>3</v>
      </c>
      <c r="I18" s="7">
        <v>2</v>
      </c>
      <c r="J18" s="7">
        <v>2</v>
      </c>
      <c r="K18" s="148">
        <v>4</v>
      </c>
      <c r="L18" s="148">
        <v>4</v>
      </c>
      <c r="M18" s="6">
        <f t="shared" si="0"/>
        <v>3</v>
      </c>
      <c r="N18" s="6">
        <f t="shared" si="1"/>
        <v>4</v>
      </c>
      <c r="O18" s="6">
        <f t="shared" si="2"/>
        <v>4</v>
      </c>
      <c r="P18" s="6">
        <f t="shared" si="3"/>
        <v>3</v>
      </c>
      <c r="Q18" s="6">
        <f t="shared" si="4"/>
        <v>2</v>
      </c>
      <c r="R18" s="6">
        <f t="shared" si="5"/>
        <v>15</v>
      </c>
      <c r="S18" s="67">
        <f t="shared" si="6"/>
        <v>0.21777777777777779</v>
      </c>
      <c r="U18" s="185">
        <v>0</v>
      </c>
      <c r="V18" s="110">
        <v>1</v>
      </c>
      <c r="W18" s="110">
        <v>2</v>
      </c>
      <c r="X18" s="110">
        <v>1</v>
      </c>
      <c r="Y18" s="110">
        <v>4</v>
      </c>
      <c r="AA18" s="6">
        <f t="shared" si="7"/>
        <v>4</v>
      </c>
      <c r="AB18" s="6">
        <f t="shared" si="8"/>
        <v>2</v>
      </c>
      <c r="AC18" s="6">
        <f t="shared" si="9"/>
        <v>1</v>
      </c>
      <c r="AD18" s="6">
        <f t="shared" si="10"/>
        <v>8</v>
      </c>
      <c r="AE18" s="67">
        <f t="shared" si="11"/>
        <v>0.34375</v>
      </c>
      <c r="AH18" s="186">
        <v>1</v>
      </c>
      <c r="AI18" s="80">
        <v>4</v>
      </c>
      <c r="AJ18" s="80">
        <v>2</v>
      </c>
      <c r="AK18" s="80">
        <v>4</v>
      </c>
      <c r="AL18" s="80">
        <v>4</v>
      </c>
      <c r="AN18" s="62">
        <f t="shared" si="12"/>
        <v>4</v>
      </c>
      <c r="AO18" s="62">
        <f t="shared" si="13"/>
        <v>4</v>
      </c>
      <c r="AP18" s="6">
        <f t="shared" si="14"/>
        <v>4</v>
      </c>
      <c r="AR18" s="6">
        <f t="shared" si="15"/>
        <v>15</v>
      </c>
      <c r="AS18" s="67">
        <f t="shared" si="16"/>
        <v>0.23555555555555557</v>
      </c>
      <c r="AV18" s="189">
        <v>2</v>
      </c>
      <c r="AW18" s="95">
        <v>2</v>
      </c>
      <c r="AX18" s="95">
        <v>1</v>
      </c>
      <c r="AY18" s="80">
        <v>4</v>
      </c>
      <c r="AZ18" s="80">
        <v>4</v>
      </c>
      <c r="BB18" s="6">
        <f t="shared" si="17"/>
        <v>4</v>
      </c>
      <c r="BC18" s="6">
        <f t="shared" si="18"/>
        <v>4</v>
      </c>
      <c r="BD18" s="6">
        <f t="shared" si="19"/>
        <v>2</v>
      </c>
      <c r="BE18" s="6">
        <f t="shared" si="20"/>
        <v>13</v>
      </c>
      <c r="BF18" s="67">
        <f t="shared" si="21"/>
        <v>0.24260355029585803</v>
      </c>
    </row>
    <row r="19" spans="1:58" x14ac:dyDescent="0.2">
      <c r="A19" s="89"/>
      <c r="B19" s="89"/>
      <c r="C19" s="89"/>
      <c r="D19" s="89"/>
      <c r="E19" s="89"/>
      <c r="F19" s="318"/>
      <c r="G19" s="56" t="s">
        <v>122</v>
      </c>
      <c r="H19" s="148">
        <v>3</v>
      </c>
      <c r="I19" s="7">
        <v>2</v>
      </c>
      <c r="J19" s="7">
        <v>1</v>
      </c>
      <c r="K19" s="148">
        <v>4</v>
      </c>
      <c r="L19" s="148">
        <v>4</v>
      </c>
      <c r="M19" s="6">
        <f t="shared" si="0"/>
        <v>2.8</v>
      </c>
      <c r="N19" s="6">
        <f t="shared" si="1"/>
        <v>4</v>
      </c>
      <c r="O19" s="6">
        <f t="shared" si="2"/>
        <v>4</v>
      </c>
      <c r="P19" s="6">
        <f t="shared" si="3"/>
        <v>3</v>
      </c>
      <c r="Q19" s="6">
        <f t="shared" si="4"/>
        <v>2</v>
      </c>
      <c r="R19" s="6">
        <f t="shared" si="5"/>
        <v>14</v>
      </c>
      <c r="S19" s="67">
        <f t="shared" si="6"/>
        <v>0.23469387755102039</v>
      </c>
      <c r="U19" s="185">
        <v>0</v>
      </c>
      <c r="V19" s="110">
        <v>1</v>
      </c>
      <c r="W19" s="110">
        <v>2</v>
      </c>
      <c r="X19" s="110">
        <v>1</v>
      </c>
      <c r="Y19" s="110">
        <v>4</v>
      </c>
      <c r="AA19" s="6">
        <f t="shared" si="7"/>
        <v>4</v>
      </c>
      <c r="AB19" s="6">
        <f t="shared" si="8"/>
        <v>2</v>
      </c>
      <c r="AC19" s="6">
        <f t="shared" si="9"/>
        <v>1</v>
      </c>
      <c r="AD19" s="6">
        <f t="shared" si="10"/>
        <v>8</v>
      </c>
      <c r="AE19" s="67">
        <f t="shared" si="11"/>
        <v>0.34375</v>
      </c>
      <c r="AH19" s="186">
        <v>1</v>
      </c>
      <c r="AI19" s="80">
        <v>3</v>
      </c>
      <c r="AJ19" s="80">
        <v>2</v>
      </c>
      <c r="AK19" s="80">
        <v>4</v>
      </c>
      <c r="AL19" s="80">
        <v>4</v>
      </c>
      <c r="AN19" s="62">
        <f t="shared" si="12"/>
        <v>4</v>
      </c>
      <c r="AO19" s="62">
        <f t="shared" si="13"/>
        <v>4</v>
      </c>
      <c r="AP19" s="6">
        <f t="shared" si="14"/>
        <v>3</v>
      </c>
      <c r="AR19" s="6">
        <f t="shared" si="15"/>
        <v>14</v>
      </c>
      <c r="AS19" s="67">
        <f t="shared" si="16"/>
        <v>0.23469387755102039</v>
      </c>
      <c r="AV19" s="189">
        <v>2</v>
      </c>
      <c r="AW19" s="95">
        <v>1</v>
      </c>
      <c r="AX19" s="95">
        <v>1</v>
      </c>
      <c r="AY19" s="80">
        <v>4</v>
      </c>
      <c r="AZ19" s="80">
        <v>3</v>
      </c>
      <c r="BB19" s="6">
        <f t="shared" si="17"/>
        <v>4</v>
      </c>
      <c r="BC19" s="6">
        <f t="shared" si="18"/>
        <v>3</v>
      </c>
      <c r="BD19" s="6">
        <f t="shared" si="19"/>
        <v>2</v>
      </c>
      <c r="BE19" s="6">
        <f t="shared" si="20"/>
        <v>11</v>
      </c>
      <c r="BF19" s="67">
        <f t="shared" si="21"/>
        <v>0.256198347107438</v>
      </c>
    </row>
    <row r="20" spans="1:58" x14ac:dyDescent="0.2">
      <c r="A20" s="89"/>
      <c r="B20" s="89"/>
      <c r="C20" s="89"/>
      <c r="D20" s="89"/>
      <c r="E20" s="89"/>
      <c r="F20" s="318"/>
      <c r="G20" s="191" t="s">
        <v>30</v>
      </c>
      <c r="H20" s="148">
        <v>4</v>
      </c>
      <c r="I20" s="148">
        <v>4</v>
      </c>
      <c r="J20" s="148">
        <v>4</v>
      </c>
      <c r="K20" s="148">
        <v>3</v>
      </c>
      <c r="L20" s="148">
        <v>4</v>
      </c>
      <c r="M20" s="6">
        <f t="shared" si="0"/>
        <v>3.8</v>
      </c>
      <c r="N20" s="6">
        <f t="shared" si="1"/>
        <v>4</v>
      </c>
      <c r="O20" s="6">
        <f t="shared" si="2"/>
        <v>4</v>
      </c>
      <c r="P20" s="6">
        <f t="shared" si="3"/>
        <v>4</v>
      </c>
      <c r="Q20" s="6">
        <f t="shared" si="4"/>
        <v>4</v>
      </c>
      <c r="R20" s="6">
        <f t="shared" si="5"/>
        <v>19</v>
      </c>
      <c r="S20" s="67">
        <f t="shared" si="6"/>
        <v>0.20221606648199444</v>
      </c>
      <c r="U20" s="188">
        <v>2</v>
      </c>
      <c r="V20" s="9">
        <v>1</v>
      </c>
      <c r="W20" s="9">
        <v>4</v>
      </c>
      <c r="X20" s="9">
        <v>1</v>
      </c>
      <c r="Y20" s="9">
        <v>1</v>
      </c>
      <c r="AA20" s="6">
        <f t="shared" si="7"/>
        <v>4</v>
      </c>
      <c r="AB20" s="6">
        <f t="shared" si="8"/>
        <v>2</v>
      </c>
      <c r="AC20" s="6">
        <f t="shared" si="9"/>
        <v>1</v>
      </c>
      <c r="AD20" s="6">
        <f t="shared" si="10"/>
        <v>9</v>
      </c>
      <c r="AE20" s="67">
        <f t="shared" si="11"/>
        <v>0.2839506172839506</v>
      </c>
      <c r="AH20" s="186">
        <v>4</v>
      </c>
      <c r="AI20" s="80">
        <v>2</v>
      </c>
      <c r="AJ20" s="80">
        <v>3</v>
      </c>
      <c r="AK20" s="80">
        <v>0</v>
      </c>
      <c r="AL20" s="80">
        <v>1</v>
      </c>
      <c r="AN20" s="62">
        <f t="shared" si="12"/>
        <v>4</v>
      </c>
      <c r="AO20" s="62">
        <f t="shared" si="13"/>
        <v>3</v>
      </c>
      <c r="AP20" s="6">
        <f t="shared" si="14"/>
        <v>2</v>
      </c>
      <c r="AR20" s="6">
        <f t="shared" si="15"/>
        <v>10</v>
      </c>
      <c r="AS20" s="67">
        <f t="shared" si="16"/>
        <v>0.30000000000000004</v>
      </c>
      <c r="AV20" s="189">
        <v>4</v>
      </c>
      <c r="AW20" s="95">
        <v>3</v>
      </c>
      <c r="AX20" s="95">
        <v>1</v>
      </c>
      <c r="AY20" s="95">
        <v>4</v>
      </c>
      <c r="AZ20" s="95">
        <v>3</v>
      </c>
      <c r="BB20" s="6">
        <f t="shared" si="17"/>
        <v>4</v>
      </c>
      <c r="BC20" s="6">
        <f t="shared" si="18"/>
        <v>4</v>
      </c>
      <c r="BD20" s="6">
        <f t="shared" si="19"/>
        <v>3</v>
      </c>
      <c r="BE20" s="6">
        <f t="shared" si="20"/>
        <v>15</v>
      </c>
      <c r="BF20" s="67">
        <f t="shared" si="21"/>
        <v>0.22666666666666668</v>
      </c>
    </row>
    <row r="21" spans="1:58" x14ac:dyDescent="0.2">
      <c r="A21" s="89"/>
      <c r="B21" s="89"/>
      <c r="C21" s="89"/>
      <c r="D21" s="89"/>
      <c r="E21" s="89"/>
      <c r="F21" s="318"/>
      <c r="G21" s="191" t="s">
        <v>32</v>
      </c>
      <c r="H21" s="148">
        <v>4</v>
      </c>
      <c r="I21" s="148">
        <v>4</v>
      </c>
      <c r="J21" s="7">
        <v>2</v>
      </c>
      <c r="K21" s="7">
        <v>2</v>
      </c>
      <c r="L21" s="148">
        <v>4</v>
      </c>
      <c r="M21" s="6">
        <f t="shared" si="0"/>
        <v>3.2</v>
      </c>
      <c r="N21" s="6">
        <f t="shared" si="1"/>
        <v>4</v>
      </c>
      <c r="O21" s="6">
        <f t="shared" si="2"/>
        <v>4</v>
      </c>
      <c r="P21" s="6">
        <f t="shared" si="3"/>
        <v>4</v>
      </c>
      <c r="Q21" s="6">
        <f t="shared" si="4"/>
        <v>2</v>
      </c>
      <c r="R21" s="6">
        <f t="shared" si="5"/>
        <v>16</v>
      </c>
      <c r="S21" s="67">
        <f t="shared" si="6"/>
        <v>0.21875</v>
      </c>
      <c r="U21" s="188">
        <v>2</v>
      </c>
      <c r="V21" s="9">
        <v>1</v>
      </c>
      <c r="W21" s="9">
        <v>4</v>
      </c>
      <c r="X21" s="9">
        <v>0</v>
      </c>
      <c r="Y21" s="9">
        <v>1</v>
      </c>
      <c r="AA21" s="6">
        <f t="shared" si="7"/>
        <v>4</v>
      </c>
      <c r="AB21" s="6">
        <f t="shared" si="8"/>
        <v>2</v>
      </c>
      <c r="AC21" s="6">
        <f t="shared" si="9"/>
        <v>1</v>
      </c>
      <c r="AD21" s="6">
        <f t="shared" si="10"/>
        <v>8</v>
      </c>
      <c r="AE21" s="67">
        <f t="shared" si="11"/>
        <v>0.34375</v>
      </c>
      <c r="AH21" s="186">
        <v>4</v>
      </c>
      <c r="AI21" s="80">
        <v>1</v>
      </c>
      <c r="AJ21" s="80">
        <v>3</v>
      </c>
      <c r="AK21" s="80">
        <v>0</v>
      </c>
      <c r="AL21" s="80">
        <v>1</v>
      </c>
      <c r="AN21" s="62">
        <f t="shared" si="12"/>
        <v>4</v>
      </c>
      <c r="AO21" s="62">
        <f t="shared" si="13"/>
        <v>3</v>
      </c>
      <c r="AP21" s="6">
        <f t="shared" si="14"/>
        <v>1</v>
      </c>
      <c r="AR21" s="6">
        <f t="shared" si="15"/>
        <v>9</v>
      </c>
      <c r="AS21" s="67">
        <f t="shared" si="16"/>
        <v>0.33333333333333331</v>
      </c>
      <c r="AV21" s="189">
        <v>4</v>
      </c>
      <c r="AW21" s="95">
        <v>1</v>
      </c>
      <c r="AX21" s="95">
        <v>1</v>
      </c>
      <c r="AY21" s="95">
        <v>0</v>
      </c>
      <c r="AZ21" s="95">
        <v>1</v>
      </c>
      <c r="BB21" s="6">
        <f t="shared" si="17"/>
        <v>4</v>
      </c>
      <c r="BC21" s="6">
        <f t="shared" si="18"/>
        <v>1</v>
      </c>
      <c r="BD21" s="6">
        <f t="shared" si="19"/>
        <v>1</v>
      </c>
      <c r="BE21" s="6">
        <f t="shared" si="20"/>
        <v>7</v>
      </c>
      <c r="BF21" s="67">
        <f t="shared" si="21"/>
        <v>0.38775510204081637</v>
      </c>
    </row>
    <row r="22" spans="1:58" x14ac:dyDescent="0.2">
      <c r="A22" s="89"/>
      <c r="B22" s="89"/>
      <c r="C22" s="89"/>
      <c r="D22" s="89"/>
      <c r="E22" s="89"/>
      <c r="F22" s="318"/>
      <c r="G22" s="191" t="s">
        <v>34</v>
      </c>
      <c r="H22" s="148">
        <v>3</v>
      </c>
      <c r="I22" s="7">
        <v>2</v>
      </c>
      <c r="J22" s="148">
        <v>4</v>
      </c>
      <c r="K22" s="148">
        <v>3</v>
      </c>
      <c r="L22" s="148">
        <v>4</v>
      </c>
      <c r="M22" s="6">
        <f t="shared" si="0"/>
        <v>3.2</v>
      </c>
      <c r="N22" s="6">
        <f t="shared" si="1"/>
        <v>4</v>
      </c>
      <c r="O22" s="6">
        <f t="shared" si="2"/>
        <v>4</v>
      </c>
      <c r="P22" s="6">
        <f t="shared" si="3"/>
        <v>3</v>
      </c>
      <c r="Q22" s="6">
        <f t="shared" si="4"/>
        <v>3</v>
      </c>
      <c r="R22" s="6">
        <f t="shared" si="5"/>
        <v>16</v>
      </c>
      <c r="S22" s="67">
        <f t="shared" si="6"/>
        <v>0.2109375</v>
      </c>
      <c r="U22" s="188">
        <v>1</v>
      </c>
      <c r="V22" s="9">
        <v>1</v>
      </c>
      <c r="W22" s="9">
        <v>4</v>
      </c>
      <c r="X22" s="9">
        <v>0</v>
      </c>
      <c r="Y22" s="9">
        <v>1</v>
      </c>
      <c r="AA22" s="6">
        <f t="shared" si="7"/>
        <v>4</v>
      </c>
      <c r="AB22" s="6">
        <f t="shared" si="8"/>
        <v>1</v>
      </c>
      <c r="AC22" s="6">
        <f t="shared" si="9"/>
        <v>1</v>
      </c>
      <c r="AD22" s="6">
        <f t="shared" si="10"/>
        <v>7</v>
      </c>
      <c r="AE22" s="67">
        <f t="shared" si="11"/>
        <v>0.38775510204081631</v>
      </c>
      <c r="AH22" s="186">
        <v>2</v>
      </c>
      <c r="AI22" s="80">
        <v>1</v>
      </c>
      <c r="AJ22" s="80">
        <v>3</v>
      </c>
      <c r="AK22" s="80">
        <v>0</v>
      </c>
      <c r="AL22" s="80">
        <v>2</v>
      </c>
      <c r="AN22" s="62">
        <f t="shared" si="12"/>
        <v>3</v>
      </c>
      <c r="AO22" s="62">
        <f t="shared" si="13"/>
        <v>2</v>
      </c>
      <c r="AP22" s="6">
        <f t="shared" si="14"/>
        <v>2</v>
      </c>
      <c r="AR22" s="6">
        <f t="shared" si="15"/>
        <v>8</v>
      </c>
      <c r="AS22" s="67">
        <f t="shared" si="16"/>
        <v>0.28125</v>
      </c>
      <c r="AV22" s="189">
        <v>3</v>
      </c>
      <c r="AW22" s="95">
        <v>1</v>
      </c>
      <c r="AX22" s="95">
        <v>1</v>
      </c>
      <c r="AY22" s="95">
        <v>2</v>
      </c>
      <c r="AZ22" s="95">
        <v>1</v>
      </c>
      <c r="BB22" s="6">
        <f t="shared" si="17"/>
        <v>3</v>
      </c>
      <c r="BC22" s="6">
        <f t="shared" si="18"/>
        <v>2</v>
      </c>
      <c r="BD22" s="6">
        <f t="shared" si="19"/>
        <v>1</v>
      </c>
      <c r="BE22" s="6">
        <f t="shared" si="20"/>
        <v>8</v>
      </c>
      <c r="BF22" s="67">
        <f t="shared" si="21"/>
        <v>0.25</v>
      </c>
    </row>
    <row r="23" spans="1:58" x14ac:dyDescent="0.2">
      <c r="A23" s="89"/>
      <c r="B23" s="89"/>
      <c r="C23" s="89"/>
      <c r="D23" s="89"/>
      <c r="E23" s="89"/>
      <c r="F23" s="318"/>
      <c r="G23" s="191" t="s">
        <v>36</v>
      </c>
      <c r="H23" s="148">
        <v>4</v>
      </c>
      <c r="I23" s="148">
        <v>4</v>
      </c>
      <c r="J23" s="148">
        <v>4</v>
      </c>
      <c r="K23" s="148">
        <v>3</v>
      </c>
      <c r="L23" s="148">
        <v>4</v>
      </c>
      <c r="M23" s="6">
        <f t="shared" si="0"/>
        <v>3.8</v>
      </c>
      <c r="N23" s="6">
        <f t="shared" si="1"/>
        <v>4</v>
      </c>
      <c r="O23" s="6">
        <f t="shared" si="2"/>
        <v>4</v>
      </c>
      <c r="P23" s="6">
        <f t="shared" si="3"/>
        <v>4</v>
      </c>
      <c r="Q23" s="6">
        <f t="shared" si="4"/>
        <v>4</v>
      </c>
      <c r="R23" s="6">
        <f t="shared" si="5"/>
        <v>19</v>
      </c>
      <c r="S23" s="67">
        <f t="shared" si="6"/>
        <v>0.20221606648199444</v>
      </c>
      <c r="U23" s="188">
        <v>1</v>
      </c>
      <c r="V23" s="9">
        <v>2</v>
      </c>
      <c r="W23" s="9">
        <v>4</v>
      </c>
      <c r="X23" s="9">
        <v>0</v>
      </c>
      <c r="Y23" s="9">
        <v>1</v>
      </c>
      <c r="AA23" s="6">
        <f t="shared" si="7"/>
        <v>4</v>
      </c>
      <c r="AB23" s="6">
        <f t="shared" si="8"/>
        <v>2</v>
      </c>
      <c r="AC23" s="6">
        <f t="shared" si="9"/>
        <v>1</v>
      </c>
      <c r="AD23" s="6">
        <f t="shared" si="10"/>
        <v>8</v>
      </c>
      <c r="AE23" s="67">
        <f t="shared" si="11"/>
        <v>0.34375</v>
      </c>
      <c r="AH23" s="186">
        <v>4</v>
      </c>
      <c r="AI23" s="80">
        <v>1</v>
      </c>
      <c r="AJ23" s="80">
        <v>4</v>
      </c>
      <c r="AK23" s="80">
        <v>0</v>
      </c>
      <c r="AL23" s="80">
        <v>1</v>
      </c>
      <c r="AN23" s="62">
        <f t="shared" si="12"/>
        <v>4</v>
      </c>
      <c r="AO23" s="62">
        <f t="shared" si="13"/>
        <v>4</v>
      </c>
      <c r="AP23" s="6">
        <f t="shared" si="14"/>
        <v>1</v>
      </c>
      <c r="AR23" s="6">
        <f t="shared" si="15"/>
        <v>10</v>
      </c>
      <c r="AS23" s="67">
        <f t="shared" si="16"/>
        <v>0.34000000000000008</v>
      </c>
      <c r="AV23" s="189">
        <v>4</v>
      </c>
      <c r="AW23" s="95">
        <v>4</v>
      </c>
      <c r="AX23" s="95">
        <v>2</v>
      </c>
      <c r="AY23" s="95">
        <v>0</v>
      </c>
      <c r="AZ23" s="95">
        <v>2</v>
      </c>
      <c r="BB23" s="6">
        <f t="shared" si="17"/>
        <v>4</v>
      </c>
      <c r="BC23" s="6">
        <f t="shared" si="18"/>
        <v>4</v>
      </c>
      <c r="BD23" s="6">
        <f t="shared" si="19"/>
        <v>2</v>
      </c>
      <c r="BE23" s="6">
        <f t="shared" si="20"/>
        <v>12</v>
      </c>
      <c r="BF23" s="67">
        <f t="shared" si="21"/>
        <v>0.27777777777777779</v>
      </c>
    </row>
    <row r="24" spans="1:58" x14ac:dyDescent="0.2">
      <c r="A24" s="89"/>
      <c r="B24" s="89"/>
      <c r="C24" s="89"/>
      <c r="D24" s="89"/>
      <c r="E24" s="89"/>
      <c r="F24" s="318"/>
      <c r="G24" s="191" t="s">
        <v>38</v>
      </c>
      <c r="H24" s="148">
        <v>4</v>
      </c>
      <c r="I24" s="148">
        <v>3</v>
      </c>
      <c r="J24" s="148">
        <v>3</v>
      </c>
      <c r="K24" s="148">
        <v>4</v>
      </c>
      <c r="L24" s="148">
        <v>4</v>
      </c>
      <c r="M24" s="6">
        <f t="shared" si="0"/>
        <v>3.6</v>
      </c>
      <c r="N24" s="6">
        <f t="shared" si="1"/>
        <v>4</v>
      </c>
      <c r="O24" s="6">
        <f t="shared" si="2"/>
        <v>4</v>
      </c>
      <c r="P24" s="6">
        <f t="shared" si="3"/>
        <v>4</v>
      </c>
      <c r="Q24" s="6">
        <f t="shared" si="4"/>
        <v>3</v>
      </c>
      <c r="R24" s="6">
        <f t="shared" si="5"/>
        <v>18</v>
      </c>
      <c r="S24" s="67">
        <f t="shared" si="6"/>
        <v>0.20370370370370369</v>
      </c>
      <c r="U24" s="188">
        <v>2</v>
      </c>
      <c r="V24" s="9">
        <v>1</v>
      </c>
      <c r="W24" s="9">
        <v>4</v>
      </c>
      <c r="X24" s="9">
        <v>1</v>
      </c>
      <c r="Y24" s="9">
        <v>2</v>
      </c>
      <c r="AA24" s="6">
        <f t="shared" si="7"/>
        <v>4</v>
      </c>
      <c r="AB24" s="6">
        <f t="shared" si="8"/>
        <v>2</v>
      </c>
      <c r="AC24" s="6">
        <f t="shared" si="9"/>
        <v>2</v>
      </c>
      <c r="AD24" s="6">
        <f t="shared" si="10"/>
        <v>10</v>
      </c>
      <c r="AE24" s="67">
        <f t="shared" si="11"/>
        <v>0.26000000000000006</v>
      </c>
      <c r="AH24" s="186">
        <v>4</v>
      </c>
      <c r="AI24" s="80">
        <v>1</v>
      </c>
      <c r="AJ24" s="80">
        <v>3</v>
      </c>
      <c r="AK24" s="80">
        <v>1</v>
      </c>
      <c r="AL24" s="80">
        <v>1</v>
      </c>
      <c r="AN24" s="62">
        <f t="shared" si="12"/>
        <v>4</v>
      </c>
      <c r="AO24" s="62">
        <f t="shared" si="13"/>
        <v>3</v>
      </c>
      <c r="AP24" s="6">
        <f t="shared" si="14"/>
        <v>1</v>
      </c>
      <c r="AR24" s="6">
        <f t="shared" si="15"/>
        <v>10</v>
      </c>
      <c r="AS24" s="67">
        <f t="shared" si="16"/>
        <v>0.28000000000000003</v>
      </c>
      <c r="AV24" s="189">
        <v>4</v>
      </c>
      <c r="AW24" s="95">
        <v>4</v>
      </c>
      <c r="AX24" s="95">
        <v>1</v>
      </c>
      <c r="AY24" s="95">
        <v>4</v>
      </c>
      <c r="AZ24" s="95">
        <v>3</v>
      </c>
      <c r="BB24" s="6">
        <f t="shared" si="17"/>
        <v>4</v>
      </c>
      <c r="BC24" s="6">
        <f t="shared" si="18"/>
        <v>4</v>
      </c>
      <c r="BD24" s="6">
        <f t="shared" si="19"/>
        <v>4</v>
      </c>
      <c r="BE24" s="6">
        <f t="shared" si="20"/>
        <v>16</v>
      </c>
      <c r="BF24" s="67">
        <f t="shared" si="21"/>
        <v>0.2265625</v>
      </c>
    </row>
    <row r="25" spans="1:58" x14ac:dyDescent="0.2">
      <c r="A25" s="89"/>
      <c r="B25" s="89"/>
      <c r="C25" s="89"/>
      <c r="D25" s="89"/>
      <c r="E25" s="89"/>
      <c r="F25" s="317" t="s">
        <v>40</v>
      </c>
      <c r="G25" s="58" t="s">
        <v>123</v>
      </c>
      <c r="H25" s="148">
        <v>3</v>
      </c>
      <c r="I25" s="148">
        <v>4</v>
      </c>
      <c r="J25" s="148">
        <v>3</v>
      </c>
      <c r="K25" s="148">
        <v>4</v>
      </c>
      <c r="L25" s="148">
        <v>4</v>
      </c>
      <c r="M25" s="6">
        <f t="shared" si="0"/>
        <v>3.6</v>
      </c>
      <c r="N25" s="6">
        <f t="shared" si="1"/>
        <v>4</v>
      </c>
      <c r="O25" s="6">
        <f t="shared" si="2"/>
        <v>4</v>
      </c>
      <c r="P25" s="6">
        <f t="shared" si="3"/>
        <v>4</v>
      </c>
      <c r="Q25" s="6">
        <f t="shared" si="4"/>
        <v>3</v>
      </c>
      <c r="R25" s="6">
        <f t="shared" si="5"/>
        <v>18</v>
      </c>
      <c r="S25" s="67">
        <f t="shared" si="6"/>
        <v>0.20370370370370369</v>
      </c>
      <c r="U25" s="185">
        <v>0</v>
      </c>
      <c r="V25" s="110">
        <v>4</v>
      </c>
      <c r="W25" s="110">
        <v>1</v>
      </c>
      <c r="X25" s="110">
        <v>0</v>
      </c>
      <c r="Y25" s="110">
        <v>2</v>
      </c>
      <c r="AA25" s="6">
        <f t="shared" si="7"/>
        <v>4</v>
      </c>
      <c r="AB25" s="6">
        <f t="shared" si="8"/>
        <v>2</v>
      </c>
      <c r="AC25" s="6">
        <f t="shared" si="9"/>
        <v>1</v>
      </c>
      <c r="AD25" s="6">
        <f t="shared" si="10"/>
        <v>7</v>
      </c>
      <c r="AE25" s="67">
        <f t="shared" si="11"/>
        <v>0.42857142857142855</v>
      </c>
      <c r="AH25" s="186">
        <v>1</v>
      </c>
      <c r="AI25" s="80">
        <v>4</v>
      </c>
      <c r="AJ25" s="80">
        <v>3</v>
      </c>
      <c r="AK25" s="80">
        <v>0</v>
      </c>
      <c r="AL25" s="80">
        <v>1</v>
      </c>
      <c r="AN25" s="62">
        <f t="shared" si="12"/>
        <v>4</v>
      </c>
      <c r="AO25" s="62">
        <f t="shared" si="13"/>
        <v>3</v>
      </c>
      <c r="AP25" s="6">
        <f t="shared" si="14"/>
        <v>1</v>
      </c>
      <c r="AR25" s="6">
        <f t="shared" si="15"/>
        <v>9</v>
      </c>
      <c r="AS25" s="67">
        <f t="shared" si="16"/>
        <v>0.33333333333333331</v>
      </c>
      <c r="AV25" s="189">
        <v>2</v>
      </c>
      <c r="AW25" s="95">
        <v>4</v>
      </c>
      <c r="AX25" s="95">
        <v>1</v>
      </c>
      <c r="AY25" s="80">
        <v>2</v>
      </c>
      <c r="AZ25" s="80">
        <v>2</v>
      </c>
      <c r="BB25" s="6">
        <f t="shared" si="17"/>
        <v>4</v>
      </c>
      <c r="BC25" s="6">
        <f t="shared" si="18"/>
        <v>2</v>
      </c>
      <c r="BD25" s="6">
        <f t="shared" si="19"/>
        <v>2</v>
      </c>
      <c r="BE25" s="6">
        <f t="shared" si="20"/>
        <v>11</v>
      </c>
      <c r="BF25" s="67">
        <f t="shared" si="21"/>
        <v>0.23966942148760331</v>
      </c>
    </row>
    <row r="26" spans="1:58" x14ac:dyDescent="0.2">
      <c r="A26" s="89"/>
      <c r="B26" s="89"/>
      <c r="C26" s="89"/>
      <c r="D26" s="89"/>
      <c r="E26" s="89"/>
      <c r="F26" s="318"/>
      <c r="G26" s="58" t="s">
        <v>124</v>
      </c>
      <c r="H26" s="148">
        <v>3</v>
      </c>
      <c r="I26" s="148">
        <v>3</v>
      </c>
      <c r="J26" s="7">
        <v>2</v>
      </c>
      <c r="K26" s="148">
        <v>4</v>
      </c>
      <c r="L26" s="148">
        <v>4</v>
      </c>
      <c r="M26" s="6">
        <f t="shared" si="0"/>
        <v>3.2</v>
      </c>
      <c r="N26" s="6">
        <f t="shared" si="1"/>
        <v>4</v>
      </c>
      <c r="O26" s="6">
        <f t="shared" si="2"/>
        <v>4</v>
      </c>
      <c r="P26" s="6">
        <f t="shared" si="3"/>
        <v>3</v>
      </c>
      <c r="Q26" s="6">
        <f t="shared" si="4"/>
        <v>3</v>
      </c>
      <c r="R26" s="6">
        <f t="shared" si="5"/>
        <v>16</v>
      </c>
      <c r="S26" s="67">
        <f t="shared" si="6"/>
        <v>0.2109375</v>
      </c>
      <c r="U26" s="185">
        <v>0</v>
      </c>
      <c r="V26" s="110">
        <v>4</v>
      </c>
      <c r="W26" s="110">
        <v>1</v>
      </c>
      <c r="X26" s="110">
        <v>2</v>
      </c>
      <c r="Y26" s="110">
        <v>3</v>
      </c>
      <c r="AA26" s="6">
        <f t="shared" si="7"/>
        <v>4</v>
      </c>
      <c r="AB26" s="6">
        <f t="shared" si="8"/>
        <v>3</v>
      </c>
      <c r="AC26" s="6">
        <f t="shared" si="9"/>
        <v>2</v>
      </c>
      <c r="AD26" s="6">
        <f t="shared" si="10"/>
        <v>10</v>
      </c>
      <c r="AE26" s="67">
        <f t="shared" si="11"/>
        <v>0.30000000000000004</v>
      </c>
      <c r="AH26" s="186">
        <v>1</v>
      </c>
      <c r="AI26" s="80">
        <v>4</v>
      </c>
      <c r="AJ26" s="80">
        <v>3</v>
      </c>
      <c r="AK26" s="80">
        <v>4</v>
      </c>
      <c r="AL26" s="80">
        <v>2</v>
      </c>
      <c r="AN26" s="62">
        <f t="shared" si="12"/>
        <v>4</v>
      </c>
      <c r="AO26" s="62">
        <f t="shared" si="13"/>
        <v>4</v>
      </c>
      <c r="AP26" s="6">
        <f t="shared" si="14"/>
        <v>3</v>
      </c>
      <c r="AR26" s="6">
        <f t="shared" si="15"/>
        <v>14</v>
      </c>
      <c r="AS26" s="67">
        <f t="shared" si="16"/>
        <v>0.23469387755102036</v>
      </c>
      <c r="AV26" s="189">
        <v>2</v>
      </c>
      <c r="AW26" s="95">
        <v>4</v>
      </c>
      <c r="AX26" s="95">
        <v>1</v>
      </c>
      <c r="AY26" s="80">
        <v>1</v>
      </c>
      <c r="AZ26" s="80">
        <v>3</v>
      </c>
      <c r="BB26" s="6">
        <f t="shared" si="17"/>
        <v>4</v>
      </c>
      <c r="BC26" s="6">
        <f t="shared" si="18"/>
        <v>3</v>
      </c>
      <c r="BD26" s="6">
        <f t="shared" si="19"/>
        <v>2</v>
      </c>
      <c r="BE26" s="6">
        <f t="shared" si="20"/>
        <v>11</v>
      </c>
      <c r="BF26" s="67">
        <f t="shared" si="21"/>
        <v>0.256198347107438</v>
      </c>
    </row>
    <row r="27" spans="1:58" x14ac:dyDescent="0.2">
      <c r="A27" s="89"/>
      <c r="B27" s="89"/>
      <c r="C27" s="89"/>
      <c r="D27" s="89"/>
      <c r="E27" s="89"/>
      <c r="F27" s="318"/>
      <c r="G27" s="113" t="s">
        <v>41</v>
      </c>
      <c r="H27" s="148">
        <v>3</v>
      </c>
      <c r="I27" s="148">
        <v>3</v>
      </c>
      <c r="J27" s="7">
        <v>2</v>
      </c>
      <c r="K27" s="148">
        <v>3</v>
      </c>
      <c r="L27" s="148">
        <v>4</v>
      </c>
      <c r="M27" s="6">
        <f t="shared" si="0"/>
        <v>3</v>
      </c>
      <c r="N27" s="6">
        <f t="shared" si="1"/>
        <v>4</v>
      </c>
      <c r="O27" s="6">
        <f t="shared" si="2"/>
        <v>3</v>
      </c>
      <c r="P27" s="6">
        <f t="shared" si="3"/>
        <v>3</v>
      </c>
      <c r="Q27" s="6">
        <f t="shared" si="4"/>
        <v>3</v>
      </c>
      <c r="R27" s="6">
        <f t="shared" si="5"/>
        <v>15</v>
      </c>
      <c r="S27" s="67">
        <f t="shared" si="6"/>
        <v>0.2088888888888889</v>
      </c>
      <c r="U27" s="188">
        <v>0</v>
      </c>
      <c r="V27" s="9">
        <v>4</v>
      </c>
      <c r="W27" s="9">
        <v>1</v>
      </c>
      <c r="X27" s="9">
        <v>0</v>
      </c>
      <c r="Y27" s="9">
        <v>4</v>
      </c>
      <c r="AA27" s="6">
        <f t="shared" si="7"/>
        <v>4</v>
      </c>
      <c r="AB27" s="6">
        <f t="shared" si="8"/>
        <v>4</v>
      </c>
      <c r="AC27" s="6">
        <f t="shared" si="9"/>
        <v>1</v>
      </c>
      <c r="AD27" s="6">
        <f t="shared" si="10"/>
        <v>9</v>
      </c>
      <c r="AE27" s="67">
        <f t="shared" si="11"/>
        <v>0.40740740740740738</v>
      </c>
      <c r="AH27" s="186">
        <v>3</v>
      </c>
      <c r="AI27" s="80">
        <v>2</v>
      </c>
      <c r="AJ27" s="80">
        <v>2</v>
      </c>
      <c r="AK27" s="80">
        <v>1</v>
      </c>
      <c r="AL27" s="80">
        <v>4</v>
      </c>
      <c r="AN27" s="62">
        <f t="shared" si="12"/>
        <v>4</v>
      </c>
      <c r="AO27" s="62">
        <f t="shared" si="13"/>
        <v>3</v>
      </c>
      <c r="AP27" s="6">
        <f t="shared" si="14"/>
        <v>2</v>
      </c>
      <c r="AR27" s="6">
        <f t="shared" si="15"/>
        <v>12</v>
      </c>
      <c r="AS27" s="67">
        <f t="shared" si="16"/>
        <v>0.2361111111111111</v>
      </c>
      <c r="AV27" s="189">
        <v>1</v>
      </c>
      <c r="AW27" s="95">
        <v>2</v>
      </c>
      <c r="AX27" s="95">
        <v>1</v>
      </c>
      <c r="AY27" s="95">
        <v>4</v>
      </c>
      <c r="AZ27" s="95">
        <v>2</v>
      </c>
      <c r="BB27" s="6">
        <f t="shared" si="17"/>
        <v>4</v>
      </c>
      <c r="BC27" s="6">
        <f t="shared" si="18"/>
        <v>2</v>
      </c>
      <c r="BD27" s="6">
        <f t="shared" si="19"/>
        <v>2</v>
      </c>
      <c r="BE27" s="6">
        <f t="shared" si="20"/>
        <v>10</v>
      </c>
      <c r="BF27" s="67">
        <f t="shared" si="21"/>
        <v>0.26</v>
      </c>
    </row>
    <row r="28" spans="1:58" x14ac:dyDescent="0.2">
      <c r="A28" s="89"/>
      <c r="B28" s="89"/>
      <c r="C28" s="89"/>
      <c r="D28" s="89"/>
      <c r="E28" s="89"/>
      <c r="F28" s="318"/>
      <c r="G28" s="113" t="s">
        <v>43</v>
      </c>
      <c r="H28" s="148">
        <v>3</v>
      </c>
      <c r="I28" s="148">
        <v>4</v>
      </c>
      <c r="J28" s="148">
        <v>4</v>
      </c>
      <c r="K28" s="148">
        <v>3</v>
      </c>
      <c r="L28" s="148">
        <v>4</v>
      </c>
      <c r="M28" s="6">
        <f t="shared" si="0"/>
        <v>3.6</v>
      </c>
      <c r="N28" s="6">
        <f t="shared" si="1"/>
        <v>4</v>
      </c>
      <c r="O28" s="6">
        <f t="shared" si="2"/>
        <v>4</v>
      </c>
      <c r="P28" s="6">
        <f t="shared" si="3"/>
        <v>4</v>
      </c>
      <c r="Q28" s="6">
        <f t="shared" si="4"/>
        <v>3</v>
      </c>
      <c r="R28" s="6">
        <f t="shared" si="5"/>
        <v>18</v>
      </c>
      <c r="S28" s="67">
        <f t="shared" si="6"/>
        <v>0.20370370370370372</v>
      </c>
      <c r="U28" s="188">
        <v>1</v>
      </c>
      <c r="V28" s="9">
        <v>4</v>
      </c>
      <c r="W28" s="9">
        <v>1</v>
      </c>
      <c r="X28" s="9">
        <v>2</v>
      </c>
      <c r="Y28" s="9">
        <v>3</v>
      </c>
      <c r="AA28" s="6">
        <f t="shared" si="7"/>
        <v>4</v>
      </c>
      <c r="AB28" s="6">
        <f t="shared" si="8"/>
        <v>3</v>
      </c>
      <c r="AC28" s="6">
        <f t="shared" si="9"/>
        <v>2</v>
      </c>
      <c r="AD28" s="6">
        <f t="shared" si="10"/>
        <v>11</v>
      </c>
      <c r="AE28" s="67">
        <f t="shared" si="11"/>
        <v>0.256198347107438</v>
      </c>
      <c r="AH28" s="186">
        <v>4</v>
      </c>
      <c r="AI28" s="80">
        <v>3</v>
      </c>
      <c r="AJ28" s="80">
        <v>4</v>
      </c>
      <c r="AK28" s="80">
        <v>0</v>
      </c>
      <c r="AL28" s="80">
        <v>3</v>
      </c>
      <c r="AN28" s="62">
        <f t="shared" si="12"/>
        <v>4</v>
      </c>
      <c r="AO28" s="62">
        <f t="shared" si="13"/>
        <v>4</v>
      </c>
      <c r="AP28" s="6">
        <f t="shared" si="14"/>
        <v>3</v>
      </c>
      <c r="AR28" s="6">
        <f t="shared" si="15"/>
        <v>14</v>
      </c>
      <c r="AS28" s="67">
        <f t="shared" si="16"/>
        <v>0.25510204081632648</v>
      </c>
      <c r="AV28" s="189">
        <v>2</v>
      </c>
      <c r="AW28" s="95">
        <v>2</v>
      </c>
      <c r="AX28" s="95">
        <v>1</v>
      </c>
      <c r="AY28" s="95">
        <v>4</v>
      </c>
      <c r="AZ28" s="95">
        <v>2</v>
      </c>
      <c r="BB28" s="6">
        <f t="shared" si="17"/>
        <v>4</v>
      </c>
      <c r="BC28" s="6">
        <f t="shared" si="18"/>
        <v>2</v>
      </c>
      <c r="BD28" s="6">
        <f t="shared" si="19"/>
        <v>2</v>
      </c>
      <c r="BE28" s="6">
        <f t="shared" si="20"/>
        <v>11</v>
      </c>
      <c r="BF28" s="67">
        <f t="shared" si="21"/>
        <v>0.23966942148760331</v>
      </c>
    </row>
    <row r="29" spans="1:58" ht="15.75" customHeight="1" x14ac:dyDescent="0.2">
      <c r="A29" s="89"/>
      <c r="B29" s="89"/>
      <c r="C29" s="89"/>
      <c r="D29" s="89"/>
      <c r="E29" s="89"/>
      <c r="F29" s="318"/>
      <c r="G29" s="113" t="s">
        <v>45</v>
      </c>
      <c r="H29" s="148">
        <v>3</v>
      </c>
      <c r="I29" s="148">
        <v>3</v>
      </c>
      <c r="J29" s="7">
        <v>2</v>
      </c>
      <c r="K29" s="148">
        <v>3</v>
      </c>
      <c r="L29" s="148">
        <v>4</v>
      </c>
      <c r="M29" s="6">
        <f t="shared" si="0"/>
        <v>3</v>
      </c>
      <c r="N29" s="6">
        <f t="shared" si="1"/>
        <v>4</v>
      </c>
      <c r="O29" s="6">
        <f t="shared" si="2"/>
        <v>3</v>
      </c>
      <c r="P29" s="6">
        <f t="shared" si="3"/>
        <v>3</v>
      </c>
      <c r="Q29" s="6">
        <f t="shared" si="4"/>
        <v>3</v>
      </c>
      <c r="R29" s="6">
        <f t="shared" si="5"/>
        <v>15</v>
      </c>
      <c r="S29" s="67">
        <f t="shared" si="6"/>
        <v>0.2088888888888889</v>
      </c>
      <c r="U29" s="188">
        <v>0</v>
      </c>
      <c r="V29" s="9">
        <v>4</v>
      </c>
      <c r="W29" s="9">
        <v>1</v>
      </c>
      <c r="X29" s="9">
        <v>0</v>
      </c>
      <c r="Y29" s="9">
        <v>2</v>
      </c>
      <c r="AA29" s="6">
        <f t="shared" si="7"/>
        <v>4</v>
      </c>
      <c r="AB29" s="6">
        <f t="shared" si="8"/>
        <v>2</v>
      </c>
      <c r="AC29" s="6">
        <f t="shared" si="9"/>
        <v>1</v>
      </c>
      <c r="AD29" s="6">
        <f t="shared" si="10"/>
        <v>7</v>
      </c>
      <c r="AE29" s="67">
        <f t="shared" si="11"/>
        <v>0.42857142857142855</v>
      </c>
      <c r="AH29" s="186">
        <v>2</v>
      </c>
      <c r="AI29" s="80">
        <v>2</v>
      </c>
      <c r="AJ29" s="80">
        <v>3</v>
      </c>
      <c r="AK29" s="80">
        <v>0</v>
      </c>
      <c r="AL29" s="80">
        <v>2</v>
      </c>
      <c r="AN29" s="62">
        <f t="shared" si="12"/>
        <v>3</v>
      </c>
      <c r="AO29" s="62">
        <f t="shared" si="13"/>
        <v>2</v>
      </c>
      <c r="AP29" s="6">
        <f t="shared" si="14"/>
        <v>2</v>
      </c>
      <c r="AR29" s="6">
        <f t="shared" si="15"/>
        <v>9</v>
      </c>
      <c r="AS29" s="67">
        <f t="shared" si="16"/>
        <v>0.25925925925925924</v>
      </c>
      <c r="AV29" s="189">
        <v>3</v>
      </c>
      <c r="AW29" s="95">
        <v>3</v>
      </c>
      <c r="AX29" s="95">
        <v>1</v>
      </c>
      <c r="AY29" s="95">
        <v>4</v>
      </c>
      <c r="AZ29" s="95">
        <v>3</v>
      </c>
      <c r="BB29" s="6">
        <f t="shared" si="17"/>
        <v>4</v>
      </c>
      <c r="BC29" s="6">
        <f t="shared" si="18"/>
        <v>3</v>
      </c>
      <c r="BD29" s="6">
        <f t="shared" si="19"/>
        <v>3</v>
      </c>
      <c r="BE29" s="6">
        <f t="shared" si="20"/>
        <v>14</v>
      </c>
      <c r="BF29" s="67">
        <f t="shared" si="21"/>
        <v>0.22448979591836732</v>
      </c>
    </row>
    <row r="30" spans="1:58" ht="15.75" customHeight="1" x14ac:dyDescent="0.2">
      <c r="A30" s="89"/>
      <c r="B30" s="89"/>
      <c r="C30" s="89"/>
      <c r="D30" s="89"/>
      <c r="E30" s="89"/>
      <c r="F30" s="318"/>
      <c r="G30" s="113" t="s">
        <v>47</v>
      </c>
      <c r="H30" s="148">
        <v>3</v>
      </c>
      <c r="I30" s="148">
        <v>4</v>
      </c>
      <c r="J30" s="148">
        <v>3</v>
      </c>
      <c r="K30" s="148">
        <v>3</v>
      </c>
      <c r="L30" s="148">
        <v>4</v>
      </c>
      <c r="M30" s="6">
        <f t="shared" si="0"/>
        <v>3.4</v>
      </c>
      <c r="N30" s="6">
        <f t="shared" si="1"/>
        <v>4</v>
      </c>
      <c r="O30" s="6">
        <f t="shared" si="2"/>
        <v>4</v>
      </c>
      <c r="P30" s="6">
        <f t="shared" si="3"/>
        <v>3</v>
      </c>
      <c r="Q30" s="6">
        <f t="shared" si="4"/>
        <v>3</v>
      </c>
      <c r="R30" s="6">
        <f t="shared" si="5"/>
        <v>17</v>
      </c>
      <c r="S30" s="67">
        <f t="shared" si="6"/>
        <v>0.20415224913494812</v>
      </c>
      <c r="U30" s="188">
        <v>1</v>
      </c>
      <c r="V30" s="9">
        <v>4</v>
      </c>
      <c r="W30" s="9">
        <v>0</v>
      </c>
      <c r="X30" s="9">
        <v>1</v>
      </c>
      <c r="Y30" s="9">
        <v>2</v>
      </c>
      <c r="AA30" s="6">
        <f t="shared" si="7"/>
        <v>4</v>
      </c>
      <c r="AB30" s="6">
        <f t="shared" si="8"/>
        <v>2</v>
      </c>
      <c r="AC30" s="6">
        <f t="shared" si="9"/>
        <v>1</v>
      </c>
      <c r="AD30" s="6">
        <f t="shared" si="10"/>
        <v>8</v>
      </c>
      <c r="AE30" s="67">
        <f t="shared" si="11"/>
        <v>0.34375</v>
      </c>
      <c r="AH30" s="186">
        <v>4</v>
      </c>
      <c r="AI30" s="80">
        <v>3</v>
      </c>
      <c r="AJ30" s="80">
        <v>3</v>
      </c>
      <c r="AK30" s="80">
        <v>0</v>
      </c>
      <c r="AL30" s="80">
        <v>1</v>
      </c>
      <c r="AN30" s="62">
        <f t="shared" si="12"/>
        <v>4</v>
      </c>
      <c r="AO30" s="62">
        <f t="shared" si="13"/>
        <v>3</v>
      </c>
      <c r="AP30" s="6">
        <f t="shared" si="14"/>
        <v>3</v>
      </c>
      <c r="AR30" s="6">
        <f t="shared" si="15"/>
        <v>11</v>
      </c>
      <c r="AS30" s="67">
        <f t="shared" si="16"/>
        <v>0.28925619834710736</v>
      </c>
      <c r="AV30" s="189">
        <v>3</v>
      </c>
      <c r="AW30" s="95">
        <v>4</v>
      </c>
      <c r="AX30" s="95">
        <v>1</v>
      </c>
      <c r="AY30" s="95">
        <v>2</v>
      </c>
      <c r="AZ30" s="95">
        <v>1</v>
      </c>
      <c r="BB30" s="6">
        <f t="shared" si="17"/>
        <v>4</v>
      </c>
      <c r="BC30" s="6">
        <f t="shared" si="18"/>
        <v>3</v>
      </c>
      <c r="BD30" s="6">
        <f t="shared" si="19"/>
        <v>2</v>
      </c>
      <c r="BE30" s="6">
        <f t="shared" si="20"/>
        <v>11</v>
      </c>
      <c r="BF30" s="67">
        <f t="shared" si="21"/>
        <v>0.256198347107438</v>
      </c>
    </row>
    <row r="31" spans="1:58" ht="15.75" customHeight="1" x14ac:dyDescent="0.2">
      <c r="A31" s="89"/>
      <c r="B31" s="89"/>
      <c r="C31" s="89"/>
      <c r="D31" s="89"/>
      <c r="E31" s="89"/>
      <c r="F31" s="318"/>
      <c r="G31" s="113" t="s">
        <v>49</v>
      </c>
      <c r="H31" s="148">
        <v>3</v>
      </c>
      <c r="I31" s="148">
        <v>4</v>
      </c>
      <c r="J31" s="7">
        <v>2</v>
      </c>
      <c r="K31" s="148">
        <v>3</v>
      </c>
      <c r="L31" s="148">
        <v>4</v>
      </c>
      <c r="M31" s="6">
        <f t="shared" si="0"/>
        <v>3.2</v>
      </c>
      <c r="N31" s="6">
        <f t="shared" si="1"/>
        <v>4</v>
      </c>
      <c r="O31" s="6">
        <f t="shared" si="2"/>
        <v>4</v>
      </c>
      <c r="P31" s="6">
        <f t="shared" si="3"/>
        <v>3</v>
      </c>
      <c r="Q31" s="6">
        <f t="shared" si="4"/>
        <v>3</v>
      </c>
      <c r="R31" s="6">
        <f t="shared" si="5"/>
        <v>16</v>
      </c>
      <c r="S31" s="67">
        <f t="shared" si="6"/>
        <v>0.2109375</v>
      </c>
      <c r="U31" s="188">
        <v>0</v>
      </c>
      <c r="V31" s="9">
        <v>4</v>
      </c>
      <c r="W31" s="9">
        <v>0</v>
      </c>
      <c r="X31" s="9">
        <v>1</v>
      </c>
      <c r="Y31" s="9">
        <v>2</v>
      </c>
      <c r="AA31" s="6">
        <f t="shared" si="7"/>
        <v>4</v>
      </c>
      <c r="AB31" s="6">
        <f t="shared" si="8"/>
        <v>2</v>
      </c>
      <c r="AC31" s="6">
        <f t="shared" si="9"/>
        <v>1</v>
      </c>
      <c r="AD31" s="6">
        <f t="shared" si="10"/>
        <v>7</v>
      </c>
      <c r="AE31" s="67">
        <f t="shared" si="11"/>
        <v>0.42857142857142855</v>
      </c>
      <c r="AH31" s="186">
        <v>2</v>
      </c>
      <c r="AI31" s="80">
        <v>4</v>
      </c>
      <c r="AJ31" s="80">
        <v>3</v>
      </c>
      <c r="AK31" s="80">
        <v>3</v>
      </c>
      <c r="AL31" s="80">
        <v>3</v>
      </c>
      <c r="AN31" s="62">
        <f t="shared" si="12"/>
        <v>4</v>
      </c>
      <c r="AO31" s="62">
        <f t="shared" si="13"/>
        <v>3</v>
      </c>
      <c r="AP31" s="6">
        <f t="shared" si="14"/>
        <v>3</v>
      </c>
      <c r="AR31" s="6">
        <f t="shared" si="15"/>
        <v>15</v>
      </c>
      <c r="AS31" s="67">
        <f t="shared" si="16"/>
        <v>0.2088888888888889</v>
      </c>
      <c r="AV31" s="189">
        <v>2</v>
      </c>
      <c r="AW31" s="95">
        <v>4</v>
      </c>
      <c r="AX31" s="95">
        <v>2</v>
      </c>
      <c r="AY31" s="95">
        <v>4</v>
      </c>
      <c r="AZ31" s="95">
        <v>3</v>
      </c>
      <c r="BB31" s="6">
        <f t="shared" si="17"/>
        <v>4</v>
      </c>
      <c r="BC31" s="6">
        <f t="shared" si="18"/>
        <v>4</v>
      </c>
      <c r="BD31" s="6">
        <f t="shared" si="19"/>
        <v>3</v>
      </c>
      <c r="BE31" s="6">
        <f t="shared" si="20"/>
        <v>15</v>
      </c>
      <c r="BF31" s="67">
        <f t="shared" si="21"/>
        <v>0.21777777777777779</v>
      </c>
    </row>
    <row r="32" spans="1:58" ht="15.75" customHeight="1" x14ac:dyDescent="0.2">
      <c r="A32" s="89"/>
      <c r="B32" s="89"/>
      <c r="C32" s="89"/>
      <c r="D32" s="89"/>
      <c r="E32" s="89"/>
      <c r="F32" s="317" t="s">
        <v>51</v>
      </c>
      <c r="G32" s="60" t="s">
        <v>125</v>
      </c>
      <c r="H32" s="148">
        <v>3</v>
      </c>
      <c r="I32" s="7">
        <v>2</v>
      </c>
      <c r="J32" s="7">
        <v>2</v>
      </c>
      <c r="K32" s="148">
        <v>4</v>
      </c>
      <c r="L32" s="148">
        <v>4</v>
      </c>
      <c r="M32" s="6">
        <f t="shared" si="0"/>
        <v>3</v>
      </c>
      <c r="N32" s="6">
        <f t="shared" si="1"/>
        <v>4</v>
      </c>
      <c r="O32" s="6">
        <f t="shared" si="2"/>
        <v>4</v>
      </c>
      <c r="P32" s="6">
        <f t="shared" si="3"/>
        <v>3</v>
      </c>
      <c r="Q32" s="6">
        <f t="shared" si="4"/>
        <v>2</v>
      </c>
      <c r="R32" s="6">
        <f t="shared" si="5"/>
        <v>15</v>
      </c>
      <c r="S32" s="67">
        <f t="shared" si="6"/>
        <v>0.21777777777777779</v>
      </c>
      <c r="U32" s="185">
        <v>1</v>
      </c>
      <c r="V32" s="110">
        <v>2</v>
      </c>
      <c r="W32" s="110">
        <v>2</v>
      </c>
      <c r="X32" s="110">
        <v>3</v>
      </c>
      <c r="Y32" s="110">
        <v>4</v>
      </c>
      <c r="AA32" s="6">
        <f t="shared" si="7"/>
        <v>4</v>
      </c>
      <c r="AB32" s="6">
        <f t="shared" si="8"/>
        <v>3</v>
      </c>
      <c r="AC32" s="6">
        <f t="shared" si="9"/>
        <v>2</v>
      </c>
      <c r="AD32" s="6">
        <f t="shared" si="10"/>
        <v>12</v>
      </c>
      <c r="AE32" s="67">
        <f t="shared" si="11"/>
        <v>0.2361111111111111</v>
      </c>
      <c r="AH32" s="186">
        <v>2</v>
      </c>
      <c r="AI32" s="80">
        <v>4</v>
      </c>
      <c r="AJ32" s="80">
        <v>3</v>
      </c>
      <c r="AK32" s="80">
        <v>4</v>
      </c>
      <c r="AL32" s="80">
        <v>4</v>
      </c>
      <c r="AN32" s="62">
        <f t="shared" si="12"/>
        <v>4</v>
      </c>
      <c r="AO32" s="62">
        <f t="shared" si="13"/>
        <v>4</v>
      </c>
      <c r="AP32" s="6">
        <f t="shared" si="14"/>
        <v>4</v>
      </c>
      <c r="AR32" s="6">
        <f t="shared" si="15"/>
        <v>17</v>
      </c>
      <c r="AS32" s="67">
        <f t="shared" si="16"/>
        <v>0.21107266435986161</v>
      </c>
      <c r="AV32" s="64">
        <v>3</v>
      </c>
      <c r="AW32" s="95">
        <v>1</v>
      </c>
      <c r="AX32" s="95">
        <v>1</v>
      </c>
      <c r="AY32" s="95">
        <v>4</v>
      </c>
      <c r="AZ32" s="6">
        <v>2</v>
      </c>
      <c r="BB32" s="6">
        <f t="shared" si="17"/>
        <v>4</v>
      </c>
      <c r="BC32" s="6">
        <f t="shared" si="18"/>
        <v>3</v>
      </c>
      <c r="BD32" s="6">
        <f t="shared" si="19"/>
        <v>2</v>
      </c>
      <c r="BE32" s="6">
        <f t="shared" si="20"/>
        <v>11</v>
      </c>
      <c r="BF32" s="67">
        <f t="shared" si="21"/>
        <v>0.256198347107438</v>
      </c>
    </row>
    <row r="33" spans="1:68" ht="15.75" customHeight="1" x14ac:dyDescent="0.2">
      <c r="A33" s="89"/>
      <c r="B33" s="89"/>
      <c r="C33" s="89"/>
      <c r="D33" s="89"/>
      <c r="E33" s="89"/>
      <c r="F33" s="318"/>
      <c r="G33" s="60" t="s">
        <v>126</v>
      </c>
      <c r="H33" s="7">
        <v>2</v>
      </c>
      <c r="I33" s="7">
        <v>2</v>
      </c>
      <c r="J33" s="148">
        <v>3</v>
      </c>
      <c r="K33" s="148">
        <v>3</v>
      </c>
      <c r="L33" s="148">
        <v>4</v>
      </c>
      <c r="M33" s="6">
        <f t="shared" si="0"/>
        <v>2.8</v>
      </c>
      <c r="N33" s="6">
        <f t="shared" si="1"/>
        <v>4</v>
      </c>
      <c r="O33" s="6">
        <f t="shared" si="2"/>
        <v>3</v>
      </c>
      <c r="P33" s="6">
        <f t="shared" si="3"/>
        <v>3</v>
      </c>
      <c r="Q33" s="6">
        <f t="shared" si="4"/>
        <v>2</v>
      </c>
      <c r="R33" s="6">
        <f t="shared" si="5"/>
        <v>14</v>
      </c>
      <c r="S33" s="67">
        <f t="shared" si="6"/>
        <v>0.21428571428571425</v>
      </c>
      <c r="U33" s="185">
        <v>2</v>
      </c>
      <c r="V33" s="110">
        <v>0</v>
      </c>
      <c r="W33" s="110">
        <v>4</v>
      </c>
      <c r="X33" s="110">
        <v>1</v>
      </c>
      <c r="Y33" s="110">
        <v>2</v>
      </c>
      <c r="AA33" s="6">
        <f t="shared" si="7"/>
        <v>4</v>
      </c>
      <c r="AB33" s="6">
        <f t="shared" si="8"/>
        <v>2</v>
      </c>
      <c r="AC33" s="6">
        <f t="shared" si="9"/>
        <v>2</v>
      </c>
      <c r="AD33" s="6">
        <f t="shared" si="10"/>
        <v>9</v>
      </c>
      <c r="AE33" s="67">
        <f t="shared" si="11"/>
        <v>0.30864197530864196</v>
      </c>
      <c r="AH33" s="186">
        <v>3</v>
      </c>
      <c r="AI33" s="80">
        <v>2</v>
      </c>
      <c r="AJ33" s="80">
        <v>3</v>
      </c>
      <c r="AK33" s="80">
        <v>3</v>
      </c>
      <c r="AL33" s="80">
        <v>2</v>
      </c>
      <c r="AN33" s="62">
        <f t="shared" si="12"/>
        <v>3</v>
      </c>
      <c r="AO33" s="62">
        <f t="shared" si="13"/>
        <v>3</v>
      </c>
      <c r="AP33" s="6">
        <f t="shared" si="14"/>
        <v>3</v>
      </c>
      <c r="AR33" s="6">
        <f t="shared" si="15"/>
        <v>13</v>
      </c>
      <c r="AS33" s="67">
        <f t="shared" si="16"/>
        <v>0.20710059171597633</v>
      </c>
      <c r="AV33" s="64">
        <v>4</v>
      </c>
      <c r="AW33" s="95">
        <v>1</v>
      </c>
      <c r="AX33" s="95">
        <v>1</v>
      </c>
      <c r="AY33" s="95">
        <v>4</v>
      </c>
      <c r="AZ33" s="6">
        <v>2</v>
      </c>
      <c r="BB33" s="6">
        <f t="shared" si="17"/>
        <v>4</v>
      </c>
      <c r="BC33" s="6">
        <f t="shared" si="18"/>
        <v>4</v>
      </c>
      <c r="BD33" s="6">
        <f t="shared" si="19"/>
        <v>2</v>
      </c>
      <c r="BE33" s="6">
        <f t="shared" si="20"/>
        <v>12</v>
      </c>
      <c r="BF33" s="67">
        <f t="shared" si="21"/>
        <v>0.2638888888888889</v>
      </c>
    </row>
    <row r="34" spans="1:68" ht="15.75" customHeight="1" x14ac:dyDescent="0.2">
      <c r="A34" s="89"/>
      <c r="B34" s="89"/>
      <c r="C34" s="89"/>
      <c r="D34" s="89"/>
      <c r="E34" s="89"/>
      <c r="F34" s="318"/>
      <c r="G34" s="114" t="s">
        <v>52</v>
      </c>
      <c r="H34" s="148">
        <v>4</v>
      </c>
      <c r="I34" s="148">
        <v>4</v>
      </c>
      <c r="J34" s="148">
        <v>3</v>
      </c>
      <c r="K34" s="148">
        <v>3</v>
      </c>
      <c r="L34" s="148">
        <v>4</v>
      </c>
      <c r="M34" s="6">
        <f t="shared" si="0"/>
        <v>3.6</v>
      </c>
      <c r="N34" s="6">
        <f t="shared" si="1"/>
        <v>4</v>
      </c>
      <c r="O34" s="6">
        <f t="shared" si="2"/>
        <v>4</v>
      </c>
      <c r="P34" s="6">
        <f t="shared" si="3"/>
        <v>4</v>
      </c>
      <c r="Q34" s="6">
        <f t="shared" si="4"/>
        <v>3</v>
      </c>
      <c r="R34" s="6">
        <f t="shared" si="5"/>
        <v>18</v>
      </c>
      <c r="S34" s="67">
        <f t="shared" si="6"/>
        <v>0.20370370370370372</v>
      </c>
      <c r="U34" s="188">
        <v>2</v>
      </c>
      <c r="V34" s="9">
        <v>1</v>
      </c>
      <c r="W34" s="9">
        <v>2</v>
      </c>
      <c r="X34" s="9">
        <v>3</v>
      </c>
      <c r="Y34" s="9">
        <v>2</v>
      </c>
      <c r="AA34" s="6">
        <f t="shared" si="7"/>
        <v>3</v>
      </c>
      <c r="AB34" s="6">
        <f t="shared" si="8"/>
        <v>2</v>
      </c>
      <c r="AC34" s="6">
        <f t="shared" si="9"/>
        <v>2</v>
      </c>
      <c r="AD34" s="6">
        <f t="shared" si="10"/>
        <v>10</v>
      </c>
      <c r="AE34" s="67">
        <f t="shared" si="11"/>
        <v>0.22000000000000003</v>
      </c>
      <c r="AH34" s="186">
        <v>4</v>
      </c>
      <c r="AI34" s="80">
        <v>2</v>
      </c>
      <c r="AJ34" s="80">
        <v>4</v>
      </c>
      <c r="AK34" s="80">
        <v>0</v>
      </c>
      <c r="AL34" s="80">
        <v>1</v>
      </c>
      <c r="AN34" s="62">
        <f t="shared" si="12"/>
        <v>4</v>
      </c>
      <c r="AO34" s="62">
        <f t="shared" si="13"/>
        <v>4</v>
      </c>
      <c r="AP34" s="6">
        <f t="shared" si="14"/>
        <v>2</v>
      </c>
      <c r="AR34" s="6">
        <f t="shared" si="15"/>
        <v>11</v>
      </c>
      <c r="AS34" s="67">
        <f t="shared" si="16"/>
        <v>0.30578512396694213</v>
      </c>
      <c r="AV34" s="189">
        <v>4</v>
      </c>
      <c r="AW34" s="95">
        <v>2</v>
      </c>
      <c r="AX34" s="95">
        <v>1</v>
      </c>
      <c r="AY34" s="95">
        <v>3</v>
      </c>
      <c r="AZ34" s="95">
        <v>1</v>
      </c>
      <c r="BB34" s="6">
        <f t="shared" si="17"/>
        <v>4</v>
      </c>
      <c r="BC34" s="6">
        <f t="shared" si="18"/>
        <v>3</v>
      </c>
      <c r="BD34" s="6">
        <f t="shared" si="19"/>
        <v>2</v>
      </c>
      <c r="BE34" s="6">
        <f t="shared" si="20"/>
        <v>11</v>
      </c>
      <c r="BF34" s="67">
        <f t="shared" si="21"/>
        <v>0.25619834710743805</v>
      </c>
    </row>
    <row r="35" spans="1:68" ht="15.75" customHeight="1" x14ac:dyDescent="0.2">
      <c r="A35" s="89"/>
      <c r="B35" s="89"/>
      <c r="C35" s="89"/>
      <c r="D35" s="89"/>
      <c r="E35" s="89"/>
      <c r="F35" s="318"/>
      <c r="G35" s="114" t="s">
        <v>53</v>
      </c>
      <c r="H35" s="148">
        <v>4</v>
      </c>
      <c r="I35" s="7">
        <v>1</v>
      </c>
      <c r="J35" s="7">
        <v>2</v>
      </c>
      <c r="K35" s="7">
        <v>2</v>
      </c>
      <c r="L35" s="148">
        <v>3</v>
      </c>
      <c r="M35" s="6">
        <f t="shared" si="0"/>
        <v>2.4</v>
      </c>
      <c r="N35" s="6">
        <f t="shared" si="1"/>
        <v>4</v>
      </c>
      <c r="O35" s="6">
        <f t="shared" si="2"/>
        <v>3</v>
      </c>
      <c r="P35" s="6">
        <f t="shared" si="3"/>
        <v>2</v>
      </c>
      <c r="Q35" s="6">
        <f t="shared" si="4"/>
        <v>2</v>
      </c>
      <c r="R35" s="6">
        <f t="shared" si="5"/>
        <v>12</v>
      </c>
      <c r="S35" s="67">
        <f t="shared" si="6"/>
        <v>0.2361111111111111</v>
      </c>
      <c r="U35" s="188">
        <v>3</v>
      </c>
      <c r="V35" s="9">
        <v>0</v>
      </c>
      <c r="W35" s="9">
        <v>1</v>
      </c>
      <c r="X35" s="9">
        <v>2</v>
      </c>
      <c r="Y35" s="9">
        <v>1</v>
      </c>
      <c r="AA35" s="6">
        <f t="shared" si="7"/>
        <v>3</v>
      </c>
      <c r="AB35" s="6">
        <f t="shared" si="8"/>
        <v>2</v>
      </c>
      <c r="AC35" s="6">
        <f t="shared" si="9"/>
        <v>1</v>
      </c>
      <c r="AD35" s="6">
        <f t="shared" si="10"/>
        <v>7</v>
      </c>
      <c r="AE35" s="67">
        <f t="shared" si="11"/>
        <v>0.30612244897959184</v>
      </c>
      <c r="AH35" s="186">
        <v>4</v>
      </c>
      <c r="AI35" s="80">
        <v>1</v>
      </c>
      <c r="AJ35" s="80">
        <v>3</v>
      </c>
      <c r="AK35" s="80">
        <v>0</v>
      </c>
      <c r="AL35" s="80">
        <v>2</v>
      </c>
      <c r="AN35" s="62">
        <f t="shared" si="12"/>
        <v>4</v>
      </c>
      <c r="AO35" s="62">
        <f t="shared" si="13"/>
        <v>3</v>
      </c>
      <c r="AP35" s="6">
        <f t="shared" si="14"/>
        <v>2</v>
      </c>
      <c r="AR35" s="6">
        <f t="shared" si="15"/>
        <v>10</v>
      </c>
      <c r="AS35" s="67">
        <f t="shared" si="16"/>
        <v>0.30000000000000004</v>
      </c>
      <c r="AV35" s="189">
        <v>3</v>
      </c>
      <c r="AW35" s="95">
        <v>1</v>
      </c>
      <c r="AX35" s="95">
        <v>1</v>
      </c>
      <c r="AY35" s="95">
        <v>1</v>
      </c>
      <c r="AZ35" s="95">
        <v>1</v>
      </c>
      <c r="BB35" s="6">
        <f t="shared" si="17"/>
        <v>3</v>
      </c>
      <c r="BC35" s="6">
        <f t="shared" si="18"/>
        <v>1</v>
      </c>
      <c r="BD35" s="6">
        <f t="shared" si="19"/>
        <v>1</v>
      </c>
      <c r="BE35" s="6">
        <f t="shared" si="20"/>
        <v>7</v>
      </c>
      <c r="BF35" s="67">
        <f t="shared" si="21"/>
        <v>0.26530612244897955</v>
      </c>
    </row>
    <row r="36" spans="1:68" ht="15.75" customHeight="1" x14ac:dyDescent="0.2">
      <c r="A36" s="89"/>
      <c r="B36" s="89"/>
      <c r="C36" s="89"/>
      <c r="D36" s="89"/>
      <c r="E36" s="89"/>
      <c r="F36" s="318"/>
      <c r="G36" s="114" t="s">
        <v>55</v>
      </c>
      <c r="H36" s="148">
        <v>4</v>
      </c>
      <c r="I36" s="7">
        <v>2</v>
      </c>
      <c r="J36" s="148">
        <v>3</v>
      </c>
      <c r="K36" s="7">
        <v>2</v>
      </c>
      <c r="L36" s="148">
        <v>3</v>
      </c>
      <c r="M36" s="6">
        <f t="shared" si="0"/>
        <v>2.8</v>
      </c>
      <c r="N36" s="6">
        <f t="shared" si="1"/>
        <v>4</v>
      </c>
      <c r="O36" s="6">
        <f t="shared" si="2"/>
        <v>3</v>
      </c>
      <c r="P36" s="6">
        <f t="shared" si="3"/>
        <v>3</v>
      </c>
      <c r="Q36" s="6">
        <f t="shared" si="4"/>
        <v>2</v>
      </c>
      <c r="R36" s="6">
        <f t="shared" si="5"/>
        <v>14</v>
      </c>
      <c r="S36" s="67">
        <f t="shared" si="6"/>
        <v>0.21428571428571427</v>
      </c>
      <c r="U36" s="188">
        <v>3</v>
      </c>
      <c r="V36" s="9">
        <v>1</v>
      </c>
      <c r="W36" s="9">
        <v>4</v>
      </c>
      <c r="X36" s="9">
        <v>2</v>
      </c>
      <c r="Y36" s="9">
        <v>0</v>
      </c>
      <c r="AA36" s="6">
        <f t="shared" si="7"/>
        <v>4</v>
      </c>
      <c r="AB36" s="6">
        <f t="shared" si="8"/>
        <v>3</v>
      </c>
      <c r="AC36" s="6">
        <f t="shared" si="9"/>
        <v>2</v>
      </c>
      <c r="AD36" s="6">
        <f t="shared" si="10"/>
        <v>10</v>
      </c>
      <c r="AE36" s="67">
        <f t="shared" si="11"/>
        <v>0.30000000000000004</v>
      </c>
      <c r="AH36" s="186">
        <v>4</v>
      </c>
      <c r="AI36" s="80">
        <v>1</v>
      </c>
      <c r="AJ36" s="80">
        <v>1</v>
      </c>
      <c r="AK36" s="80">
        <v>0</v>
      </c>
      <c r="AL36" s="80">
        <v>1</v>
      </c>
      <c r="AN36" s="6">
        <f t="shared" si="12"/>
        <v>4</v>
      </c>
      <c r="AO36" s="62">
        <f t="shared" si="13"/>
        <v>1</v>
      </c>
      <c r="AP36" s="6">
        <f t="shared" si="14"/>
        <v>1</v>
      </c>
      <c r="AR36" s="6">
        <f t="shared" si="15"/>
        <v>7</v>
      </c>
      <c r="AS36" s="67">
        <f t="shared" si="16"/>
        <v>0.38775510204081637</v>
      </c>
      <c r="AV36" s="189">
        <v>4</v>
      </c>
      <c r="AW36" s="95">
        <v>1</v>
      </c>
      <c r="AX36" s="95">
        <v>1</v>
      </c>
      <c r="AY36" s="95">
        <v>1</v>
      </c>
      <c r="AZ36" s="95">
        <v>1</v>
      </c>
      <c r="BB36" s="6">
        <f t="shared" si="17"/>
        <v>4</v>
      </c>
      <c r="BC36" s="6">
        <f t="shared" si="18"/>
        <v>1</v>
      </c>
      <c r="BD36" s="6">
        <f t="shared" si="19"/>
        <v>1</v>
      </c>
      <c r="BE36" s="6">
        <f t="shared" si="20"/>
        <v>8</v>
      </c>
      <c r="BF36" s="67">
        <f t="shared" si="21"/>
        <v>0.3125</v>
      </c>
    </row>
    <row r="37" spans="1:68" ht="15.75" customHeight="1" x14ac:dyDescent="0.2">
      <c r="A37" s="89"/>
      <c r="B37" s="89"/>
      <c r="C37" s="89"/>
      <c r="D37" s="89"/>
      <c r="E37" s="89"/>
      <c r="F37" s="318"/>
      <c r="G37" s="114" t="s">
        <v>57</v>
      </c>
      <c r="H37" s="7">
        <v>3</v>
      </c>
      <c r="I37" s="7">
        <v>2</v>
      </c>
      <c r="J37" s="7">
        <v>2</v>
      </c>
      <c r="K37" s="7">
        <v>2</v>
      </c>
      <c r="L37" s="7">
        <v>4</v>
      </c>
      <c r="M37" s="6">
        <f t="shared" si="0"/>
        <v>2.6</v>
      </c>
      <c r="N37" s="6">
        <f t="shared" si="1"/>
        <v>4</v>
      </c>
      <c r="O37" s="6">
        <f t="shared" si="2"/>
        <v>3</v>
      </c>
      <c r="P37" s="6">
        <f t="shared" si="3"/>
        <v>2</v>
      </c>
      <c r="Q37" s="6">
        <f t="shared" si="4"/>
        <v>2</v>
      </c>
      <c r="R37" s="6">
        <f t="shared" si="5"/>
        <v>13</v>
      </c>
      <c r="S37" s="67">
        <f t="shared" si="6"/>
        <v>0.21893491124260359</v>
      </c>
      <c r="U37" s="188">
        <v>3</v>
      </c>
      <c r="V37" s="9">
        <v>1</v>
      </c>
      <c r="W37" s="9">
        <v>4</v>
      </c>
      <c r="X37" s="9">
        <v>2</v>
      </c>
      <c r="Y37" s="9">
        <v>1</v>
      </c>
      <c r="AA37" s="6">
        <f t="shared" si="7"/>
        <v>4</v>
      </c>
      <c r="AB37" s="6">
        <f t="shared" si="8"/>
        <v>3</v>
      </c>
      <c r="AC37" s="6">
        <f t="shared" si="9"/>
        <v>2</v>
      </c>
      <c r="AD37" s="6">
        <f t="shared" si="10"/>
        <v>11</v>
      </c>
      <c r="AE37" s="67">
        <f t="shared" si="11"/>
        <v>0.25619834710743805</v>
      </c>
      <c r="AH37" s="186">
        <v>4</v>
      </c>
      <c r="AI37" s="80">
        <v>1</v>
      </c>
      <c r="AJ37" s="80">
        <v>2</v>
      </c>
      <c r="AK37" s="80">
        <v>2</v>
      </c>
      <c r="AL37" s="80">
        <v>2</v>
      </c>
      <c r="AN37" s="6">
        <f t="shared" si="12"/>
        <v>4</v>
      </c>
      <c r="AO37" s="6">
        <f t="shared" si="13"/>
        <v>2</v>
      </c>
      <c r="AP37" s="6">
        <f t="shared" si="14"/>
        <v>2</v>
      </c>
      <c r="AR37" s="6">
        <f t="shared" si="15"/>
        <v>11</v>
      </c>
      <c r="AS37" s="67">
        <f t="shared" si="16"/>
        <v>0.23966942148760331</v>
      </c>
      <c r="AV37" s="189">
        <v>4</v>
      </c>
      <c r="AW37" s="95">
        <v>1</v>
      </c>
      <c r="AX37" s="95">
        <v>1</v>
      </c>
      <c r="AY37" s="95">
        <v>4</v>
      </c>
      <c r="AZ37" s="95">
        <v>2</v>
      </c>
      <c r="BB37" s="6">
        <f t="shared" si="17"/>
        <v>4</v>
      </c>
      <c r="BC37" s="6">
        <f t="shared" si="18"/>
        <v>4</v>
      </c>
      <c r="BD37" s="6">
        <f t="shared" si="19"/>
        <v>2</v>
      </c>
      <c r="BE37" s="6">
        <f t="shared" si="20"/>
        <v>12</v>
      </c>
      <c r="BF37" s="67">
        <f t="shared" si="21"/>
        <v>0.2638888888888889</v>
      </c>
    </row>
    <row r="38" spans="1:68" ht="15.75" customHeight="1" x14ac:dyDescent="0.2">
      <c r="A38" s="89"/>
      <c r="B38" s="89"/>
      <c r="C38" s="89"/>
      <c r="D38" s="89"/>
      <c r="E38" s="89"/>
      <c r="F38" s="319"/>
      <c r="G38" s="192" t="s">
        <v>59</v>
      </c>
      <c r="H38" s="193">
        <v>3</v>
      </c>
      <c r="I38" s="193">
        <v>3</v>
      </c>
      <c r="J38" s="193">
        <v>3</v>
      </c>
      <c r="K38" s="193">
        <v>4</v>
      </c>
      <c r="L38" s="193">
        <v>3</v>
      </c>
      <c r="M38" s="69">
        <f t="shared" si="0"/>
        <v>3.2</v>
      </c>
      <c r="N38" s="69">
        <f t="shared" si="1"/>
        <v>4</v>
      </c>
      <c r="O38" s="69">
        <f t="shared" si="2"/>
        <v>3</v>
      </c>
      <c r="P38" s="69">
        <f t="shared" si="3"/>
        <v>3</v>
      </c>
      <c r="Q38" s="69">
        <f t="shared" si="4"/>
        <v>3</v>
      </c>
      <c r="R38" s="69">
        <f t="shared" si="5"/>
        <v>16</v>
      </c>
      <c r="S38" s="194">
        <f t="shared" si="6"/>
        <v>0.203125</v>
      </c>
      <c r="U38" s="195">
        <v>1</v>
      </c>
      <c r="V38" s="196">
        <v>2</v>
      </c>
      <c r="W38" s="196">
        <v>2</v>
      </c>
      <c r="X38" s="196">
        <v>1</v>
      </c>
      <c r="Y38" s="196">
        <v>2</v>
      </c>
      <c r="Z38" s="69"/>
      <c r="AA38" s="69">
        <f t="shared" si="7"/>
        <v>2</v>
      </c>
      <c r="AB38" s="69">
        <f t="shared" si="8"/>
        <v>2</v>
      </c>
      <c r="AC38" s="69">
        <f t="shared" si="9"/>
        <v>2</v>
      </c>
      <c r="AD38" s="69">
        <f t="shared" si="10"/>
        <v>8</v>
      </c>
      <c r="AE38" s="194">
        <f t="shared" si="11"/>
        <v>0.21875</v>
      </c>
      <c r="AH38" s="197">
        <v>4</v>
      </c>
      <c r="AI38" s="198">
        <v>1</v>
      </c>
      <c r="AJ38" s="198">
        <v>4</v>
      </c>
      <c r="AK38" s="198">
        <v>1</v>
      </c>
      <c r="AL38" s="198">
        <v>2</v>
      </c>
      <c r="AM38" s="69"/>
      <c r="AN38" s="199">
        <f t="shared" si="12"/>
        <v>4</v>
      </c>
      <c r="AO38" s="199">
        <f t="shared" si="13"/>
        <v>4</v>
      </c>
      <c r="AP38" s="69">
        <f t="shared" si="14"/>
        <v>2</v>
      </c>
      <c r="AQ38" s="69"/>
      <c r="AR38" s="69">
        <f t="shared" si="15"/>
        <v>12</v>
      </c>
      <c r="AS38" s="194">
        <f t="shared" si="16"/>
        <v>0.2638888888888889</v>
      </c>
      <c r="AV38" s="200">
        <v>2</v>
      </c>
      <c r="AW38" s="201">
        <v>2</v>
      </c>
      <c r="AX38" s="201">
        <v>1</v>
      </c>
      <c r="AY38" s="201">
        <v>4</v>
      </c>
      <c r="AZ38" s="201">
        <v>2</v>
      </c>
      <c r="BA38" s="69"/>
      <c r="BB38" s="69">
        <f t="shared" si="17"/>
        <v>4</v>
      </c>
      <c r="BC38" s="69">
        <f t="shared" si="18"/>
        <v>2</v>
      </c>
      <c r="BD38" s="69">
        <f t="shared" si="19"/>
        <v>2</v>
      </c>
      <c r="BE38" s="69">
        <f t="shared" si="20"/>
        <v>11</v>
      </c>
      <c r="BF38" s="194">
        <f t="shared" si="21"/>
        <v>0.23966942148760331</v>
      </c>
    </row>
    <row r="39" spans="1:68" ht="15.75" customHeight="1" x14ac:dyDescent="0.2">
      <c r="A39" s="89"/>
      <c r="B39" s="89"/>
      <c r="C39" s="89"/>
      <c r="D39" s="89"/>
      <c r="E39" s="89"/>
      <c r="G39" s="62"/>
      <c r="H39" s="62"/>
      <c r="I39" s="62"/>
      <c r="J39" s="62"/>
      <c r="K39" s="62"/>
      <c r="L39" s="62"/>
      <c r="M39" s="62" t="s">
        <v>102</v>
      </c>
      <c r="N39" s="202">
        <f t="shared" ref="N39:Q39" si="22">AVERAGE(N4:N38)</f>
        <v>3.9428571428571431</v>
      </c>
      <c r="O39" s="202">
        <f t="shared" si="22"/>
        <v>3.7142857142857144</v>
      </c>
      <c r="P39" s="202">
        <f t="shared" si="22"/>
        <v>3.2285714285714286</v>
      </c>
      <c r="Q39" s="202">
        <f t="shared" si="22"/>
        <v>2.6857142857142855</v>
      </c>
      <c r="S39" s="78">
        <f>AVERAGE(S4:S38)</f>
        <v>0.2116474247727064</v>
      </c>
      <c r="Y39" s="62" t="s">
        <v>102</v>
      </c>
      <c r="AA39" s="202">
        <f t="shared" ref="AA39:AC39" si="23">AVERAGE(AA4:AA38)</f>
        <v>3.7428571428571429</v>
      </c>
      <c r="AB39" s="202">
        <f t="shared" si="23"/>
        <v>2.4857142857142858</v>
      </c>
      <c r="AC39" s="202">
        <f t="shared" si="23"/>
        <v>1.4857142857142858</v>
      </c>
      <c r="AL39" s="62" t="s">
        <v>102</v>
      </c>
      <c r="AN39" s="202">
        <f t="shared" ref="AN39:AP39" si="24">AVERAGE(AN4:AN38)</f>
        <v>3.9142857142857141</v>
      </c>
      <c r="AO39" s="202">
        <f t="shared" si="24"/>
        <v>3.3714285714285714</v>
      </c>
      <c r="AP39" s="202">
        <f t="shared" si="24"/>
        <v>2.2571428571428571</v>
      </c>
      <c r="AZ39" s="62" t="s">
        <v>102</v>
      </c>
      <c r="BB39" s="202">
        <f t="shared" ref="BB39:BD39" si="25">AVERAGE(BB4:BB38)</f>
        <v>3.8285714285714287</v>
      </c>
      <c r="BC39" s="202">
        <f t="shared" si="25"/>
        <v>2.7428571428571429</v>
      </c>
      <c r="BD39" s="202">
        <f t="shared" si="25"/>
        <v>2.0857142857142859</v>
      </c>
      <c r="BF39" s="78">
        <f>AVERAGE(BF4:BF38)</f>
        <v>0.25364576187307519</v>
      </c>
    </row>
    <row r="40" spans="1:68" ht="15.75" customHeight="1" x14ac:dyDescent="0.2">
      <c r="A40" s="89"/>
      <c r="B40" s="89"/>
      <c r="C40" s="89"/>
      <c r="D40" s="89"/>
      <c r="E40" s="89"/>
    </row>
    <row r="41" spans="1:68" ht="15.75" customHeight="1" x14ac:dyDescent="0.2">
      <c r="A41" s="89"/>
      <c r="B41" s="89"/>
      <c r="C41" s="89"/>
      <c r="D41" s="89"/>
      <c r="E41" s="89"/>
      <c r="F41" s="49" t="s">
        <v>151</v>
      </c>
      <c r="AU41" s="96"/>
      <c r="AV41" s="96"/>
      <c r="AW41" s="96"/>
      <c r="AX41" s="96"/>
      <c r="AY41" s="96"/>
      <c r="AZ41" s="96"/>
      <c r="BA41" s="96"/>
      <c r="BB41" s="96"/>
    </row>
    <row r="42" spans="1:68" ht="15.75" customHeight="1" x14ac:dyDescent="0.2">
      <c r="A42" s="89"/>
      <c r="B42" s="89"/>
      <c r="C42" s="89"/>
      <c r="D42" s="89"/>
      <c r="E42" s="89"/>
      <c r="AU42" s="96"/>
      <c r="AV42" s="96"/>
      <c r="AW42" s="96"/>
      <c r="AX42" s="96"/>
      <c r="AY42" s="96"/>
      <c r="AZ42" s="96"/>
      <c r="BA42" s="96"/>
      <c r="BB42" s="96"/>
    </row>
    <row r="43" spans="1:68" ht="15.75" customHeight="1" x14ac:dyDescent="0.2">
      <c r="A43" s="89"/>
      <c r="B43" s="89"/>
      <c r="C43" s="89"/>
      <c r="D43" s="89"/>
      <c r="E43" s="89"/>
      <c r="F43" s="97" t="s">
        <v>152</v>
      </c>
      <c r="AU43" s="96"/>
      <c r="AV43" s="96"/>
      <c r="AW43" s="96"/>
      <c r="AX43" s="96"/>
      <c r="AY43" s="96"/>
      <c r="AZ43" s="96"/>
      <c r="BA43" s="96"/>
      <c r="BB43" s="96"/>
    </row>
    <row r="44" spans="1:68" ht="15.75" customHeight="1" x14ac:dyDescent="0.2">
      <c r="A44" s="89"/>
      <c r="B44" s="89"/>
      <c r="C44" s="89"/>
      <c r="D44" s="89"/>
      <c r="E44" s="89"/>
      <c r="AU44" s="96"/>
      <c r="AV44" s="96"/>
      <c r="AW44" s="96"/>
      <c r="AX44" s="96"/>
      <c r="AY44" s="96"/>
      <c r="AZ44" s="96"/>
      <c r="BA44" s="96"/>
      <c r="BB44" s="96"/>
    </row>
    <row r="45" spans="1:68" ht="15.75" customHeight="1" x14ac:dyDescent="0.2">
      <c r="A45" s="89"/>
      <c r="B45" s="89"/>
      <c r="C45" s="89"/>
      <c r="D45" s="89"/>
      <c r="E45" s="89"/>
      <c r="AU45" s="96"/>
      <c r="AV45" s="96"/>
      <c r="AW45" s="96"/>
      <c r="AX45" s="96"/>
      <c r="AY45" s="96"/>
      <c r="AZ45" s="96"/>
      <c r="BA45" s="96"/>
      <c r="BB45" s="96"/>
    </row>
    <row r="46" spans="1:68" ht="15.75" customHeight="1" x14ac:dyDescent="0.2">
      <c r="A46" s="89"/>
      <c r="B46" s="89"/>
      <c r="C46" s="89"/>
      <c r="D46" s="89"/>
      <c r="E46" s="89"/>
      <c r="AU46" s="96"/>
      <c r="AV46" s="96"/>
      <c r="AW46" s="96"/>
      <c r="AX46" s="96"/>
      <c r="AY46" s="96"/>
      <c r="AZ46" s="96"/>
      <c r="BA46" s="96"/>
      <c r="BB46" s="96"/>
    </row>
    <row r="47" spans="1:68" ht="15.75" customHeight="1" x14ac:dyDescent="0.25">
      <c r="A47" s="89"/>
      <c r="B47" s="89"/>
      <c r="C47" s="89"/>
      <c r="D47" s="89"/>
      <c r="E47" s="89"/>
      <c r="F47" s="316" t="s">
        <v>278</v>
      </c>
      <c r="G47" s="305"/>
      <c r="H47" s="305"/>
      <c r="I47" s="305"/>
      <c r="J47" s="305"/>
      <c r="K47" s="305"/>
      <c r="L47" s="305"/>
      <c r="M47" s="305"/>
      <c r="N47" s="305"/>
      <c r="O47" s="305"/>
      <c r="P47" s="305"/>
      <c r="Q47" s="305"/>
      <c r="R47" s="305"/>
      <c r="S47" s="306"/>
      <c r="W47" s="316" t="s">
        <v>279</v>
      </c>
      <c r="X47" s="305"/>
      <c r="Y47" s="305"/>
      <c r="Z47" s="305"/>
      <c r="AA47" s="305"/>
      <c r="AB47" s="305"/>
      <c r="AC47" s="305"/>
      <c r="AD47" s="305"/>
      <c r="AE47" s="305"/>
      <c r="AF47" s="305"/>
      <c r="AG47" s="305"/>
      <c r="AH47" s="306"/>
      <c r="AU47" s="96"/>
      <c r="AV47" s="96"/>
      <c r="AW47" s="96"/>
      <c r="AX47" s="96"/>
      <c r="AY47" s="96"/>
      <c r="AZ47" s="96"/>
      <c r="BA47" s="96"/>
      <c r="BB47" s="96"/>
    </row>
    <row r="48" spans="1:68" ht="15.75" customHeight="1" x14ac:dyDescent="0.2">
      <c r="F48" s="203"/>
      <c r="G48" s="173" t="s">
        <v>0</v>
      </c>
      <c r="H48" s="159" t="s">
        <v>65</v>
      </c>
      <c r="I48" s="159" t="s">
        <v>66</v>
      </c>
      <c r="J48" s="159" t="s">
        <v>67</v>
      </c>
      <c r="K48" s="159" t="s">
        <v>68</v>
      </c>
      <c r="L48" s="159" t="s">
        <v>69</v>
      </c>
      <c r="M48" s="174" t="s">
        <v>132</v>
      </c>
      <c r="N48" s="177" t="s">
        <v>153</v>
      </c>
      <c r="O48" s="176" t="s">
        <v>154</v>
      </c>
      <c r="P48" s="177" t="s">
        <v>155</v>
      </c>
      <c r="Q48" s="177"/>
      <c r="R48" s="175" t="s">
        <v>163</v>
      </c>
      <c r="S48" s="178" t="s">
        <v>280</v>
      </c>
      <c r="T48" s="75"/>
      <c r="U48" s="49"/>
      <c r="W48" s="204" t="s">
        <v>241</v>
      </c>
      <c r="X48" s="175" t="s">
        <v>116</v>
      </c>
      <c r="Y48" s="175" t="s">
        <v>242</v>
      </c>
      <c r="Z48" s="175" t="s">
        <v>114</v>
      </c>
      <c r="AA48" s="175" t="s">
        <v>115</v>
      </c>
      <c r="AB48" s="174" t="s">
        <v>132</v>
      </c>
      <c r="AC48" s="177" t="s">
        <v>153</v>
      </c>
      <c r="AD48" s="176" t="s">
        <v>154</v>
      </c>
      <c r="AE48" s="177" t="s">
        <v>155</v>
      </c>
      <c r="AF48" s="177"/>
      <c r="AG48" s="175" t="s">
        <v>158</v>
      </c>
      <c r="AH48" s="178" t="s">
        <v>281</v>
      </c>
      <c r="AI48" s="75"/>
      <c r="AJ48" s="75"/>
      <c r="AT48" s="6"/>
      <c r="AU48" s="96"/>
      <c r="BI48" s="6"/>
      <c r="BJ48" s="6"/>
      <c r="BK48" s="6"/>
      <c r="BL48" s="6"/>
      <c r="BM48" s="6"/>
      <c r="BN48" s="6"/>
      <c r="BO48" s="6"/>
      <c r="BP48" s="6"/>
    </row>
    <row r="49" spans="6:68" ht="15.75" customHeight="1" x14ac:dyDescent="0.2">
      <c r="F49" s="184"/>
      <c r="G49" s="101" t="s">
        <v>117</v>
      </c>
      <c r="H49" s="9">
        <v>1</v>
      </c>
      <c r="I49" s="9">
        <v>0</v>
      </c>
      <c r="J49" s="11">
        <v>1</v>
      </c>
      <c r="K49" s="11">
        <v>2</v>
      </c>
      <c r="L49" s="11">
        <v>4</v>
      </c>
      <c r="M49" s="6">
        <f t="shared" ref="M49:M83" si="26">AVERAGE(H49:L49)</f>
        <v>1.6</v>
      </c>
      <c r="N49" s="6">
        <f t="shared" ref="N49:N83" si="27">MAX(H49:L49)</f>
        <v>4</v>
      </c>
      <c r="O49" s="6">
        <f t="shared" ref="O49:O83" si="28">LARGE(H49:L49, 2)</f>
        <v>2</v>
      </c>
      <c r="P49" s="6">
        <f t="shared" ref="P49:P83" si="29">LARGE(H49:L49, 3)</f>
        <v>1</v>
      </c>
      <c r="R49" s="6">
        <f t="shared" ref="R49:R83" si="30">SUM(H49:L49)</f>
        <v>8</v>
      </c>
      <c r="S49" s="67">
        <f t="shared" ref="S49:S83" si="31">IF(R49=0,0, (H49/R49)^2 + (I49/R49)^2 + (J49/R49)^2 + (K49/R49)^2 + (L49/R49)^2)</f>
        <v>0.34375</v>
      </c>
      <c r="T49" s="66"/>
      <c r="U49" s="49"/>
      <c r="W49" s="205">
        <v>2</v>
      </c>
      <c r="X49" s="53">
        <v>1</v>
      </c>
      <c r="Y49" s="53">
        <v>1</v>
      </c>
      <c r="Z49" s="53">
        <v>3</v>
      </c>
      <c r="AA49" s="53">
        <v>4</v>
      </c>
      <c r="AB49" s="103">
        <f t="shared" ref="AB49:AB83" si="32">AVERAGE(W49:AA49)</f>
        <v>2.2000000000000002</v>
      </c>
      <c r="AC49" s="74">
        <f t="shared" ref="AC49:AC83" si="33">MAX(W49:AA49)</f>
        <v>4</v>
      </c>
      <c r="AD49" s="6">
        <f t="shared" ref="AD49:AD83" si="34">LARGE(W49:AA49, 2)</f>
        <v>3</v>
      </c>
      <c r="AE49" s="6">
        <f t="shared" ref="AE49:AE83" si="35">LARGE(W49:AA49, 3)</f>
        <v>2</v>
      </c>
      <c r="AG49" s="102">
        <f t="shared" ref="AG49:AG83" si="36">SUM(W49:AA49)</f>
        <v>11</v>
      </c>
      <c r="AH49" s="67">
        <f t="shared" ref="AH49:AH83" si="37">IF(AG49=0,0, (W49/AG49)^2 + (X49/AG49)^2 + (Y49/AG49)^2 + (Z49/AG49)^2 + (AA49/AG49)^2)</f>
        <v>0.256198347107438</v>
      </c>
      <c r="AT49" s="66"/>
      <c r="AU49" s="72"/>
      <c r="BI49" s="66"/>
      <c r="BJ49" s="66"/>
      <c r="BK49" s="66"/>
      <c r="BL49" s="66"/>
      <c r="BM49" s="66"/>
      <c r="BN49" s="66"/>
      <c r="BO49" s="66"/>
      <c r="BP49" s="66"/>
    </row>
    <row r="50" spans="6:68" ht="15.75" customHeight="1" x14ac:dyDescent="0.2">
      <c r="F50" s="184"/>
      <c r="G50" s="101" t="s">
        <v>118</v>
      </c>
      <c r="H50" s="9">
        <v>0</v>
      </c>
      <c r="I50" s="9">
        <v>0</v>
      </c>
      <c r="J50" s="11">
        <v>3</v>
      </c>
      <c r="K50" s="11">
        <v>2</v>
      </c>
      <c r="L50" s="11">
        <v>3</v>
      </c>
      <c r="M50" s="6">
        <f t="shared" si="26"/>
        <v>1.6</v>
      </c>
      <c r="N50" s="6">
        <f t="shared" si="27"/>
        <v>3</v>
      </c>
      <c r="O50" s="6">
        <f t="shared" si="28"/>
        <v>3</v>
      </c>
      <c r="P50" s="6">
        <f t="shared" si="29"/>
        <v>2</v>
      </c>
      <c r="R50" s="6">
        <f t="shared" si="30"/>
        <v>8</v>
      </c>
      <c r="S50" s="67">
        <f t="shared" si="31"/>
        <v>0.34375</v>
      </c>
      <c r="T50" s="66"/>
      <c r="U50" s="49"/>
      <c r="W50" s="205">
        <v>1</v>
      </c>
      <c r="X50" s="53">
        <v>1</v>
      </c>
      <c r="Y50" s="53">
        <v>1</v>
      </c>
      <c r="Z50" s="53">
        <v>2</v>
      </c>
      <c r="AA50" s="53">
        <v>3</v>
      </c>
      <c r="AB50" s="103">
        <f t="shared" si="32"/>
        <v>1.6</v>
      </c>
      <c r="AC50" s="74">
        <f t="shared" si="33"/>
        <v>3</v>
      </c>
      <c r="AD50" s="6">
        <f t="shared" si="34"/>
        <v>2</v>
      </c>
      <c r="AE50" s="6">
        <f t="shared" si="35"/>
        <v>1</v>
      </c>
      <c r="AG50" s="102">
        <f t="shared" si="36"/>
        <v>8</v>
      </c>
      <c r="AH50" s="67">
        <f t="shared" si="37"/>
        <v>0.25</v>
      </c>
      <c r="AT50" s="66"/>
      <c r="AU50" s="72"/>
      <c r="BI50" s="66"/>
      <c r="BJ50" s="66"/>
      <c r="BK50" s="66"/>
      <c r="BL50" s="66"/>
      <c r="BM50" s="66"/>
      <c r="BN50" s="66"/>
      <c r="BO50" s="66"/>
      <c r="BP50" s="66"/>
    </row>
    <row r="51" spans="6:68" ht="15.75" customHeight="1" x14ac:dyDescent="0.2">
      <c r="F51" s="317" t="s">
        <v>8</v>
      </c>
      <c r="G51" s="18" t="s">
        <v>9</v>
      </c>
      <c r="H51" s="105">
        <v>0</v>
      </c>
      <c r="I51" s="105">
        <v>0</v>
      </c>
      <c r="J51" s="105">
        <v>0</v>
      </c>
      <c r="K51" s="105">
        <v>0</v>
      </c>
      <c r="L51" s="105">
        <v>4</v>
      </c>
      <c r="M51" s="74">
        <f t="shared" si="26"/>
        <v>0.8</v>
      </c>
      <c r="N51" s="74">
        <f t="shared" si="27"/>
        <v>4</v>
      </c>
      <c r="O51" s="6">
        <f t="shared" si="28"/>
        <v>0</v>
      </c>
      <c r="P51" s="6">
        <f t="shared" si="29"/>
        <v>0</v>
      </c>
      <c r="R51" s="74">
        <f t="shared" si="30"/>
        <v>4</v>
      </c>
      <c r="S51" s="67">
        <f t="shared" si="31"/>
        <v>1</v>
      </c>
      <c r="T51" s="66"/>
      <c r="U51" s="49"/>
      <c r="W51" s="205">
        <v>1</v>
      </c>
      <c r="X51" s="53">
        <v>0</v>
      </c>
      <c r="Y51" s="53">
        <v>1</v>
      </c>
      <c r="Z51" s="53">
        <v>0</v>
      </c>
      <c r="AA51" s="53">
        <v>2</v>
      </c>
      <c r="AB51" s="103">
        <f t="shared" si="32"/>
        <v>0.8</v>
      </c>
      <c r="AC51" s="74">
        <f t="shared" si="33"/>
        <v>2</v>
      </c>
      <c r="AD51" s="6">
        <f t="shared" si="34"/>
        <v>1</v>
      </c>
      <c r="AE51" s="6">
        <f t="shared" si="35"/>
        <v>1</v>
      </c>
      <c r="AG51" s="102">
        <f t="shared" si="36"/>
        <v>4</v>
      </c>
      <c r="AH51" s="67">
        <f t="shared" si="37"/>
        <v>0.375</v>
      </c>
      <c r="AT51" s="66"/>
      <c r="AU51" s="72"/>
      <c r="BI51" s="66"/>
      <c r="BJ51" s="66"/>
      <c r="BK51" s="66"/>
      <c r="BL51" s="66"/>
      <c r="BM51" s="66"/>
      <c r="BN51" s="66"/>
      <c r="BO51" s="66"/>
      <c r="BP51" s="66"/>
    </row>
    <row r="52" spans="6:68" ht="15.75" customHeight="1" x14ac:dyDescent="0.2">
      <c r="F52" s="318"/>
      <c r="G52" s="18" t="s">
        <v>11</v>
      </c>
      <c r="H52" s="105">
        <v>0</v>
      </c>
      <c r="I52" s="105">
        <v>2</v>
      </c>
      <c r="J52" s="105">
        <v>0</v>
      </c>
      <c r="K52" s="105">
        <v>4</v>
      </c>
      <c r="L52" s="105">
        <v>3</v>
      </c>
      <c r="M52" s="74">
        <f t="shared" si="26"/>
        <v>1.8</v>
      </c>
      <c r="N52" s="74">
        <f t="shared" si="27"/>
        <v>4</v>
      </c>
      <c r="O52" s="6">
        <f t="shared" si="28"/>
        <v>3</v>
      </c>
      <c r="P52" s="6">
        <f t="shared" si="29"/>
        <v>2</v>
      </c>
      <c r="R52" s="74">
        <f t="shared" si="30"/>
        <v>9</v>
      </c>
      <c r="S52" s="67">
        <f t="shared" si="31"/>
        <v>0.35802469135802467</v>
      </c>
      <c r="T52" s="66"/>
      <c r="U52" s="49"/>
      <c r="W52" s="205">
        <v>3</v>
      </c>
      <c r="X52" s="53">
        <v>0</v>
      </c>
      <c r="Y52" s="53">
        <v>1</v>
      </c>
      <c r="Z52" s="53">
        <v>4</v>
      </c>
      <c r="AA52" s="53">
        <v>4</v>
      </c>
      <c r="AB52" s="103">
        <f t="shared" si="32"/>
        <v>2.4</v>
      </c>
      <c r="AC52" s="74">
        <f t="shared" si="33"/>
        <v>4</v>
      </c>
      <c r="AD52" s="6">
        <f t="shared" si="34"/>
        <v>4</v>
      </c>
      <c r="AE52" s="6">
        <f t="shared" si="35"/>
        <v>3</v>
      </c>
      <c r="AG52" s="102">
        <f t="shared" si="36"/>
        <v>12</v>
      </c>
      <c r="AH52" s="67">
        <f t="shared" si="37"/>
        <v>0.29166666666666663</v>
      </c>
      <c r="AT52" s="66"/>
      <c r="AU52" s="72"/>
      <c r="BI52" s="66"/>
      <c r="BJ52" s="66"/>
      <c r="BK52" s="66"/>
      <c r="BL52" s="66"/>
      <c r="BM52" s="66"/>
      <c r="BN52" s="66"/>
      <c r="BO52" s="66"/>
      <c r="BP52" s="66"/>
    </row>
    <row r="53" spans="6:68" ht="15.75" customHeight="1" x14ac:dyDescent="0.2">
      <c r="F53" s="318"/>
      <c r="G53" s="18" t="s">
        <v>13</v>
      </c>
      <c r="H53" s="105">
        <v>0</v>
      </c>
      <c r="I53" s="105">
        <v>3</v>
      </c>
      <c r="J53" s="105">
        <v>2</v>
      </c>
      <c r="K53" s="105">
        <v>2</v>
      </c>
      <c r="L53" s="105">
        <v>4</v>
      </c>
      <c r="M53" s="74">
        <f t="shared" si="26"/>
        <v>2.2000000000000002</v>
      </c>
      <c r="N53" s="74">
        <f t="shared" si="27"/>
        <v>4</v>
      </c>
      <c r="O53" s="6">
        <f t="shared" si="28"/>
        <v>3</v>
      </c>
      <c r="P53" s="6">
        <f t="shared" si="29"/>
        <v>2</v>
      </c>
      <c r="R53" s="74">
        <f t="shared" si="30"/>
        <v>11</v>
      </c>
      <c r="S53" s="67">
        <f t="shared" si="31"/>
        <v>0.27272727272727271</v>
      </c>
      <c r="T53" s="66"/>
      <c r="U53" s="49"/>
      <c r="W53" s="205">
        <v>3</v>
      </c>
      <c r="X53" s="53">
        <v>1</v>
      </c>
      <c r="Y53" s="53">
        <v>1</v>
      </c>
      <c r="Z53" s="53">
        <v>2</v>
      </c>
      <c r="AA53" s="53">
        <v>4</v>
      </c>
      <c r="AB53" s="103">
        <f t="shared" si="32"/>
        <v>2.2000000000000002</v>
      </c>
      <c r="AC53" s="74">
        <f t="shared" si="33"/>
        <v>4</v>
      </c>
      <c r="AD53" s="6">
        <f t="shared" si="34"/>
        <v>3</v>
      </c>
      <c r="AE53" s="6">
        <f t="shared" si="35"/>
        <v>2</v>
      </c>
      <c r="AG53" s="102">
        <f t="shared" si="36"/>
        <v>11</v>
      </c>
      <c r="AH53" s="67">
        <f t="shared" si="37"/>
        <v>0.256198347107438</v>
      </c>
      <c r="AT53" s="66"/>
      <c r="AU53" s="72"/>
      <c r="BI53" s="66"/>
      <c r="BJ53" s="66"/>
      <c r="BK53" s="66"/>
      <c r="BL53" s="66"/>
      <c r="BM53" s="66"/>
      <c r="BN53" s="66"/>
      <c r="BO53" s="66"/>
      <c r="BP53" s="66"/>
    </row>
    <row r="54" spans="6:68" ht="15.75" customHeight="1" x14ac:dyDescent="0.2">
      <c r="F54" s="318"/>
      <c r="G54" s="18" t="s">
        <v>15</v>
      </c>
      <c r="H54" s="105">
        <v>1</v>
      </c>
      <c r="I54" s="105">
        <v>1</v>
      </c>
      <c r="J54" s="105">
        <v>0</v>
      </c>
      <c r="K54" s="105">
        <v>3</v>
      </c>
      <c r="L54" s="105">
        <v>4</v>
      </c>
      <c r="M54" s="74">
        <f t="shared" si="26"/>
        <v>1.8</v>
      </c>
      <c r="N54" s="74">
        <f t="shared" si="27"/>
        <v>4</v>
      </c>
      <c r="O54" s="6">
        <f t="shared" si="28"/>
        <v>3</v>
      </c>
      <c r="P54" s="6">
        <f t="shared" si="29"/>
        <v>1</v>
      </c>
      <c r="R54" s="74">
        <f t="shared" si="30"/>
        <v>9</v>
      </c>
      <c r="S54" s="67">
        <f t="shared" si="31"/>
        <v>0.33333333333333331</v>
      </c>
      <c r="T54" s="66"/>
      <c r="U54" s="49"/>
      <c r="W54" s="205">
        <v>4</v>
      </c>
      <c r="X54" s="53">
        <v>2</v>
      </c>
      <c r="Y54" s="53">
        <v>1</v>
      </c>
      <c r="Z54" s="53">
        <v>4</v>
      </c>
      <c r="AA54" s="53">
        <v>4</v>
      </c>
      <c r="AB54" s="103">
        <f t="shared" si="32"/>
        <v>3</v>
      </c>
      <c r="AC54" s="74">
        <f t="shared" si="33"/>
        <v>4</v>
      </c>
      <c r="AD54" s="6">
        <f t="shared" si="34"/>
        <v>4</v>
      </c>
      <c r="AE54" s="6">
        <f t="shared" si="35"/>
        <v>4</v>
      </c>
      <c r="AG54" s="102">
        <f t="shared" si="36"/>
        <v>15</v>
      </c>
      <c r="AH54" s="67">
        <f t="shared" si="37"/>
        <v>0.23555555555555557</v>
      </c>
      <c r="AT54" s="66"/>
      <c r="AU54" s="72"/>
      <c r="BI54" s="66"/>
      <c r="BJ54" s="66"/>
      <c r="BK54" s="66"/>
      <c r="BL54" s="66"/>
      <c r="BM54" s="66"/>
      <c r="BN54" s="66"/>
      <c r="BO54" s="66"/>
      <c r="BP54" s="66"/>
    </row>
    <row r="55" spans="6:68" ht="15.75" customHeight="1" x14ac:dyDescent="0.2">
      <c r="F55" s="318"/>
      <c r="G55" s="18" t="s">
        <v>17</v>
      </c>
      <c r="H55" s="105">
        <v>0</v>
      </c>
      <c r="I55" s="105">
        <v>1</v>
      </c>
      <c r="J55" s="105">
        <v>0</v>
      </c>
      <c r="K55" s="105">
        <v>3</v>
      </c>
      <c r="L55" s="105">
        <v>4</v>
      </c>
      <c r="M55" s="74">
        <f t="shared" si="26"/>
        <v>1.6</v>
      </c>
      <c r="N55" s="74">
        <f t="shared" si="27"/>
        <v>4</v>
      </c>
      <c r="O55" s="6">
        <f t="shared" si="28"/>
        <v>3</v>
      </c>
      <c r="P55" s="6">
        <f t="shared" si="29"/>
        <v>1</v>
      </c>
      <c r="R55" s="74">
        <f t="shared" si="30"/>
        <v>8</v>
      </c>
      <c r="S55" s="67">
        <f t="shared" si="31"/>
        <v>0.40625</v>
      </c>
      <c r="T55" s="66"/>
      <c r="U55" s="49"/>
      <c r="W55" s="205">
        <v>4</v>
      </c>
      <c r="X55" s="53">
        <v>1</v>
      </c>
      <c r="Y55" s="53">
        <v>1</v>
      </c>
      <c r="Z55" s="53">
        <v>3</v>
      </c>
      <c r="AA55" s="53">
        <v>4</v>
      </c>
      <c r="AB55" s="103">
        <f t="shared" si="32"/>
        <v>2.6</v>
      </c>
      <c r="AC55" s="74">
        <f t="shared" si="33"/>
        <v>4</v>
      </c>
      <c r="AD55" s="6">
        <f t="shared" si="34"/>
        <v>4</v>
      </c>
      <c r="AE55" s="6">
        <f t="shared" si="35"/>
        <v>3</v>
      </c>
      <c r="AG55" s="102">
        <f t="shared" si="36"/>
        <v>13</v>
      </c>
      <c r="AH55" s="67">
        <f t="shared" si="37"/>
        <v>0.25443786982248529</v>
      </c>
      <c r="AT55" s="66"/>
      <c r="AU55" s="72"/>
      <c r="BI55" s="66"/>
      <c r="BJ55" s="66"/>
      <c r="BK55" s="66"/>
      <c r="BL55" s="66"/>
      <c r="BM55" s="66"/>
      <c r="BN55" s="66"/>
      <c r="BO55" s="66"/>
      <c r="BP55" s="66"/>
    </row>
    <row r="56" spans="6:68" ht="15.75" customHeight="1" x14ac:dyDescent="0.2">
      <c r="F56" s="184"/>
      <c r="G56" s="39" t="s">
        <v>119</v>
      </c>
      <c r="H56" s="106">
        <v>0</v>
      </c>
      <c r="I56" s="106">
        <v>0</v>
      </c>
      <c r="J56" s="105">
        <v>1</v>
      </c>
      <c r="K56" s="105">
        <v>1</v>
      </c>
      <c r="L56" s="105">
        <v>2</v>
      </c>
      <c r="M56" s="6">
        <f t="shared" si="26"/>
        <v>0.8</v>
      </c>
      <c r="N56" s="6">
        <f t="shared" si="27"/>
        <v>2</v>
      </c>
      <c r="O56" s="6">
        <f t="shared" si="28"/>
        <v>1</v>
      </c>
      <c r="P56" s="6">
        <f t="shared" si="29"/>
        <v>1</v>
      </c>
      <c r="R56" s="6">
        <f t="shared" si="30"/>
        <v>4</v>
      </c>
      <c r="S56" s="67">
        <f t="shared" si="31"/>
        <v>0.375</v>
      </c>
      <c r="T56" s="66"/>
      <c r="U56" s="49"/>
      <c r="W56" s="205">
        <v>4</v>
      </c>
      <c r="X56" s="53">
        <v>1</v>
      </c>
      <c r="Y56" s="53">
        <v>2</v>
      </c>
      <c r="Z56" s="53">
        <v>4</v>
      </c>
      <c r="AA56" s="53">
        <v>4</v>
      </c>
      <c r="AB56" s="103">
        <f t="shared" si="32"/>
        <v>3</v>
      </c>
      <c r="AC56" s="74">
        <f t="shared" si="33"/>
        <v>4</v>
      </c>
      <c r="AD56" s="6">
        <f t="shared" si="34"/>
        <v>4</v>
      </c>
      <c r="AE56" s="6">
        <f t="shared" si="35"/>
        <v>4</v>
      </c>
      <c r="AG56" s="102">
        <f t="shared" si="36"/>
        <v>15</v>
      </c>
      <c r="AH56" s="67">
        <f t="shared" si="37"/>
        <v>0.23555555555555557</v>
      </c>
      <c r="AT56" s="66"/>
      <c r="AU56" s="72"/>
      <c r="BI56" s="66"/>
      <c r="BJ56" s="66"/>
      <c r="BK56" s="66"/>
      <c r="BL56" s="66"/>
      <c r="BM56" s="66"/>
      <c r="BN56" s="66"/>
      <c r="BO56" s="66"/>
      <c r="BP56" s="66"/>
    </row>
    <row r="57" spans="6:68" ht="15.75" customHeight="1" x14ac:dyDescent="0.2">
      <c r="F57" s="184"/>
      <c r="G57" s="39" t="s">
        <v>120</v>
      </c>
      <c r="H57" s="106">
        <v>0</v>
      </c>
      <c r="I57" s="106">
        <v>0</v>
      </c>
      <c r="J57" s="105">
        <v>2</v>
      </c>
      <c r="K57" s="105">
        <v>2</v>
      </c>
      <c r="L57" s="105">
        <v>3</v>
      </c>
      <c r="M57" s="6">
        <f t="shared" si="26"/>
        <v>1.4</v>
      </c>
      <c r="N57" s="6">
        <f t="shared" si="27"/>
        <v>3</v>
      </c>
      <c r="O57" s="6">
        <f t="shared" si="28"/>
        <v>2</v>
      </c>
      <c r="P57" s="6">
        <f t="shared" si="29"/>
        <v>2</v>
      </c>
      <c r="R57" s="6">
        <f t="shared" si="30"/>
        <v>7</v>
      </c>
      <c r="S57" s="67">
        <f t="shared" si="31"/>
        <v>0.34693877551020402</v>
      </c>
      <c r="T57" s="66"/>
      <c r="U57" s="49"/>
      <c r="W57" s="205">
        <v>4</v>
      </c>
      <c r="X57" s="53">
        <v>1</v>
      </c>
      <c r="Y57" s="53">
        <v>1</v>
      </c>
      <c r="Z57" s="53">
        <v>4</v>
      </c>
      <c r="AA57" s="53">
        <v>4</v>
      </c>
      <c r="AB57" s="103">
        <f t="shared" si="32"/>
        <v>2.8</v>
      </c>
      <c r="AC57" s="74">
        <f t="shared" si="33"/>
        <v>4</v>
      </c>
      <c r="AD57" s="6">
        <f t="shared" si="34"/>
        <v>4</v>
      </c>
      <c r="AE57" s="6">
        <f t="shared" si="35"/>
        <v>4</v>
      </c>
      <c r="AG57" s="102">
        <f t="shared" si="36"/>
        <v>14</v>
      </c>
      <c r="AH57" s="67">
        <f t="shared" si="37"/>
        <v>0.25510204081632654</v>
      </c>
      <c r="AT57" s="66"/>
      <c r="AU57" s="72"/>
      <c r="BI57" s="66"/>
      <c r="BJ57" s="66"/>
      <c r="BK57" s="66"/>
      <c r="BL57" s="66"/>
      <c r="BM57" s="66"/>
      <c r="BN57" s="66"/>
      <c r="BO57" s="66"/>
      <c r="BP57" s="66"/>
    </row>
    <row r="58" spans="6:68" ht="15.75" customHeight="1" x14ac:dyDescent="0.2">
      <c r="F58" s="317" t="s">
        <v>19</v>
      </c>
      <c r="G58" s="39" t="s">
        <v>20</v>
      </c>
      <c r="H58" s="105">
        <v>2</v>
      </c>
      <c r="I58" s="105">
        <v>0</v>
      </c>
      <c r="J58" s="105">
        <v>1</v>
      </c>
      <c r="K58" s="105">
        <v>4</v>
      </c>
      <c r="L58" s="105">
        <v>0</v>
      </c>
      <c r="M58" s="74">
        <f t="shared" si="26"/>
        <v>1.4</v>
      </c>
      <c r="N58" s="74">
        <f t="shared" si="27"/>
        <v>4</v>
      </c>
      <c r="O58" s="6">
        <f t="shared" si="28"/>
        <v>2</v>
      </c>
      <c r="P58" s="6">
        <f t="shared" si="29"/>
        <v>1</v>
      </c>
      <c r="R58" s="74">
        <f t="shared" si="30"/>
        <v>7</v>
      </c>
      <c r="S58" s="67">
        <f t="shared" si="31"/>
        <v>0.42857142857142855</v>
      </c>
      <c r="T58" s="66"/>
      <c r="U58" s="49"/>
      <c r="W58" s="205">
        <v>3</v>
      </c>
      <c r="X58" s="53">
        <v>0</v>
      </c>
      <c r="Y58" s="53">
        <v>1</v>
      </c>
      <c r="Z58" s="53">
        <v>2</v>
      </c>
      <c r="AA58" s="53">
        <v>2</v>
      </c>
      <c r="AB58" s="103">
        <f t="shared" si="32"/>
        <v>1.6</v>
      </c>
      <c r="AC58" s="74">
        <f t="shared" si="33"/>
        <v>3</v>
      </c>
      <c r="AD58" s="6">
        <f t="shared" si="34"/>
        <v>2</v>
      </c>
      <c r="AE58" s="6">
        <f t="shared" si="35"/>
        <v>2</v>
      </c>
      <c r="AG58" s="102">
        <f t="shared" si="36"/>
        <v>8</v>
      </c>
      <c r="AH58" s="67">
        <f t="shared" si="37"/>
        <v>0.28125</v>
      </c>
      <c r="AT58" s="66"/>
      <c r="AU58" s="72"/>
      <c r="BI58" s="66"/>
      <c r="BJ58" s="66"/>
      <c r="BK58" s="66"/>
      <c r="BL58" s="66"/>
      <c r="BM58" s="66"/>
      <c r="BN58" s="66"/>
      <c r="BO58" s="66"/>
      <c r="BP58" s="66"/>
    </row>
    <row r="59" spans="6:68" ht="15.75" customHeight="1" x14ac:dyDescent="0.2">
      <c r="F59" s="318"/>
      <c r="G59" s="39" t="s">
        <v>22</v>
      </c>
      <c r="H59" s="105">
        <v>3</v>
      </c>
      <c r="I59" s="105">
        <v>3</v>
      </c>
      <c r="J59" s="105">
        <v>2</v>
      </c>
      <c r="K59" s="105">
        <v>1</v>
      </c>
      <c r="L59" s="105">
        <v>1</v>
      </c>
      <c r="M59" s="74">
        <f t="shared" si="26"/>
        <v>2</v>
      </c>
      <c r="N59" s="74">
        <f t="shared" si="27"/>
        <v>3</v>
      </c>
      <c r="O59" s="6">
        <f t="shared" si="28"/>
        <v>3</v>
      </c>
      <c r="P59" s="6">
        <f t="shared" si="29"/>
        <v>2</v>
      </c>
      <c r="R59" s="74">
        <f t="shared" si="30"/>
        <v>10</v>
      </c>
      <c r="S59" s="67">
        <f t="shared" si="31"/>
        <v>0.24000000000000002</v>
      </c>
      <c r="T59" s="66"/>
      <c r="U59" s="49"/>
      <c r="W59" s="205">
        <v>2</v>
      </c>
      <c r="X59" s="53">
        <v>1</v>
      </c>
      <c r="Y59" s="53">
        <v>1</v>
      </c>
      <c r="Z59" s="53">
        <v>2</v>
      </c>
      <c r="AA59" s="53">
        <v>2</v>
      </c>
      <c r="AB59" s="103">
        <f t="shared" si="32"/>
        <v>1.6</v>
      </c>
      <c r="AC59" s="74">
        <f t="shared" si="33"/>
        <v>2</v>
      </c>
      <c r="AD59" s="6">
        <f t="shared" si="34"/>
        <v>2</v>
      </c>
      <c r="AE59" s="6">
        <f t="shared" si="35"/>
        <v>2</v>
      </c>
      <c r="AG59" s="102">
        <f t="shared" si="36"/>
        <v>8</v>
      </c>
      <c r="AH59" s="67">
        <f t="shared" si="37"/>
        <v>0.21875</v>
      </c>
      <c r="AT59" s="66"/>
      <c r="AU59" s="72"/>
      <c r="BI59" s="66"/>
      <c r="BJ59" s="66"/>
      <c r="BK59" s="66"/>
      <c r="BL59" s="66"/>
      <c r="BM59" s="66"/>
      <c r="BN59" s="66"/>
      <c r="BO59" s="66"/>
      <c r="BP59" s="66"/>
    </row>
    <row r="60" spans="6:68" ht="15.75" customHeight="1" x14ac:dyDescent="0.2">
      <c r="F60" s="318"/>
      <c r="G60" s="39" t="s">
        <v>24</v>
      </c>
      <c r="H60" s="105">
        <v>2</v>
      </c>
      <c r="I60" s="105">
        <v>1</v>
      </c>
      <c r="J60" s="105">
        <v>0</v>
      </c>
      <c r="K60" s="105">
        <v>2</v>
      </c>
      <c r="L60" s="105">
        <v>0</v>
      </c>
      <c r="M60" s="74">
        <f t="shared" si="26"/>
        <v>1</v>
      </c>
      <c r="N60" s="74">
        <f t="shared" si="27"/>
        <v>2</v>
      </c>
      <c r="O60" s="6">
        <f t="shared" si="28"/>
        <v>2</v>
      </c>
      <c r="P60" s="6">
        <f t="shared" si="29"/>
        <v>1</v>
      </c>
      <c r="R60" s="74">
        <f t="shared" si="30"/>
        <v>5</v>
      </c>
      <c r="S60" s="67">
        <f t="shared" si="31"/>
        <v>0.3600000000000001</v>
      </c>
      <c r="T60" s="66"/>
      <c r="U60" s="49"/>
      <c r="W60" s="205">
        <v>2</v>
      </c>
      <c r="X60" s="53">
        <v>1</v>
      </c>
      <c r="Y60" s="53">
        <v>1</v>
      </c>
      <c r="Z60" s="53">
        <v>1</v>
      </c>
      <c r="AA60" s="53">
        <v>2</v>
      </c>
      <c r="AB60" s="103">
        <f t="shared" si="32"/>
        <v>1.4</v>
      </c>
      <c r="AC60" s="74">
        <f t="shared" si="33"/>
        <v>2</v>
      </c>
      <c r="AD60" s="6">
        <f t="shared" si="34"/>
        <v>2</v>
      </c>
      <c r="AE60" s="6">
        <f t="shared" si="35"/>
        <v>1</v>
      </c>
      <c r="AG60" s="102">
        <f t="shared" si="36"/>
        <v>7</v>
      </c>
      <c r="AH60" s="67">
        <f t="shared" si="37"/>
        <v>0.22448979591836732</v>
      </c>
      <c r="AT60" s="66"/>
      <c r="AU60" s="72"/>
      <c r="BI60" s="66"/>
      <c r="BJ60" s="66"/>
      <c r="BK60" s="66"/>
      <c r="BL60" s="66"/>
      <c r="BM60" s="66"/>
      <c r="BN60" s="66"/>
      <c r="BO60" s="66"/>
      <c r="BP60" s="66"/>
    </row>
    <row r="61" spans="6:68" ht="15.75" customHeight="1" x14ac:dyDescent="0.2">
      <c r="F61" s="318"/>
      <c r="G61" s="39" t="s">
        <v>26</v>
      </c>
      <c r="H61" s="107">
        <v>1</v>
      </c>
      <c r="I61" s="107">
        <v>0</v>
      </c>
      <c r="J61" s="107">
        <v>1</v>
      </c>
      <c r="K61" s="107">
        <v>3</v>
      </c>
      <c r="L61" s="107">
        <v>0</v>
      </c>
      <c r="M61" s="74">
        <f t="shared" si="26"/>
        <v>1</v>
      </c>
      <c r="N61" s="74">
        <f t="shared" si="27"/>
        <v>3</v>
      </c>
      <c r="O61" s="6">
        <f t="shared" si="28"/>
        <v>1</v>
      </c>
      <c r="P61" s="6">
        <f t="shared" si="29"/>
        <v>1</v>
      </c>
      <c r="R61" s="74">
        <f t="shared" si="30"/>
        <v>5</v>
      </c>
      <c r="S61" s="67">
        <f t="shared" si="31"/>
        <v>0.44</v>
      </c>
      <c r="T61" s="66"/>
      <c r="U61" s="49"/>
      <c r="W61" s="205">
        <v>3</v>
      </c>
      <c r="X61" s="53">
        <v>1</v>
      </c>
      <c r="Y61" s="53">
        <v>1</v>
      </c>
      <c r="Z61" s="53">
        <v>2</v>
      </c>
      <c r="AA61" s="53">
        <v>2</v>
      </c>
      <c r="AB61" s="103">
        <f t="shared" si="32"/>
        <v>1.8</v>
      </c>
      <c r="AC61" s="74">
        <f t="shared" si="33"/>
        <v>3</v>
      </c>
      <c r="AD61" s="6">
        <f t="shared" si="34"/>
        <v>2</v>
      </c>
      <c r="AE61" s="6">
        <f t="shared" si="35"/>
        <v>2</v>
      </c>
      <c r="AG61" s="102">
        <f t="shared" si="36"/>
        <v>9</v>
      </c>
      <c r="AH61" s="67">
        <f t="shared" si="37"/>
        <v>0.23456790123456789</v>
      </c>
      <c r="AT61" s="66"/>
      <c r="AU61" s="72"/>
      <c r="BI61" s="66"/>
      <c r="BJ61" s="66"/>
      <c r="BK61" s="66"/>
      <c r="BL61" s="66"/>
      <c r="BM61" s="66"/>
      <c r="BN61" s="66"/>
      <c r="BO61" s="66"/>
      <c r="BP61" s="66"/>
    </row>
    <row r="62" spans="6:68" ht="15.75" customHeight="1" x14ac:dyDescent="0.2">
      <c r="F62" s="318"/>
      <c r="G62" s="39" t="s">
        <v>27</v>
      </c>
      <c r="H62" s="11">
        <v>1</v>
      </c>
      <c r="I62" s="11">
        <v>3</v>
      </c>
      <c r="J62" s="11">
        <v>0</v>
      </c>
      <c r="K62" s="11">
        <v>3</v>
      </c>
      <c r="L62" s="11">
        <v>1</v>
      </c>
      <c r="M62" s="74">
        <f t="shared" si="26"/>
        <v>1.6</v>
      </c>
      <c r="N62" s="74">
        <f t="shared" si="27"/>
        <v>3</v>
      </c>
      <c r="O62" s="6">
        <f t="shared" si="28"/>
        <v>3</v>
      </c>
      <c r="P62" s="6">
        <f t="shared" si="29"/>
        <v>1</v>
      </c>
      <c r="R62" s="74">
        <f t="shared" si="30"/>
        <v>8</v>
      </c>
      <c r="S62" s="67">
        <f t="shared" si="31"/>
        <v>0.3125</v>
      </c>
      <c r="T62" s="66"/>
      <c r="U62" s="49"/>
      <c r="W62" s="205">
        <v>2</v>
      </c>
      <c r="X62" s="53">
        <v>0</v>
      </c>
      <c r="Y62" s="53">
        <v>0</v>
      </c>
      <c r="Z62" s="53">
        <v>2</v>
      </c>
      <c r="AA62" s="53">
        <v>2</v>
      </c>
      <c r="AB62" s="103">
        <f t="shared" si="32"/>
        <v>1.2</v>
      </c>
      <c r="AC62" s="74">
        <f t="shared" si="33"/>
        <v>2</v>
      </c>
      <c r="AD62" s="6">
        <f t="shared" si="34"/>
        <v>2</v>
      </c>
      <c r="AE62" s="6">
        <f t="shared" si="35"/>
        <v>2</v>
      </c>
      <c r="AG62" s="102">
        <f t="shared" si="36"/>
        <v>6</v>
      </c>
      <c r="AH62" s="67">
        <f t="shared" si="37"/>
        <v>0.33333333333333331</v>
      </c>
      <c r="AT62" s="66"/>
      <c r="AU62" s="72"/>
      <c r="BI62" s="66"/>
      <c r="BJ62" s="66"/>
      <c r="BK62" s="66"/>
      <c r="BL62" s="66"/>
      <c r="BM62" s="66"/>
      <c r="BN62" s="66"/>
      <c r="BO62" s="66"/>
      <c r="BP62" s="66"/>
    </row>
    <row r="63" spans="6:68" ht="15.75" customHeight="1" x14ac:dyDescent="0.2">
      <c r="F63" s="184"/>
      <c r="G63" s="109" t="s">
        <v>121</v>
      </c>
      <c r="H63" s="110">
        <v>0</v>
      </c>
      <c r="I63" s="110">
        <v>0</v>
      </c>
      <c r="J63" s="110">
        <v>4</v>
      </c>
      <c r="K63" s="110">
        <v>1</v>
      </c>
      <c r="L63" s="111">
        <v>4</v>
      </c>
      <c r="M63" s="6">
        <f t="shared" si="26"/>
        <v>1.8</v>
      </c>
      <c r="N63" s="6">
        <f t="shared" si="27"/>
        <v>4</v>
      </c>
      <c r="O63" s="6">
        <f t="shared" si="28"/>
        <v>4</v>
      </c>
      <c r="P63" s="6">
        <f t="shared" si="29"/>
        <v>1</v>
      </c>
      <c r="R63" s="6">
        <f t="shared" si="30"/>
        <v>9</v>
      </c>
      <c r="S63" s="67">
        <f t="shared" si="31"/>
        <v>0.40740740740740738</v>
      </c>
      <c r="T63" s="66"/>
      <c r="U63" s="49"/>
      <c r="W63" s="205">
        <v>4</v>
      </c>
      <c r="X63" s="53">
        <v>1</v>
      </c>
      <c r="Y63" s="53">
        <v>1</v>
      </c>
      <c r="Z63" s="53">
        <v>4</v>
      </c>
      <c r="AA63" s="53">
        <v>4</v>
      </c>
      <c r="AB63" s="103">
        <f t="shared" si="32"/>
        <v>2.8</v>
      </c>
      <c r="AC63" s="74">
        <f t="shared" si="33"/>
        <v>4</v>
      </c>
      <c r="AD63" s="6">
        <f t="shared" si="34"/>
        <v>4</v>
      </c>
      <c r="AE63" s="6">
        <f t="shared" si="35"/>
        <v>4</v>
      </c>
      <c r="AG63" s="102">
        <f t="shared" si="36"/>
        <v>14</v>
      </c>
      <c r="AH63" s="67">
        <f t="shared" si="37"/>
        <v>0.25510204081632654</v>
      </c>
      <c r="AT63" s="66"/>
      <c r="AU63" s="72"/>
      <c r="BI63" s="66"/>
      <c r="BJ63" s="66"/>
      <c r="BK63" s="66"/>
      <c r="BL63" s="66"/>
      <c r="BM63" s="66"/>
      <c r="BN63" s="66"/>
      <c r="BO63" s="66"/>
      <c r="BP63" s="66"/>
    </row>
    <row r="64" spans="6:68" ht="15.75" customHeight="1" x14ac:dyDescent="0.2">
      <c r="F64" s="184"/>
      <c r="G64" s="109" t="s">
        <v>122</v>
      </c>
      <c r="H64" s="110">
        <v>0</v>
      </c>
      <c r="I64" s="110">
        <v>0</v>
      </c>
      <c r="J64" s="110">
        <v>4</v>
      </c>
      <c r="K64" s="110">
        <v>1</v>
      </c>
      <c r="L64" s="111">
        <v>3</v>
      </c>
      <c r="M64" s="6">
        <f t="shared" si="26"/>
        <v>1.6</v>
      </c>
      <c r="N64" s="6">
        <f t="shared" si="27"/>
        <v>4</v>
      </c>
      <c r="O64" s="6">
        <f t="shared" si="28"/>
        <v>3</v>
      </c>
      <c r="P64" s="6">
        <f t="shared" si="29"/>
        <v>1</v>
      </c>
      <c r="R64" s="6">
        <f t="shared" si="30"/>
        <v>8</v>
      </c>
      <c r="S64" s="67">
        <f t="shared" si="31"/>
        <v>0.40625</v>
      </c>
      <c r="T64" s="66"/>
      <c r="U64" s="49"/>
      <c r="W64" s="205">
        <v>4</v>
      </c>
      <c r="X64" s="53">
        <v>1</v>
      </c>
      <c r="Y64" s="53">
        <v>0</v>
      </c>
      <c r="Z64" s="53">
        <v>2</v>
      </c>
      <c r="AA64" s="53">
        <v>4</v>
      </c>
      <c r="AB64" s="103">
        <f t="shared" si="32"/>
        <v>2.2000000000000002</v>
      </c>
      <c r="AC64" s="74">
        <f t="shared" si="33"/>
        <v>4</v>
      </c>
      <c r="AD64" s="6">
        <f t="shared" si="34"/>
        <v>4</v>
      </c>
      <c r="AE64" s="6">
        <f t="shared" si="35"/>
        <v>2</v>
      </c>
      <c r="AG64" s="102">
        <f t="shared" si="36"/>
        <v>11</v>
      </c>
      <c r="AH64" s="67">
        <f t="shared" si="37"/>
        <v>0.30578512396694213</v>
      </c>
      <c r="AT64" s="66"/>
      <c r="AU64" s="72"/>
      <c r="BI64" s="66"/>
      <c r="BJ64" s="66"/>
      <c r="BK64" s="66"/>
      <c r="BL64" s="66"/>
      <c r="BM64" s="66"/>
      <c r="BN64" s="66"/>
      <c r="BO64" s="66"/>
      <c r="BP64" s="66"/>
    </row>
    <row r="65" spans="6:68" ht="15.75" customHeight="1" x14ac:dyDescent="0.2">
      <c r="F65" s="317" t="s">
        <v>29</v>
      </c>
      <c r="G65" s="28" t="s">
        <v>30</v>
      </c>
      <c r="H65" s="11">
        <v>1</v>
      </c>
      <c r="I65" s="11">
        <v>0</v>
      </c>
      <c r="J65" s="11">
        <v>4</v>
      </c>
      <c r="K65" s="11">
        <v>3</v>
      </c>
      <c r="L65" s="11">
        <v>1</v>
      </c>
      <c r="M65" s="74">
        <f t="shared" si="26"/>
        <v>1.8</v>
      </c>
      <c r="N65" s="74">
        <f t="shared" si="27"/>
        <v>4</v>
      </c>
      <c r="O65" s="6">
        <f t="shared" si="28"/>
        <v>3</v>
      </c>
      <c r="P65" s="6">
        <f t="shared" si="29"/>
        <v>1</v>
      </c>
      <c r="R65" s="74">
        <f t="shared" si="30"/>
        <v>9</v>
      </c>
      <c r="S65" s="67">
        <f t="shared" si="31"/>
        <v>0.33333333333333331</v>
      </c>
      <c r="T65" s="66"/>
      <c r="U65" s="49"/>
      <c r="W65" s="205">
        <v>3</v>
      </c>
      <c r="X65" s="53">
        <v>1</v>
      </c>
      <c r="Y65" s="53">
        <v>1</v>
      </c>
      <c r="Z65" s="53">
        <v>3</v>
      </c>
      <c r="AA65" s="53">
        <v>2</v>
      </c>
      <c r="AB65" s="103">
        <f t="shared" si="32"/>
        <v>2</v>
      </c>
      <c r="AC65" s="74">
        <f t="shared" si="33"/>
        <v>3</v>
      </c>
      <c r="AD65" s="6">
        <f t="shared" si="34"/>
        <v>3</v>
      </c>
      <c r="AE65" s="6">
        <f t="shared" si="35"/>
        <v>2</v>
      </c>
      <c r="AG65" s="102">
        <f t="shared" si="36"/>
        <v>10</v>
      </c>
      <c r="AH65" s="67">
        <f t="shared" si="37"/>
        <v>0.24000000000000002</v>
      </c>
      <c r="AT65" s="66"/>
      <c r="AU65" s="72"/>
      <c r="BI65" s="66"/>
      <c r="BJ65" s="66"/>
      <c r="BK65" s="66"/>
      <c r="BL65" s="66"/>
      <c r="BM65" s="66"/>
      <c r="BN65" s="66"/>
      <c r="BO65" s="66"/>
      <c r="BP65" s="66"/>
    </row>
    <row r="66" spans="6:68" ht="15.75" customHeight="1" x14ac:dyDescent="0.2">
      <c r="F66" s="318"/>
      <c r="G66" s="28" t="s">
        <v>32</v>
      </c>
      <c r="H66" s="11">
        <v>0</v>
      </c>
      <c r="I66" s="11">
        <v>0</v>
      </c>
      <c r="J66" s="11">
        <v>3</v>
      </c>
      <c r="K66" s="11">
        <v>0</v>
      </c>
      <c r="L66" s="11">
        <v>2</v>
      </c>
      <c r="M66" s="74">
        <f t="shared" si="26"/>
        <v>1</v>
      </c>
      <c r="N66" s="74">
        <f t="shared" si="27"/>
        <v>3</v>
      </c>
      <c r="O66" s="6">
        <f t="shared" si="28"/>
        <v>2</v>
      </c>
      <c r="P66" s="6">
        <f t="shared" si="29"/>
        <v>0</v>
      </c>
      <c r="R66" s="74">
        <f t="shared" si="30"/>
        <v>5</v>
      </c>
      <c r="S66" s="67">
        <f t="shared" si="31"/>
        <v>0.52</v>
      </c>
      <c r="T66" s="66"/>
      <c r="U66" s="49"/>
      <c r="W66" s="205">
        <v>2</v>
      </c>
      <c r="X66" s="53">
        <v>0</v>
      </c>
      <c r="Y66" s="53">
        <v>1</v>
      </c>
      <c r="Z66" s="53">
        <v>1</v>
      </c>
      <c r="AA66" s="53">
        <v>2</v>
      </c>
      <c r="AB66" s="103">
        <f t="shared" si="32"/>
        <v>1.2</v>
      </c>
      <c r="AC66" s="74">
        <f t="shared" si="33"/>
        <v>2</v>
      </c>
      <c r="AD66" s="6">
        <f t="shared" si="34"/>
        <v>2</v>
      </c>
      <c r="AE66" s="6">
        <f t="shared" si="35"/>
        <v>1</v>
      </c>
      <c r="AG66" s="102">
        <f t="shared" si="36"/>
        <v>6</v>
      </c>
      <c r="AH66" s="67">
        <f t="shared" si="37"/>
        <v>0.27777777777777779</v>
      </c>
      <c r="AT66" s="66"/>
      <c r="AU66" s="72"/>
      <c r="BI66" s="66"/>
      <c r="BJ66" s="66"/>
      <c r="BK66" s="66"/>
      <c r="BL66" s="66"/>
      <c r="BM66" s="66"/>
      <c r="BN66" s="66"/>
      <c r="BO66" s="66"/>
      <c r="BP66" s="66"/>
    </row>
    <row r="67" spans="6:68" ht="15.75" customHeight="1" x14ac:dyDescent="0.2">
      <c r="F67" s="318"/>
      <c r="G67" s="28" t="s">
        <v>34</v>
      </c>
      <c r="H67" s="11">
        <v>1</v>
      </c>
      <c r="I67" s="11">
        <v>3</v>
      </c>
      <c r="J67" s="11">
        <v>2</v>
      </c>
      <c r="K67" s="11">
        <v>1</v>
      </c>
      <c r="L67" s="11">
        <v>2</v>
      </c>
      <c r="M67" s="74">
        <f t="shared" si="26"/>
        <v>1.8</v>
      </c>
      <c r="N67" s="74">
        <f t="shared" si="27"/>
        <v>3</v>
      </c>
      <c r="O67" s="6">
        <f t="shared" si="28"/>
        <v>2</v>
      </c>
      <c r="P67" s="6">
        <f t="shared" si="29"/>
        <v>2</v>
      </c>
      <c r="R67" s="74">
        <f t="shared" si="30"/>
        <v>9</v>
      </c>
      <c r="S67" s="67">
        <f t="shared" si="31"/>
        <v>0.23456790123456789</v>
      </c>
      <c r="T67" s="66"/>
      <c r="U67" s="49"/>
      <c r="W67" s="205">
        <v>2</v>
      </c>
      <c r="X67" s="53">
        <v>1</v>
      </c>
      <c r="Y67" s="53">
        <v>1</v>
      </c>
      <c r="Z67" s="53">
        <v>0</v>
      </c>
      <c r="AA67" s="53">
        <v>2</v>
      </c>
      <c r="AB67" s="103">
        <f t="shared" si="32"/>
        <v>1.2</v>
      </c>
      <c r="AC67" s="74">
        <f t="shared" si="33"/>
        <v>2</v>
      </c>
      <c r="AD67" s="6">
        <f t="shared" si="34"/>
        <v>2</v>
      </c>
      <c r="AE67" s="6">
        <f t="shared" si="35"/>
        <v>1</v>
      </c>
      <c r="AG67" s="102">
        <f t="shared" si="36"/>
        <v>6</v>
      </c>
      <c r="AH67" s="67">
        <f t="shared" si="37"/>
        <v>0.27777777777777779</v>
      </c>
      <c r="AT67" s="66"/>
      <c r="AU67" s="72"/>
      <c r="BI67" s="66"/>
      <c r="BJ67" s="66"/>
      <c r="BK67" s="66"/>
      <c r="BL67" s="66"/>
      <c r="BM67" s="66"/>
      <c r="BN67" s="66"/>
      <c r="BO67" s="66"/>
      <c r="BP67" s="66"/>
    </row>
    <row r="68" spans="6:68" ht="15.75" customHeight="1" x14ac:dyDescent="0.2">
      <c r="F68" s="318"/>
      <c r="G68" s="28" t="s">
        <v>36</v>
      </c>
      <c r="H68" s="11">
        <v>1</v>
      </c>
      <c r="I68" s="11">
        <v>0</v>
      </c>
      <c r="J68" s="11">
        <v>3</v>
      </c>
      <c r="K68" s="11">
        <v>1</v>
      </c>
      <c r="L68" s="11">
        <v>1</v>
      </c>
      <c r="M68" s="74">
        <f t="shared" si="26"/>
        <v>1.2</v>
      </c>
      <c r="N68" s="74">
        <f t="shared" si="27"/>
        <v>3</v>
      </c>
      <c r="O68" s="6">
        <f t="shared" si="28"/>
        <v>1</v>
      </c>
      <c r="P68" s="6">
        <f t="shared" si="29"/>
        <v>1</v>
      </c>
      <c r="R68" s="74">
        <f t="shared" si="30"/>
        <v>6</v>
      </c>
      <c r="S68" s="67">
        <f t="shared" si="31"/>
        <v>0.33333333333333337</v>
      </c>
      <c r="T68" s="66"/>
      <c r="U68" s="49"/>
      <c r="W68" s="205">
        <v>2</v>
      </c>
      <c r="X68" s="53">
        <v>0</v>
      </c>
      <c r="Y68" s="53">
        <v>1</v>
      </c>
      <c r="Z68" s="53">
        <v>1</v>
      </c>
      <c r="AA68" s="53">
        <v>2</v>
      </c>
      <c r="AB68" s="103">
        <f t="shared" si="32"/>
        <v>1.2</v>
      </c>
      <c r="AC68" s="74">
        <f t="shared" si="33"/>
        <v>2</v>
      </c>
      <c r="AD68" s="6">
        <f t="shared" si="34"/>
        <v>2</v>
      </c>
      <c r="AE68" s="6">
        <f t="shared" si="35"/>
        <v>1</v>
      </c>
      <c r="AG68" s="102">
        <f t="shared" si="36"/>
        <v>6</v>
      </c>
      <c r="AH68" s="67">
        <f t="shared" si="37"/>
        <v>0.27777777777777779</v>
      </c>
      <c r="AT68" s="66"/>
      <c r="AU68" s="72"/>
      <c r="BI68" s="66"/>
      <c r="BJ68" s="66"/>
      <c r="BK68" s="66"/>
      <c r="BL68" s="66"/>
      <c r="BM68" s="66"/>
      <c r="BN68" s="66"/>
      <c r="BO68" s="66"/>
      <c r="BP68" s="66"/>
    </row>
    <row r="69" spans="6:68" ht="15.75" customHeight="1" x14ac:dyDescent="0.2">
      <c r="F69" s="318"/>
      <c r="G69" s="112" t="s">
        <v>38</v>
      </c>
      <c r="H69" s="11">
        <v>1</v>
      </c>
      <c r="I69" s="11">
        <v>2</v>
      </c>
      <c r="J69" s="11">
        <v>4</v>
      </c>
      <c r="K69" s="11">
        <v>1</v>
      </c>
      <c r="L69" s="11">
        <v>1</v>
      </c>
      <c r="M69" s="74">
        <f t="shared" si="26"/>
        <v>1.8</v>
      </c>
      <c r="N69" s="74">
        <f t="shared" si="27"/>
        <v>4</v>
      </c>
      <c r="O69" s="6">
        <f t="shared" si="28"/>
        <v>2</v>
      </c>
      <c r="P69" s="6">
        <f t="shared" si="29"/>
        <v>1</v>
      </c>
      <c r="R69" s="74">
        <f t="shared" si="30"/>
        <v>9</v>
      </c>
      <c r="S69" s="67">
        <f t="shared" si="31"/>
        <v>0.2839506172839506</v>
      </c>
      <c r="T69" s="66"/>
      <c r="U69" s="49"/>
      <c r="W69" s="205">
        <v>2</v>
      </c>
      <c r="X69" s="53">
        <v>1</v>
      </c>
      <c r="Y69" s="53">
        <v>1</v>
      </c>
      <c r="Z69" s="53">
        <v>2</v>
      </c>
      <c r="AA69" s="53">
        <v>2</v>
      </c>
      <c r="AB69" s="103">
        <f t="shared" si="32"/>
        <v>1.6</v>
      </c>
      <c r="AC69" s="74">
        <f t="shared" si="33"/>
        <v>2</v>
      </c>
      <c r="AD69" s="6">
        <f t="shared" si="34"/>
        <v>2</v>
      </c>
      <c r="AE69" s="6">
        <f t="shared" si="35"/>
        <v>2</v>
      </c>
      <c r="AG69" s="102">
        <f t="shared" si="36"/>
        <v>8</v>
      </c>
      <c r="AH69" s="67">
        <f t="shared" si="37"/>
        <v>0.21875</v>
      </c>
      <c r="AT69" s="66"/>
      <c r="AU69" s="72"/>
      <c r="BI69" s="66"/>
      <c r="BJ69" s="66"/>
      <c r="BK69" s="66"/>
      <c r="BL69" s="66"/>
      <c r="BM69" s="66"/>
      <c r="BN69" s="66"/>
      <c r="BO69" s="66"/>
      <c r="BP69" s="66"/>
    </row>
    <row r="70" spans="6:68" ht="15.75" customHeight="1" x14ac:dyDescent="0.2">
      <c r="F70" s="184"/>
      <c r="G70" s="113" t="s">
        <v>123</v>
      </c>
      <c r="H70" s="110">
        <v>1</v>
      </c>
      <c r="I70" s="110">
        <v>4</v>
      </c>
      <c r="J70" s="111">
        <v>1</v>
      </c>
      <c r="K70" s="111">
        <v>1</v>
      </c>
      <c r="L70" s="111">
        <v>1</v>
      </c>
      <c r="M70" s="6">
        <f t="shared" si="26"/>
        <v>1.6</v>
      </c>
      <c r="N70" s="6">
        <f t="shared" si="27"/>
        <v>4</v>
      </c>
      <c r="O70" s="6">
        <f t="shared" si="28"/>
        <v>1</v>
      </c>
      <c r="P70" s="6">
        <f t="shared" si="29"/>
        <v>1</v>
      </c>
      <c r="R70" s="6">
        <f t="shared" si="30"/>
        <v>8</v>
      </c>
      <c r="S70" s="67">
        <f t="shared" si="31"/>
        <v>0.3125</v>
      </c>
      <c r="T70" s="66"/>
      <c r="U70" s="49"/>
      <c r="W70" s="205">
        <v>4</v>
      </c>
      <c r="X70" s="53">
        <v>4</v>
      </c>
      <c r="Y70" s="53">
        <v>1</v>
      </c>
      <c r="Z70" s="53">
        <v>2</v>
      </c>
      <c r="AA70" s="53">
        <v>4</v>
      </c>
      <c r="AB70" s="103">
        <f t="shared" si="32"/>
        <v>3</v>
      </c>
      <c r="AC70" s="74">
        <f t="shared" si="33"/>
        <v>4</v>
      </c>
      <c r="AD70" s="6">
        <f t="shared" si="34"/>
        <v>4</v>
      </c>
      <c r="AE70" s="6">
        <f t="shared" si="35"/>
        <v>4</v>
      </c>
      <c r="AG70" s="102">
        <f t="shared" si="36"/>
        <v>15</v>
      </c>
      <c r="AH70" s="67">
        <f t="shared" si="37"/>
        <v>0.23555555555555557</v>
      </c>
      <c r="AT70" s="66"/>
      <c r="AU70" s="72"/>
      <c r="BI70" s="66"/>
      <c r="BJ70" s="66"/>
      <c r="BK70" s="66"/>
      <c r="BL70" s="66"/>
      <c r="BM70" s="66"/>
      <c r="BN70" s="66"/>
      <c r="BO70" s="66"/>
      <c r="BP70" s="66"/>
    </row>
    <row r="71" spans="6:68" ht="15.75" customHeight="1" x14ac:dyDescent="0.2">
      <c r="F71" s="184"/>
      <c r="G71" s="113" t="s">
        <v>124</v>
      </c>
      <c r="H71" s="110">
        <v>0</v>
      </c>
      <c r="I71" s="110">
        <v>4</v>
      </c>
      <c r="J71" s="111">
        <v>1</v>
      </c>
      <c r="K71" s="111">
        <v>0</v>
      </c>
      <c r="L71" s="111">
        <v>1</v>
      </c>
      <c r="M71" s="6">
        <f t="shared" si="26"/>
        <v>1.2</v>
      </c>
      <c r="N71" s="6">
        <f t="shared" si="27"/>
        <v>4</v>
      </c>
      <c r="O71" s="6">
        <f t="shared" si="28"/>
        <v>1</v>
      </c>
      <c r="P71" s="6">
        <f t="shared" si="29"/>
        <v>1</v>
      </c>
      <c r="R71" s="6">
        <f t="shared" si="30"/>
        <v>6</v>
      </c>
      <c r="S71" s="67">
        <f t="shared" si="31"/>
        <v>0.5</v>
      </c>
      <c r="T71" s="66"/>
      <c r="U71" s="49"/>
      <c r="W71" s="205">
        <v>4</v>
      </c>
      <c r="X71" s="53">
        <v>4</v>
      </c>
      <c r="Y71" s="53">
        <v>1</v>
      </c>
      <c r="Z71" s="53">
        <v>3</v>
      </c>
      <c r="AA71" s="53">
        <v>4</v>
      </c>
      <c r="AB71" s="103">
        <f t="shared" si="32"/>
        <v>3.2</v>
      </c>
      <c r="AC71" s="74">
        <f t="shared" si="33"/>
        <v>4</v>
      </c>
      <c r="AD71" s="6">
        <f t="shared" si="34"/>
        <v>4</v>
      </c>
      <c r="AE71" s="6">
        <f t="shared" si="35"/>
        <v>4</v>
      </c>
      <c r="AG71" s="102">
        <f t="shared" si="36"/>
        <v>16</v>
      </c>
      <c r="AH71" s="67">
        <f t="shared" si="37"/>
        <v>0.2265625</v>
      </c>
      <c r="AT71" s="66"/>
      <c r="AU71" s="72"/>
      <c r="BI71" s="66"/>
      <c r="BJ71" s="66"/>
      <c r="BK71" s="66"/>
      <c r="BL71" s="66"/>
      <c r="BM71" s="66"/>
      <c r="BN71" s="66"/>
      <c r="BO71" s="66"/>
      <c r="BP71" s="66"/>
    </row>
    <row r="72" spans="6:68" ht="15.75" customHeight="1" x14ac:dyDescent="0.2">
      <c r="F72" s="317" t="s">
        <v>40</v>
      </c>
      <c r="G72" s="31" t="s">
        <v>41</v>
      </c>
      <c r="H72" s="11">
        <v>0</v>
      </c>
      <c r="I72" s="11">
        <v>4</v>
      </c>
      <c r="J72" s="11">
        <v>0</v>
      </c>
      <c r="K72" s="11">
        <v>0</v>
      </c>
      <c r="L72" s="11">
        <v>4</v>
      </c>
      <c r="M72" s="74">
        <f t="shared" si="26"/>
        <v>1.6</v>
      </c>
      <c r="N72" s="74">
        <f t="shared" si="27"/>
        <v>4</v>
      </c>
      <c r="O72" s="6">
        <f t="shared" si="28"/>
        <v>4</v>
      </c>
      <c r="P72" s="6">
        <f t="shared" si="29"/>
        <v>0</v>
      </c>
      <c r="R72" s="74">
        <f t="shared" si="30"/>
        <v>8</v>
      </c>
      <c r="S72" s="67">
        <f t="shared" si="31"/>
        <v>0.5</v>
      </c>
      <c r="T72" s="66"/>
      <c r="U72" s="49"/>
      <c r="W72" s="205">
        <v>4</v>
      </c>
      <c r="X72" s="53">
        <v>4</v>
      </c>
      <c r="Y72" s="53">
        <v>1</v>
      </c>
      <c r="Z72" s="53">
        <v>3</v>
      </c>
      <c r="AA72" s="53">
        <v>4</v>
      </c>
      <c r="AB72" s="103">
        <f t="shared" si="32"/>
        <v>3.2</v>
      </c>
      <c r="AC72" s="74">
        <f t="shared" si="33"/>
        <v>4</v>
      </c>
      <c r="AD72" s="6">
        <f t="shared" si="34"/>
        <v>4</v>
      </c>
      <c r="AE72" s="6">
        <f t="shared" si="35"/>
        <v>4</v>
      </c>
      <c r="AG72" s="102">
        <f t="shared" si="36"/>
        <v>16</v>
      </c>
      <c r="AH72" s="67">
        <f t="shared" si="37"/>
        <v>0.2265625</v>
      </c>
      <c r="AT72" s="66"/>
      <c r="AU72" s="72"/>
      <c r="BI72" s="66"/>
      <c r="BJ72" s="66"/>
      <c r="BK72" s="66"/>
      <c r="BL72" s="66"/>
      <c r="BM72" s="66"/>
      <c r="BN72" s="66"/>
      <c r="BO72" s="66"/>
      <c r="BP72" s="66"/>
    </row>
    <row r="73" spans="6:68" ht="15.75" customHeight="1" x14ac:dyDescent="0.2">
      <c r="F73" s="318"/>
      <c r="G73" s="31" t="s">
        <v>43</v>
      </c>
      <c r="H73" s="11">
        <v>1</v>
      </c>
      <c r="I73" s="11">
        <v>4</v>
      </c>
      <c r="J73" s="11">
        <v>1</v>
      </c>
      <c r="K73" s="11">
        <v>1</v>
      </c>
      <c r="L73" s="11">
        <v>3</v>
      </c>
      <c r="M73" s="74">
        <f t="shared" si="26"/>
        <v>2</v>
      </c>
      <c r="N73" s="74">
        <f t="shared" si="27"/>
        <v>4</v>
      </c>
      <c r="O73" s="6">
        <f t="shared" si="28"/>
        <v>3</v>
      </c>
      <c r="P73" s="6">
        <f t="shared" si="29"/>
        <v>1</v>
      </c>
      <c r="R73" s="74">
        <f t="shared" si="30"/>
        <v>10</v>
      </c>
      <c r="S73" s="67">
        <f t="shared" si="31"/>
        <v>0.28000000000000003</v>
      </c>
      <c r="T73" s="66"/>
      <c r="U73" s="49"/>
      <c r="W73" s="205">
        <v>3</v>
      </c>
      <c r="X73" s="53">
        <v>4</v>
      </c>
      <c r="Y73" s="53">
        <v>1</v>
      </c>
      <c r="Z73" s="53">
        <v>3</v>
      </c>
      <c r="AA73" s="53">
        <v>3</v>
      </c>
      <c r="AB73" s="103">
        <f t="shared" si="32"/>
        <v>2.8</v>
      </c>
      <c r="AC73" s="74">
        <f t="shared" si="33"/>
        <v>4</v>
      </c>
      <c r="AD73" s="6">
        <f t="shared" si="34"/>
        <v>3</v>
      </c>
      <c r="AE73" s="6">
        <f t="shared" si="35"/>
        <v>3</v>
      </c>
      <c r="AG73" s="102">
        <f t="shared" si="36"/>
        <v>14</v>
      </c>
      <c r="AH73" s="67">
        <f t="shared" si="37"/>
        <v>0.22448979591836732</v>
      </c>
      <c r="AT73" s="66"/>
      <c r="AU73" s="72"/>
      <c r="BI73" s="66"/>
      <c r="BJ73" s="66"/>
      <c r="BK73" s="66"/>
      <c r="BL73" s="66"/>
      <c r="BM73" s="66"/>
      <c r="BN73" s="66"/>
      <c r="BO73" s="66"/>
      <c r="BP73" s="66"/>
    </row>
    <row r="74" spans="6:68" ht="15.75" customHeight="1" x14ac:dyDescent="0.2">
      <c r="F74" s="318"/>
      <c r="G74" s="31" t="s">
        <v>45</v>
      </c>
      <c r="H74" s="11">
        <v>1</v>
      </c>
      <c r="I74" s="11">
        <v>3</v>
      </c>
      <c r="J74" s="11">
        <v>1</v>
      </c>
      <c r="K74" s="11">
        <v>0</v>
      </c>
      <c r="L74" s="11">
        <v>1</v>
      </c>
      <c r="M74" s="74">
        <f t="shared" si="26"/>
        <v>1.2</v>
      </c>
      <c r="N74" s="74">
        <f t="shared" si="27"/>
        <v>3</v>
      </c>
      <c r="O74" s="6">
        <f t="shared" si="28"/>
        <v>1</v>
      </c>
      <c r="P74" s="6">
        <f t="shared" si="29"/>
        <v>1</v>
      </c>
      <c r="R74" s="74">
        <f t="shared" si="30"/>
        <v>6</v>
      </c>
      <c r="S74" s="67">
        <f t="shared" si="31"/>
        <v>0.33333333333333337</v>
      </c>
      <c r="T74" s="66"/>
      <c r="U74" s="49"/>
      <c r="W74" s="205">
        <v>3</v>
      </c>
      <c r="X74" s="53">
        <v>3</v>
      </c>
      <c r="Y74" s="53">
        <v>1</v>
      </c>
      <c r="Z74" s="53">
        <v>1</v>
      </c>
      <c r="AA74" s="53">
        <v>4</v>
      </c>
      <c r="AB74" s="103">
        <f t="shared" si="32"/>
        <v>2.4</v>
      </c>
      <c r="AC74" s="74">
        <f t="shared" si="33"/>
        <v>4</v>
      </c>
      <c r="AD74" s="6">
        <f t="shared" si="34"/>
        <v>3</v>
      </c>
      <c r="AE74" s="6">
        <f t="shared" si="35"/>
        <v>3</v>
      </c>
      <c r="AG74" s="102">
        <f t="shared" si="36"/>
        <v>12</v>
      </c>
      <c r="AH74" s="67">
        <f t="shared" si="37"/>
        <v>0.25</v>
      </c>
      <c r="AT74" s="66"/>
      <c r="AU74" s="72"/>
      <c r="BI74" s="66"/>
      <c r="BJ74" s="66"/>
      <c r="BK74" s="66"/>
      <c r="BL74" s="66"/>
      <c r="BM74" s="66"/>
      <c r="BN74" s="66"/>
      <c r="BO74" s="66"/>
      <c r="BP74" s="66"/>
    </row>
    <row r="75" spans="6:68" ht="15.75" customHeight="1" x14ac:dyDescent="0.2">
      <c r="F75" s="318"/>
      <c r="G75" s="31" t="s">
        <v>47</v>
      </c>
      <c r="H75" s="11">
        <v>1</v>
      </c>
      <c r="I75" s="11">
        <v>4</v>
      </c>
      <c r="J75" s="11">
        <v>1</v>
      </c>
      <c r="K75" s="11">
        <v>0</v>
      </c>
      <c r="L75" s="11">
        <v>1</v>
      </c>
      <c r="M75" s="74">
        <f t="shared" si="26"/>
        <v>1.4</v>
      </c>
      <c r="N75" s="74">
        <f t="shared" si="27"/>
        <v>4</v>
      </c>
      <c r="O75" s="6">
        <f t="shared" si="28"/>
        <v>1</v>
      </c>
      <c r="P75" s="6">
        <f t="shared" si="29"/>
        <v>1</v>
      </c>
      <c r="R75" s="74">
        <f t="shared" si="30"/>
        <v>7</v>
      </c>
      <c r="S75" s="67">
        <f t="shared" si="31"/>
        <v>0.38775510204081637</v>
      </c>
      <c r="T75" s="66"/>
      <c r="U75" s="49"/>
      <c r="W75" s="205">
        <v>3</v>
      </c>
      <c r="X75" s="53">
        <v>3</v>
      </c>
      <c r="Y75" s="53">
        <v>1</v>
      </c>
      <c r="Z75" s="53">
        <v>2</v>
      </c>
      <c r="AA75" s="53">
        <v>3</v>
      </c>
      <c r="AB75" s="103">
        <f t="shared" si="32"/>
        <v>2.4</v>
      </c>
      <c r="AC75" s="74">
        <f t="shared" si="33"/>
        <v>3</v>
      </c>
      <c r="AD75" s="6">
        <f t="shared" si="34"/>
        <v>3</v>
      </c>
      <c r="AE75" s="6">
        <f t="shared" si="35"/>
        <v>3</v>
      </c>
      <c r="AG75" s="102">
        <f t="shared" si="36"/>
        <v>12</v>
      </c>
      <c r="AH75" s="67">
        <f t="shared" si="37"/>
        <v>0.22222222222222221</v>
      </c>
      <c r="AT75" s="66"/>
      <c r="AU75" s="72"/>
      <c r="BI75" s="66"/>
      <c r="BJ75" s="66"/>
      <c r="BK75" s="66"/>
      <c r="BL75" s="66"/>
      <c r="BM75" s="66"/>
      <c r="BN75" s="66"/>
      <c r="BO75" s="66"/>
      <c r="BP75" s="66"/>
    </row>
    <row r="76" spans="6:68" ht="15.75" customHeight="1" x14ac:dyDescent="0.2">
      <c r="F76" s="318"/>
      <c r="G76" s="31" t="s">
        <v>49</v>
      </c>
      <c r="H76" s="11">
        <v>0</v>
      </c>
      <c r="I76" s="11">
        <v>4</v>
      </c>
      <c r="J76" s="11">
        <v>0</v>
      </c>
      <c r="K76" s="11">
        <v>1</v>
      </c>
      <c r="L76" s="11">
        <v>4</v>
      </c>
      <c r="M76" s="74">
        <f t="shared" si="26"/>
        <v>1.8</v>
      </c>
      <c r="N76" s="74">
        <f t="shared" si="27"/>
        <v>4</v>
      </c>
      <c r="O76" s="6">
        <f t="shared" si="28"/>
        <v>4</v>
      </c>
      <c r="P76" s="6">
        <f t="shared" si="29"/>
        <v>1</v>
      </c>
      <c r="R76" s="74">
        <f t="shared" si="30"/>
        <v>9</v>
      </c>
      <c r="S76" s="67">
        <f t="shared" si="31"/>
        <v>0.40740740740740738</v>
      </c>
      <c r="T76" s="66"/>
      <c r="U76" s="49"/>
      <c r="W76" s="205">
        <v>3</v>
      </c>
      <c r="X76" s="53">
        <v>4</v>
      </c>
      <c r="Y76" s="53">
        <v>2</v>
      </c>
      <c r="Z76" s="53">
        <v>4</v>
      </c>
      <c r="AA76" s="53">
        <v>4</v>
      </c>
      <c r="AB76" s="103">
        <f t="shared" si="32"/>
        <v>3.4</v>
      </c>
      <c r="AC76" s="74">
        <f t="shared" si="33"/>
        <v>4</v>
      </c>
      <c r="AD76" s="6">
        <f t="shared" si="34"/>
        <v>4</v>
      </c>
      <c r="AE76" s="6">
        <f t="shared" si="35"/>
        <v>4</v>
      </c>
      <c r="AG76" s="102">
        <f t="shared" si="36"/>
        <v>17</v>
      </c>
      <c r="AH76" s="67">
        <f t="shared" si="37"/>
        <v>0.21107266435986161</v>
      </c>
      <c r="AT76" s="66"/>
      <c r="AU76" s="72"/>
      <c r="BI76" s="66"/>
      <c r="BJ76" s="66"/>
      <c r="BK76" s="66"/>
      <c r="BL76" s="66"/>
      <c r="BM76" s="66"/>
      <c r="BN76" s="66"/>
      <c r="BO76" s="66"/>
      <c r="BP76" s="66"/>
    </row>
    <row r="77" spans="6:68" ht="15.75" customHeight="1" x14ac:dyDescent="0.2">
      <c r="F77" s="184"/>
      <c r="G77" s="114" t="s">
        <v>125</v>
      </c>
      <c r="H77" s="110">
        <v>1</v>
      </c>
      <c r="I77" s="110">
        <v>1</v>
      </c>
      <c r="J77" s="111">
        <v>1</v>
      </c>
      <c r="K77" s="111">
        <v>2</v>
      </c>
      <c r="L77" s="111">
        <v>2</v>
      </c>
      <c r="M77" s="6">
        <f t="shared" si="26"/>
        <v>1.4</v>
      </c>
      <c r="N77" s="6">
        <f t="shared" si="27"/>
        <v>2</v>
      </c>
      <c r="O77" s="6">
        <f t="shared" si="28"/>
        <v>2</v>
      </c>
      <c r="P77" s="6">
        <f t="shared" si="29"/>
        <v>1</v>
      </c>
      <c r="R77" s="6">
        <f t="shared" si="30"/>
        <v>7</v>
      </c>
      <c r="S77" s="67">
        <f t="shared" si="31"/>
        <v>0.22448979591836732</v>
      </c>
      <c r="T77" s="66"/>
      <c r="U77" s="49"/>
      <c r="W77" s="205">
        <v>3</v>
      </c>
      <c r="X77" s="53">
        <v>1</v>
      </c>
      <c r="Y77" s="53">
        <v>1</v>
      </c>
      <c r="Z77" s="53">
        <v>3</v>
      </c>
      <c r="AA77" s="53">
        <v>3</v>
      </c>
      <c r="AB77" s="103">
        <f t="shared" si="32"/>
        <v>2.2000000000000002</v>
      </c>
      <c r="AC77" s="74">
        <f t="shared" si="33"/>
        <v>3</v>
      </c>
      <c r="AD77" s="6">
        <f t="shared" si="34"/>
        <v>3</v>
      </c>
      <c r="AE77" s="6">
        <f t="shared" si="35"/>
        <v>3</v>
      </c>
      <c r="AG77" s="102">
        <f t="shared" si="36"/>
        <v>11</v>
      </c>
      <c r="AH77" s="67">
        <f t="shared" si="37"/>
        <v>0.23966942148760328</v>
      </c>
      <c r="AT77" s="66"/>
      <c r="AU77" s="72"/>
      <c r="BI77" s="66"/>
      <c r="BJ77" s="66"/>
      <c r="BK77" s="66"/>
      <c r="BL77" s="66"/>
      <c r="BM77" s="66"/>
      <c r="BN77" s="66"/>
      <c r="BO77" s="66"/>
      <c r="BP77" s="66"/>
    </row>
    <row r="78" spans="6:68" ht="15.75" customHeight="1" x14ac:dyDescent="0.2">
      <c r="F78" s="184"/>
      <c r="G78" s="114" t="s">
        <v>126</v>
      </c>
      <c r="H78" s="110">
        <v>2</v>
      </c>
      <c r="I78" s="110">
        <v>0</v>
      </c>
      <c r="J78" s="111">
        <v>3</v>
      </c>
      <c r="K78" s="111">
        <v>1</v>
      </c>
      <c r="L78" s="111">
        <v>0</v>
      </c>
      <c r="M78" s="6">
        <f t="shared" si="26"/>
        <v>1.2</v>
      </c>
      <c r="N78" s="6">
        <f t="shared" si="27"/>
        <v>3</v>
      </c>
      <c r="O78" s="6">
        <f t="shared" si="28"/>
        <v>2</v>
      </c>
      <c r="P78" s="6">
        <f t="shared" si="29"/>
        <v>1</v>
      </c>
      <c r="R78" s="6">
        <f t="shared" si="30"/>
        <v>6</v>
      </c>
      <c r="S78" s="67">
        <f t="shared" si="31"/>
        <v>0.3888888888888889</v>
      </c>
      <c r="T78" s="66"/>
      <c r="U78" s="49"/>
      <c r="W78" s="205">
        <v>3</v>
      </c>
      <c r="X78" s="53">
        <v>1</v>
      </c>
      <c r="Y78" s="53">
        <v>1</v>
      </c>
      <c r="Z78" s="53">
        <v>2</v>
      </c>
      <c r="AA78" s="53">
        <v>3</v>
      </c>
      <c r="AB78" s="103">
        <f t="shared" si="32"/>
        <v>2</v>
      </c>
      <c r="AC78" s="74">
        <f t="shared" si="33"/>
        <v>3</v>
      </c>
      <c r="AD78" s="6">
        <f t="shared" si="34"/>
        <v>3</v>
      </c>
      <c r="AE78" s="6">
        <f t="shared" si="35"/>
        <v>2</v>
      </c>
      <c r="AG78" s="102">
        <f t="shared" si="36"/>
        <v>10</v>
      </c>
      <c r="AH78" s="67">
        <f t="shared" si="37"/>
        <v>0.24000000000000002</v>
      </c>
      <c r="AT78" s="66"/>
      <c r="AU78" s="72"/>
      <c r="BI78" s="66"/>
      <c r="BJ78" s="66"/>
      <c r="BK78" s="66"/>
      <c r="BL78" s="66"/>
      <c r="BM78" s="66"/>
      <c r="BN78" s="66"/>
      <c r="BO78" s="66"/>
      <c r="BP78" s="66"/>
    </row>
    <row r="79" spans="6:68" ht="15.75" customHeight="1" x14ac:dyDescent="0.2">
      <c r="F79" s="317" t="s">
        <v>51</v>
      </c>
      <c r="G79" s="34" t="s">
        <v>52</v>
      </c>
      <c r="H79" s="11">
        <v>3</v>
      </c>
      <c r="I79" s="11">
        <v>3</v>
      </c>
      <c r="J79" s="11">
        <v>1</v>
      </c>
      <c r="K79" s="11">
        <v>1</v>
      </c>
      <c r="L79" s="11">
        <v>1</v>
      </c>
      <c r="M79" s="74">
        <f t="shared" si="26"/>
        <v>1.8</v>
      </c>
      <c r="N79" s="74">
        <f t="shared" si="27"/>
        <v>3</v>
      </c>
      <c r="O79" s="6">
        <f t="shared" si="28"/>
        <v>3</v>
      </c>
      <c r="P79" s="6">
        <f t="shared" si="29"/>
        <v>1</v>
      </c>
      <c r="R79" s="74">
        <f t="shared" si="30"/>
        <v>9</v>
      </c>
      <c r="S79" s="67">
        <f t="shared" si="31"/>
        <v>0.25925925925925924</v>
      </c>
      <c r="T79" s="66"/>
      <c r="U79" s="49"/>
      <c r="W79" s="205">
        <v>3</v>
      </c>
      <c r="X79" s="53">
        <v>2</v>
      </c>
      <c r="Y79" s="53">
        <v>1</v>
      </c>
      <c r="Z79" s="53">
        <v>1</v>
      </c>
      <c r="AA79" s="53">
        <v>3</v>
      </c>
      <c r="AB79" s="103">
        <f t="shared" si="32"/>
        <v>2</v>
      </c>
      <c r="AC79" s="74">
        <f t="shared" si="33"/>
        <v>3</v>
      </c>
      <c r="AD79" s="6">
        <f t="shared" si="34"/>
        <v>3</v>
      </c>
      <c r="AE79" s="6">
        <f t="shared" si="35"/>
        <v>2</v>
      </c>
      <c r="AG79" s="102">
        <f t="shared" si="36"/>
        <v>10</v>
      </c>
      <c r="AH79" s="67">
        <f t="shared" si="37"/>
        <v>0.24000000000000002</v>
      </c>
      <c r="AT79" s="66"/>
      <c r="AU79" s="72"/>
      <c r="BI79" s="66"/>
      <c r="BJ79" s="66"/>
      <c r="BK79" s="66"/>
      <c r="BL79" s="66"/>
      <c r="BM79" s="66"/>
      <c r="BN79" s="66"/>
      <c r="BO79" s="66"/>
      <c r="BP79" s="66"/>
    </row>
    <row r="80" spans="6:68" ht="15.75" customHeight="1" x14ac:dyDescent="0.2">
      <c r="F80" s="318"/>
      <c r="G80" s="34" t="s">
        <v>53</v>
      </c>
      <c r="H80" s="11">
        <v>3</v>
      </c>
      <c r="I80" s="11">
        <v>0</v>
      </c>
      <c r="J80" s="11">
        <v>0</v>
      </c>
      <c r="K80" s="11">
        <v>1</v>
      </c>
      <c r="L80" s="11">
        <v>1</v>
      </c>
      <c r="M80" s="74">
        <f t="shared" si="26"/>
        <v>1</v>
      </c>
      <c r="N80" s="74">
        <f t="shared" si="27"/>
        <v>3</v>
      </c>
      <c r="O80" s="6">
        <f t="shared" si="28"/>
        <v>1</v>
      </c>
      <c r="P80" s="6">
        <f t="shared" si="29"/>
        <v>1</v>
      </c>
      <c r="R80" s="74">
        <f t="shared" si="30"/>
        <v>5</v>
      </c>
      <c r="S80" s="67">
        <f t="shared" si="31"/>
        <v>0.44000000000000006</v>
      </c>
      <c r="T80" s="66"/>
      <c r="U80" s="49"/>
      <c r="W80" s="205">
        <v>3</v>
      </c>
      <c r="X80" s="53">
        <v>0</v>
      </c>
      <c r="Y80" s="53">
        <v>0</v>
      </c>
      <c r="Z80" s="53">
        <v>1</v>
      </c>
      <c r="AA80" s="53">
        <v>2</v>
      </c>
      <c r="AB80" s="103">
        <f t="shared" si="32"/>
        <v>1.2</v>
      </c>
      <c r="AC80" s="74">
        <f t="shared" si="33"/>
        <v>3</v>
      </c>
      <c r="AD80" s="6">
        <f t="shared" si="34"/>
        <v>2</v>
      </c>
      <c r="AE80" s="6">
        <f t="shared" si="35"/>
        <v>1</v>
      </c>
      <c r="AG80" s="102">
        <f t="shared" si="36"/>
        <v>6</v>
      </c>
      <c r="AH80" s="67">
        <f t="shared" si="37"/>
        <v>0.3888888888888889</v>
      </c>
      <c r="AT80" s="66"/>
      <c r="AU80" s="72"/>
      <c r="BI80" s="66"/>
      <c r="BJ80" s="66"/>
      <c r="BK80" s="66"/>
      <c r="BL80" s="66"/>
      <c r="BM80" s="66"/>
      <c r="BN80" s="66"/>
      <c r="BO80" s="66"/>
      <c r="BP80" s="66"/>
    </row>
    <row r="81" spans="1:68" ht="15.75" customHeight="1" x14ac:dyDescent="0.2">
      <c r="F81" s="318"/>
      <c r="G81" s="34" t="s">
        <v>55</v>
      </c>
      <c r="H81" s="11">
        <v>2</v>
      </c>
      <c r="I81" s="11">
        <v>0</v>
      </c>
      <c r="J81" s="11">
        <v>3</v>
      </c>
      <c r="K81" s="11">
        <v>1</v>
      </c>
      <c r="L81" s="11">
        <v>0</v>
      </c>
      <c r="M81" s="74">
        <f t="shared" si="26"/>
        <v>1.2</v>
      </c>
      <c r="N81" s="74">
        <f t="shared" si="27"/>
        <v>3</v>
      </c>
      <c r="O81" s="6">
        <f t="shared" si="28"/>
        <v>2</v>
      </c>
      <c r="P81" s="6">
        <f t="shared" si="29"/>
        <v>1</v>
      </c>
      <c r="R81" s="74">
        <f t="shared" si="30"/>
        <v>6</v>
      </c>
      <c r="S81" s="67">
        <f t="shared" si="31"/>
        <v>0.3888888888888889</v>
      </c>
      <c r="T81" s="66"/>
      <c r="U81" s="49"/>
      <c r="W81" s="205">
        <v>3</v>
      </c>
      <c r="X81" s="53">
        <v>0</v>
      </c>
      <c r="Y81" s="53">
        <v>0</v>
      </c>
      <c r="Z81" s="53">
        <v>1</v>
      </c>
      <c r="AA81" s="53">
        <v>2</v>
      </c>
      <c r="AB81" s="103">
        <f t="shared" si="32"/>
        <v>1.2</v>
      </c>
      <c r="AC81" s="74">
        <f t="shared" si="33"/>
        <v>3</v>
      </c>
      <c r="AD81" s="6">
        <f t="shared" si="34"/>
        <v>2</v>
      </c>
      <c r="AE81" s="6">
        <f t="shared" si="35"/>
        <v>1</v>
      </c>
      <c r="AG81" s="102">
        <f t="shared" si="36"/>
        <v>6</v>
      </c>
      <c r="AH81" s="67">
        <f t="shared" si="37"/>
        <v>0.3888888888888889</v>
      </c>
      <c r="AT81" s="66"/>
      <c r="AU81" s="72"/>
      <c r="BI81" s="66"/>
      <c r="BJ81" s="66"/>
      <c r="BK81" s="66"/>
      <c r="BL81" s="66"/>
      <c r="BM81" s="66"/>
      <c r="BN81" s="66"/>
      <c r="BO81" s="66"/>
      <c r="BP81" s="66"/>
    </row>
    <row r="82" spans="1:68" ht="15.75" customHeight="1" x14ac:dyDescent="0.2">
      <c r="F82" s="318"/>
      <c r="G82" s="34" t="s">
        <v>57</v>
      </c>
      <c r="H82" s="11">
        <v>3</v>
      </c>
      <c r="I82" s="11">
        <v>1</v>
      </c>
      <c r="J82" s="11">
        <v>4</v>
      </c>
      <c r="K82" s="11">
        <v>1</v>
      </c>
      <c r="L82" s="11">
        <v>0</v>
      </c>
      <c r="M82" s="74">
        <f t="shared" si="26"/>
        <v>1.8</v>
      </c>
      <c r="N82" s="74">
        <f t="shared" si="27"/>
        <v>4</v>
      </c>
      <c r="O82" s="6">
        <f t="shared" si="28"/>
        <v>3</v>
      </c>
      <c r="P82" s="6">
        <f t="shared" si="29"/>
        <v>1</v>
      </c>
      <c r="R82" s="74">
        <f t="shared" si="30"/>
        <v>9</v>
      </c>
      <c r="S82" s="67">
        <f t="shared" si="31"/>
        <v>0.33333333333333331</v>
      </c>
      <c r="T82" s="66"/>
      <c r="U82" s="49"/>
      <c r="W82" s="205">
        <v>3</v>
      </c>
      <c r="X82" s="53">
        <v>0</v>
      </c>
      <c r="Y82" s="53">
        <v>1</v>
      </c>
      <c r="Z82" s="53">
        <v>2</v>
      </c>
      <c r="AA82" s="53">
        <v>2</v>
      </c>
      <c r="AB82" s="103">
        <f t="shared" si="32"/>
        <v>1.6</v>
      </c>
      <c r="AC82" s="74">
        <f t="shared" si="33"/>
        <v>3</v>
      </c>
      <c r="AD82" s="6">
        <f t="shared" si="34"/>
        <v>2</v>
      </c>
      <c r="AE82" s="6">
        <f t="shared" si="35"/>
        <v>2</v>
      </c>
      <c r="AG82" s="102">
        <f t="shared" si="36"/>
        <v>8</v>
      </c>
      <c r="AH82" s="67">
        <f t="shared" si="37"/>
        <v>0.28125</v>
      </c>
      <c r="AT82" s="66"/>
      <c r="AU82" s="72"/>
      <c r="BI82" s="66"/>
      <c r="BJ82" s="66"/>
      <c r="BK82" s="66"/>
      <c r="BL82" s="66"/>
      <c r="BM82" s="66"/>
      <c r="BN82" s="66"/>
      <c r="BO82" s="66"/>
      <c r="BP82" s="66"/>
    </row>
    <row r="83" spans="1:68" ht="15.75" customHeight="1" x14ac:dyDescent="0.2">
      <c r="F83" s="319"/>
      <c r="G83" s="206" t="s">
        <v>59</v>
      </c>
      <c r="H83" s="69">
        <v>3</v>
      </c>
      <c r="I83" s="69">
        <v>3</v>
      </c>
      <c r="J83" s="69">
        <v>2</v>
      </c>
      <c r="K83" s="69">
        <v>1</v>
      </c>
      <c r="L83" s="69">
        <v>0</v>
      </c>
      <c r="M83" s="69">
        <f t="shared" si="26"/>
        <v>1.8</v>
      </c>
      <c r="N83" s="69">
        <f t="shared" si="27"/>
        <v>3</v>
      </c>
      <c r="O83" s="69">
        <f t="shared" si="28"/>
        <v>3</v>
      </c>
      <c r="P83" s="69">
        <f t="shared" si="29"/>
        <v>2</v>
      </c>
      <c r="Q83" s="69"/>
      <c r="R83" s="69">
        <f t="shared" si="30"/>
        <v>9</v>
      </c>
      <c r="S83" s="194">
        <f t="shared" si="31"/>
        <v>0.2839506172839506</v>
      </c>
      <c r="T83" s="66"/>
      <c r="U83" s="49"/>
      <c r="W83" s="207">
        <v>4</v>
      </c>
      <c r="X83" s="208">
        <v>3</v>
      </c>
      <c r="Y83" s="208">
        <v>2</v>
      </c>
      <c r="Z83" s="208">
        <v>4</v>
      </c>
      <c r="AA83" s="208">
        <v>4</v>
      </c>
      <c r="AB83" s="209">
        <f t="shared" si="32"/>
        <v>3.4</v>
      </c>
      <c r="AC83" s="71">
        <f t="shared" si="33"/>
        <v>4</v>
      </c>
      <c r="AD83" s="69">
        <f t="shared" si="34"/>
        <v>4</v>
      </c>
      <c r="AE83" s="69">
        <f t="shared" si="35"/>
        <v>4</v>
      </c>
      <c r="AF83" s="69"/>
      <c r="AG83" s="210">
        <f t="shared" si="36"/>
        <v>17</v>
      </c>
      <c r="AH83" s="194">
        <f t="shared" si="37"/>
        <v>0.21107266435986161</v>
      </c>
      <c r="AT83" s="66"/>
      <c r="AU83" s="72"/>
      <c r="BI83" s="66"/>
      <c r="BJ83" s="66"/>
      <c r="BK83" s="66"/>
      <c r="BL83" s="66"/>
      <c r="BM83" s="66"/>
      <c r="BN83" s="66"/>
      <c r="BO83" s="66"/>
      <c r="BP83" s="66"/>
    </row>
    <row r="84" spans="1:68" ht="15.75" customHeight="1" x14ac:dyDescent="0.2">
      <c r="A84" s="89"/>
      <c r="B84" s="89"/>
      <c r="C84" s="89"/>
      <c r="D84" s="89"/>
      <c r="E84" s="89"/>
      <c r="L84" s="62" t="s">
        <v>102</v>
      </c>
      <c r="M84" s="202">
        <f t="shared" ref="M84:P84" si="38">AVERAGE(M49:M83)</f>
        <v>1.5028571428571429</v>
      </c>
      <c r="N84" s="202">
        <f t="shared" si="38"/>
        <v>3.4285714285714284</v>
      </c>
      <c r="O84" s="202">
        <f t="shared" si="38"/>
        <v>2.2571428571428571</v>
      </c>
      <c r="P84" s="202">
        <f t="shared" si="38"/>
        <v>1.1142857142857143</v>
      </c>
      <c r="S84" s="78">
        <f>AVERAGE(S49:S83)</f>
        <v>0.37484270629848865</v>
      </c>
      <c r="Z84" s="62" t="s">
        <v>102</v>
      </c>
      <c r="AB84" s="202">
        <f t="shared" ref="AB84:AE84" si="39">AVERAGE(AB49:AB83)</f>
        <v>2.1257142857142863</v>
      </c>
      <c r="AC84" s="202">
        <f t="shared" si="39"/>
        <v>3.2285714285714286</v>
      </c>
      <c r="AD84" s="202">
        <f t="shared" si="39"/>
        <v>2.9142857142857141</v>
      </c>
      <c r="AE84" s="202">
        <f t="shared" si="39"/>
        <v>2.4571428571428573</v>
      </c>
      <c r="AH84" s="78">
        <f>AVERAGE(AH49:AH83)</f>
        <v>0.26118031465473107</v>
      </c>
      <c r="AT84" s="66"/>
      <c r="AU84" s="72"/>
      <c r="BI84" s="66"/>
      <c r="BJ84" s="66"/>
      <c r="BK84" s="66"/>
      <c r="BL84" s="66"/>
      <c r="BM84" s="66"/>
      <c r="BN84" s="66"/>
      <c r="BO84" s="66"/>
      <c r="BP84" s="66"/>
    </row>
    <row r="85" spans="1:68" ht="15.75" customHeight="1" x14ac:dyDescent="0.2">
      <c r="A85" s="89"/>
      <c r="B85" s="89"/>
      <c r="C85" s="89"/>
      <c r="D85" s="89"/>
      <c r="E85" s="89"/>
      <c r="F85" s="6"/>
      <c r="G85" s="6"/>
      <c r="H85" s="6"/>
      <c r="I85" s="6"/>
      <c r="J85" s="6"/>
      <c r="K85" s="97"/>
      <c r="AT85" s="66"/>
      <c r="AU85" s="72"/>
      <c r="AV85" s="72"/>
      <c r="AW85" s="72"/>
      <c r="AX85" s="72"/>
      <c r="AY85" s="72"/>
      <c r="AZ85" s="72"/>
      <c r="BA85" s="72"/>
      <c r="BB85" s="72"/>
      <c r="BC85" s="66"/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</row>
    <row r="86" spans="1:68" ht="15.75" customHeight="1" x14ac:dyDescent="0.2">
      <c r="A86" s="89"/>
      <c r="B86" s="89"/>
      <c r="C86" s="89"/>
      <c r="D86" s="89"/>
      <c r="E86" s="89"/>
      <c r="F86" s="6"/>
      <c r="G86" s="6"/>
      <c r="H86" s="6"/>
      <c r="I86" s="6"/>
      <c r="J86" s="6"/>
      <c r="Y86" s="6"/>
      <c r="AT86" s="121"/>
      <c r="AU86" s="122"/>
      <c r="AV86" s="122"/>
      <c r="AW86" s="122"/>
      <c r="AX86" s="122"/>
      <c r="AY86" s="122"/>
      <c r="AZ86" s="122"/>
      <c r="BA86" s="122"/>
      <c r="BB86" s="122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</row>
    <row r="87" spans="1:68" ht="15.75" customHeight="1" x14ac:dyDescent="0.2">
      <c r="A87" s="89"/>
      <c r="B87" s="89"/>
      <c r="C87" s="89"/>
      <c r="D87" s="89"/>
      <c r="E87" s="89"/>
      <c r="Y87" s="6"/>
      <c r="AU87" s="96"/>
      <c r="AV87" s="96"/>
      <c r="AW87" s="96"/>
      <c r="AX87" s="96"/>
      <c r="AY87" s="96"/>
      <c r="AZ87" s="96"/>
      <c r="BA87" s="96"/>
      <c r="BB87" s="96"/>
    </row>
    <row r="88" spans="1:68" ht="15.75" customHeight="1" x14ac:dyDescent="0.2">
      <c r="A88" s="89"/>
      <c r="B88" s="89"/>
      <c r="C88" s="89"/>
      <c r="D88" s="89"/>
      <c r="E88" s="89"/>
      <c r="Y88" s="6"/>
      <c r="AT88" s="66"/>
      <c r="AU88" s="72"/>
      <c r="AV88" s="72"/>
      <c r="AW88" s="72"/>
      <c r="AX88" s="72"/>
      <c r="AY88" s="72"/>
      <c r="AZ88" s="72"/>
      <c r="BA88" s="72"/>
      <c r="BB88" s="72"/>
      <c r="BC88" s="66"/>
      <c r="BD88" s="66"/>
      <c r="BE88" s="66"/>
      <c r="BF88" s="66"/>
      <c r="BG88" s="66"/>
      <c r="BH88" s="66"/>
      <c r="BI88" s="66"/>
      <c r="BJ88" s="66"/>
      <c r="BK88" s="66"/>
      <c r="BL88" s="66"/>
      <c r="BM88" s="66"/>
      <c r="BN88" s="66"/>
      <c r="BO88" s="66"/>
      <c r="BP88" s="66"/>
    </row>
    <row r="89" spans="1:68" ht="15.75" customHeight="1" x14ac:dyDescent="0.2">
      <c r="A89" s="89"/>
      <c r="B89" s="89"/>
      <c r="C89" s="89"/>
      <c r="D89" s="89"/>
      <c r="E89" s="89"/>
      <c r="G89" s="77" t="s">
        <v>177</v>
      </c>
      <c r="H89" s="76" t="s">
        <v>282</v>
      </c>
      <c r="I89" s="76" t="s">
        <v>283</v>
      </c>
      <c r="J89" s="77" t="s">
        <v>284</v>
      </c>
      <c r="K89" s="77" t="s">
        <v>285</v>
      </c>
      <c r="L89" s="76" t="s">
        <v>286</v>
      </c>
      <c r="M89" s="211" t="s">
        <v>189</v>
      </c>
      <c r="N89" s="123"/>
      <c r="O89" s="117">
        <f>STDEV(S49:S83)</f>
        <v>0.13157731031966652</v>
      </c>
      <c r="P89" s="307" t="s">
        <v>190</v>
      </c>
      <c r="Q89" s="301"/>
      <c r="R89" s="301"/>
      <c r="S89" s="301"/>
      <c r="T89" s="301"/>
      <c r="U89" s="301"/>
      <c r="AC89" s="125"/>
      <c r="AD89" s="125"/>
      <c r="AE89" s="125"/>
      <c r="AF89" s="126"/>
      <c r="AU89" s="96"/>
      <c r="AV89" s="96"/>
      <c r="AW89" s="96"/>
      <c r="AX89" s="96"/>
      <c r="AY89" s="96"/>
      <c r="AZ89" s="96"/>
      <c r="BA89" s="96"/>
      <c r="BB89" s="96"/>
    </row>
    <row r="90" spans="1:68" ht="15.75" customHeight="1" x14ac:dyDescent="0.2">
      <c r="A90" s="89"/>
      <c r="B90" s="89"/>
      <c r="C90" s="89"/>
      <c r="D90" s="89"/>
      <c r="E90" s="89"/>
      <c r="G90" s="66">
        <f>AVERAGE(S49:S83)/(STDEV(S49:S83)/(SQRT(COUNT(S49:S83))))</f>
        <v>16.853964799760593</v>
      </c>
      <c r="H90" s="66">
        <f>AVERAGE(AE4:AE38)/(STDEV(AE4:AE38)/(SQRT(COUNT(AE4:AE38))))</f>
        <v>15.165837954676396</v>
      </c>
      <c r="I90" s="66">
        <f>AVERAGE(AH49:AH83)/(STDEV(AH49:AH83)/(SQRT(COUNT(AH49:AH83))))</f>
        <v>32.797374798990013</v>
      </c>
      <c r="J90" s="66">
        <f>AVERAGE(S4:S38)/(STDEV(S4:S38)/(SQRT(COUNT(S4:S38))))</f>
        <v>135.5000172196828</v>
      </c>
      <c r="K90" s="66">
        <f>AVERAGE(AS4:AS38)/(STDEV(AS4:AS38)/(SQRT(COUNT(AS4:AS38))))</f>
        <v>31.019424364666744</v>
      </c>
      <c r="L90" s="66">
        <f>L92/(O93/(SQRT(COUNT(BF4:BF38))))</f>
        <v>48.800387348403703</v>
      </c>
      <c r="M90" s="119" t="s">
        <v>192</v>
      </c>
      <c r="N90" s="119"/>
      <c r="O90" s="117">
        <f>STDEV(S4:S38)</f>
        <v>9.2407593484867909E-3</v>
      </c>
      <c r="U90" s="120"/>
      <c r="AC90" s="125"/>
      <c r="AD90" s="125"/>
      <c r="AE90" s="125"/>
      <c r="AF90" s="126"/>
      <c r="AU90" s="96"/>
      <c r="AV90" s="96"/>
      <c r="AW90" s="96"/>
      <c r="AX90" s="96"/>
      <c r="AY90" s="96"/>
      <c r="AZ90" s="96"/>
      <c r="BA90" s="96"/>
      <c r="BB90" s="96"/>
    </row>
    <row r="91" spans="1:68" ht="15.75" customHeight="1" x14ac:dyDescent="0.2">
      <c r="A91" s="89"/>
      <c r="B91" s="89"/>
      <c r="C91" s="89"/>
      <c r="D91" s="89"/>
      <c r="E91" s="89"/>
      <c r="F91" s="6" t="s">
        <v>191</v>
      </c>
      <c r="G91" s="118">
        <f t="shared" ref="G91:L91" si="40">_xlfn.T.DIST.RT(G90, 34)</f>
        <v>2.2267535509137757E-18</v>
      </c>
      <c r="H91" s="118">
        <f t="shared" si="40"/>
        <v>5.3450277377271896E-17</v>
      </c>
      <c r="I91" s="118">
        <f t="shared" si="40"/>
        <v>1.2741351718215639E-27</v>
      </c>
      <c r="J91" s="118">
        <f t="shared" si="40"/>
        <v>2.3329284040395622E-48</v>
      </c>
      <c r="K91" s="118">
        <f t="shared" si="40"/>
        <v>7.9856209212057577E-27</v>
      </c>
      <c r="L91" s="118">
        <f t="shared" si="40"/>
        <v>2.2854600107734249E-33</v>
      </c>
      <c r="M91" s="123" t="s">
        <v>194</v>
      </c>
      <c r="N91" s="123"/>
      <c r="O91" s="117">
        <f>STDEV(AS6:AS38)</f>
        <v>5.3311424662490906E-2</v>
      </c>
      <c r="AC91" s="125"/>
      <c r="AD91" s="125"/>
      <c r="AE91" s="125"/>
      <c r="AF91" s="126"/>
      <c r="AU91" s="96"/>
      <c r="AV91" s="96"/>
      <c r="AW91" s="96"/>
      <c r="AX91" s="96"/>
      <c r="AY91" s="96"/>
      <c r="AZ91" s="96"/>
      <c r="BA91" s="96"/>
      <c r="BB91" s="96"/>
    </row>
    <row r="92" spans="1:68" ht="15.75" customHeight="1" x14ac:dyDescent="0.2">
      <c r="A92" s="89"/>
      <c r="B92" s="89"/>
      <c r="C92" s="89"/>
      <c r="D92" s="89"/>
      <c r="E92" s="89"/>
      <c r="F92" s="6" t="s">
        <v>193</v>
      </c>
      <c r="G92" s="66">
        <f>AVERAGE(S49:S83)</f>
        <v>0.37484270629848865</v>
      </c>
      <c r="H92" s="66">
        <f>AVERAGE(AE4:AE38)</f>
        <v>0.33722382146965896</v>
      </c>
      <c r="I92" s="66">
        <f>AVERAGE(AH49:AH83)</f>
        <v>0.26118031465473107</v>
      </c>
      <c r="J92" s="66">
        <f>AVERAGE(S4:S38)</f>
        <v>0.2116474247727064</v>
      </c>
      <c r="K92" s="66">
        <f>AVERAGE(AS4:AS38)</f>
        <v>0.27657442431881579</v>
      </c>
      <c r="L92" s="66">
        <f>AVERAGE(BF4:BF38)</f>
        <v>0.25364576187307519</v>
      </c>
      <c r="M92" s="124" t="s">
        <v>196</v>
      </c>
      <c r="N92" s="124"/>
      <c r="O92" s="117">
        <f>STDEV(AE4:AE38)</f>
        <v>0.13154848670666897</v>
      </c>
      <c r="U92" s="66"/>
      <c r="AB92" s="6"/>
      <c r="AC92" s="66"/>
      <c r="AD92" s="66"/>
      <c r="AE92" s="66"/>
      <c r="AF92" s="126"/>
      <c r="AU92" s="96"/>
      <c r="AV92" s="96"/>
      <c r="AW92" s="96"/>
      <c r="AX92" s="96"/>
      <c r="AY92" s="96"/>
      <c r="AZ92" s="96"/>
      <c r="BA92" s="96"/>
      <c r="BB92" s="96"/>
    </row>
    <row r="93" spans="1:68" ht="15.75" customHeight="1" x14ac:dyDescent="0.2">
      <c r="A93" s="89"/>
      <c r="B93" s="89"/>
      <c r="C93" s="89"/>
      <c r="D93" s="89"/>
      <c r="E93" s="89"/>
      <c r="F93" s="6" t="s">
        <v>195</v>
      </c>
      <c r="G93" s="78">
        <f t="shared" ref="G93:L93" si="41">1/G92</f>
        <v>2.6677856690205846</v>
      </c>
      <c r="H93" s="78">
        <f t="shared" si="41"/>
        <v>2.9653895612768064</v>
      </c>
      <c r="I93" s="66">
        <f t="shared" si="41"/>
        <v>3.8287724759117325</v>
      </c>
      <c r="J93" s="66">
        <f t="shared" si="41"/>
        <v>4.7248389677971545</v>
      </c>
      <c r="K93" s="66">
        <f t="shared" si="41"/>
        <v>3.6156633154455</v>
      </c>
      <c r="L93" s="66">
        <f t="shared" si="41"/>
        <v>3.9425062442021082</v>
      </c>
      <c r="M93" s="124" t="s">
        <v>197</v>
      </c>
      <c r="N93" s="124"/>
      <c r="O93" s="117">
        <f>STDEV(BF6:BF38)</f>
        <v>3.0749521580084035E-2</v>
      </c>
      <c r="AB93" s="6"/>
      <c r="AC93" s="120"/>
      <c r="AD93" s="154"/>
      <c r="AE93" s="154"/>
      <c r="AF93" s="126"/>
      <c r="AX93" s="96"/>
      <c r="AY93" s="96"/>
      <c r="AZ93" s="96"/>
      <c r="BA93" s="96"/>
      <c r="BB93" s="96"/>
    </row>
    <row r="94" spans="1:68" ht="15.75" customHeight="1" x14ac:dyDescent="0.2">
      <c r="A94" s="89"/>
      <c r="B94" s="89"/>
      <c r="C94" s="89"/>
      <c r="D94" s="89"/>
      <c r="E94" s="89"/>
      <c r="I94" s="45"/>
      <c r="J94" s="46"/>
      <c r="K94" s="46"/>
      <c r="L94" s="46"/>
      <c r="M94" s="46"/>
      <c r="N94" s="46"/>
      <c r="R94" s="131"/>
      <c r="S94" s="131"/>
      <c r="T94" s="131"/>
      <c r="U94" s="131"/>
      <c r="V94" s="131"/>
      <c r="W94" s="14"/>
      <c r="Y94" s="14"/>
      <c r="Z94" s="14"/>
      <c r="AA94" s="14"/>
      <c r="AB94" s="1"/>
      <c r="AC94" s="78"/>
      <c r="AD94" s="78"/>
      <c r="AE94" s="78"/>
      <c r="AF94" s="63"/>
      <c r="AX94" s="96"/>
      <c r="AY94" s="96"/>
      <c r="AZ94" s="96"/>
      <c r="BA94" s="96"/>
      <c r="BB94" s="96"/>
    </row>
    <row r="95" spans="1:68" ht="15.75" customHeight="1" x14ac:dyDescent="0.2">
      <c r="A95" s="89"/>
      <c r="B95" s="89"/>
      <c r="C95" s="89"/>
      <c r="D95" s="89"/>
      <c r="E95" s="89"/>
      <c r="F95" s="308" t="s">
        <v>287</v>
      </c>
      <c r="G95" s="301"/>
      <c r="H95" s="301"/>
      <c r="I95" s="301"/>
      <c r="J95" s="301"/>
      <c r="K95" s="301"/>
      <c r="L95" s="301"/>
      <c r="M95" s="309"/>
      <c r="N95" s="301"/>
      <c r="R95" s="96"/>
      <c r="S95" s="96"/>
      <c r="T95" s="96"/>
      <c r="U95" s="96"/>
      <c r="V95" s="131"/>
      <c r="W95" s="14"/>
      <c r="X95" s="14"/>
      <c r="Y95" s="14"/>
      <c r="Z95" s="14"/>
      <c r="AA95" s="14"/>
      <c r="AB95" s="14"/>
      <c r="AC95" s="137"/>
      <c r="AD95" s="137"/>
      <c r="AE95" s="138"/>
      <c r="AF95" s="139"/>
      <c r="AX95" s="96"/>
      <c r="AY95" s="96"/>
      <c r="AZ95" s="96"/>
      <c r="BA95" s="96"/>
      <c r="BB95" s="96"/>
    </row>
    <row r="96" spans="1:68" ht="15.75" customHeight="1" x14ac:dyDescent="0.2">
      <c r="A96" s="89"/>
      <c r="B96" s="89"/>
      <c r="C96" s="89"/>
      <c r="D96" s="89"/>
      <c r="E96" s="89"/>
      <c r="F96" s="6"/>
      <c r="R96" s="96"/>
      <c r="S96" s="96"/>
      <c r="T96" s="96"/>
      <c r="U96" s="96"/>
      <c r="V96" s="131"/>
      <c r="W96" s="14"/>
      <c r="X96" s="140"/>
      <c r="Y96" s="140"/>
      <c r="Z96" s="140"/>
      <c r="AA96" s="140"/>
      <c r="AB96" s="14"/>
      <c r="AC96" s="14"/>
      <c r="AF96" s="14"/>
      <c r="AJ96" s="141"/>
      <c r="AU96" s="96"/>
      <c r="AV96" s="96"/>
      <c r="AW96" s="96"/>
      <c r="AX96" s="96"/>
      <c r="AY96" s="96"/>
      <c r="AZ96" s="96"/>
      <c r="BA96" s="96"/>
      <c r="BB96" s="96"/>
    </row>
  </sheetData>
  <mergeCells count="19">
    <mergeCell ref="P89:U89"/>
    <mergeCell ref="F95:L95"/>
    <mergeCell ref="M95:N95"/>
    <mergeCell ref="F51:F55"/>
    <mergeCell ref="F58:F62"/>
    <mergeCell ref="F65:F69"/>
    <mergeCell ref="F72:F76"/>
    <mergeCell ref="F79:F83"/>
    <mergeCell ref="F18:F24"/>
    <mergeCell ref="AV2:BF2"/>
    <mergeCell ref="F25:F31"/>
    <mergeCell ref="F32:F38"/>
    <mergeCell ref="F47:S47"/>
    <mergeCell ref="W47:AH47"/>
    <mergeCell ref="F2:S2"/>
    <mergeCell ref="U2:AE2"/>
    <mergeCell ref="AH2:AS2"/>
    <mergeCell ref="F4:F10"/>
    <mergeCell ref="F11:F17"/>
  </mergeCells>
  <conditionalFormatting sqref="J94:N94">
    <cfRule type="colorScale" priority="3">
      <colorScale>
        <cfvo type="min"/>
        <cfvo type="max"/>
        <color rgb="FFFDE9D9"/>
        <color rgb="FF76923C"/>
      </colorScale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1038"/>
  <sheetViews>
    <sheetView workbookViewId="0"/>
  </sheetViews>
  <sheetFormatPr baseColWidth="10" defaultColWidth="14.5" defaultRowHeight="15" customHeight="1" x14ac:dyDescent="0.2"/>
  <cols>
    <col min="1" max="5" width="10.6640625" customWidth="1"/>
    <col min="6" max="6" width="34.83203125" customWidth="1"/>
    <col min="7" max="7" width="24.5" customWidth="1"/>
    <col min="8" max="8" width="13.5" customWidth="1"/>
    <col min="9" max="12" width="10.6640625" customWidth="1"/>
    <col min="13" max="13" width="11.83203125" customWidth="1"/>
    <col min="14" max="14" width="12.33203125" customWidth="1"/>
    <col min="15" max="15" width="9.1640625" customWidth="1"/>
    <col min="16" max="16" width="8.33203125" customWidth="1"/>
    <col min="17" max="18" width="10.6640625" customWidth="1"/>
    <col min="19" max="19" width="10.5" customWidth="1"/>
    <col min="20" max="20" width="15.1640625" customWidth="1"/>
    <col min="21" max="21" width="11.83203125" customWidth="1"/>
    <col min="22" max="22" width="14.5" customWidth="1"/>
    <col min="23" max="23" width="10.6640625" customWidth="1"/>
    <col min="24" max="24" width="12.1640625" customWidth="1"/>
    <col min="25" max="25" width="12" customWidth="1"/>
    <col min="26" max="26" width="10.6640625" customWidth="1"/>
    <col min="27" max="27" width="4.5" customWidth="1"/>
    <col min="28" max="28" width="12.1640625" customWidth="1"/>
    <col min="29" max="29" width="10.1640625" customWidth="1"/>
    <col min="30" max="30" width="10.6640625" customWidth="1"/>
    <col min="31" max="31" width="9.5" customWidth="1"/>
    <col min="32" max="32" width="11" customWidth="1"/>
    <col min="33" max="34" width="18" customWidth="1"/>
    <col min="35" max="43" width="10.6640625" customWidth="1"/>
    <col min="44" max="44" width="13.83203125" customWidth="1"/>
    <col min="45" max="50" width="10.6640625" customWidth="1"/>
    <col min="51" max="51" width="5" customWidth="1"/>
    <col min="52" max="52" width="6.5" customWidth="1"/>
    <col min="53" max="53" width="7.5" customWidth="1"/>
    <col min="54" max="54" width="5.33203125" customWidth="1"/>
    <col min="55" max="55" width="6.83203125" customWidth="1"/>
    <col min="56" max="57" width="10.6640625" customWidth="1"/>
  </cols>
  <sheetData>
    <row r="1" spans="1:57" x14ac:dyDescent="0.2">
      <c r="A1" s="89"/>
      <c r="B1" s="89"/>
      <c r="C1" s="89"/>
      <c r="D1" s="89"/>
      <c r="E1" s="89"/>
    </row>
    <row r="2" spans="1:57" x14ac:dyDescent="0.2">
      <c r="A2" s="89"/>
      <c r="B2" s="89"/>
      <c r="C2" s="89"/>
      <c r="D2" s="89"/>
      <c r="E2" s="89"/>
    </row>
    <row r="3" spans="1:57" ht="64" x14ac:dyDescent="0.2">
      <c r="A3" s="89"/>
      <c r="B3" s="89"/>
      <c r="C3" s="89"/>
      <c r="D3" s="89"/>
      <c r="E3" s="89"/>
      <c r="F3" s="14"/>
      <c r="G3" s="1" t="s">
        <v>0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44" t="s">
        <v>132</v>
      </c>
      <c r="N3" s="44" t="s">
        <v>133</v>
      </c>
      <c r="O3" s="44" t="s">
        <v>134</v>
      </c>
      <c r="P3" s="44" t="s">
        <v>135</v>
      </c>
      <c r="Q3" s="44" t="s">
        <v>136</v>
      </c>
      <c r="R3" s="44" t="s">
        <v>137</v>
      </c>
      <c r="S3" s="44" t="s">
        <v>138</v>
      </c>
      <c r="U3" s="86" t="s">
        <v>129</v>
      </c>
      <c r="V3" s="80" t="s">
        <v>131</v>
      </c>
      <c r="W3" s="85" t="s">
        <v>128</v>
      </c>
      <c r="X3" s="84" t="s">
        <v>127</v>
      </c>
      <c r="Y3" s="85" t="s">
        <v>130</v>
      </c>
      <c r="AA3" s="6" t="s">
        <v>139</v>
      </c>
      <c r="AB3" s="6" t="s">
        <v>140</v>
      </c>
      <c r="AF3" s="4" t="s">
        <v>76</v>
      </c>
      <c r="AG3" s="4" t="s">
        <v>77</v>
      </c>
      <c r="AH3" s="4"/>
      <c r="AI3" s="4" t="s">
        <v>78</v>
      </c>
      <c r="AJ3" s="4" t="s">
        <v>79</v>
      </c>
      <c r="AK3" s="4" t="s">
        <v>80</v>
      </c>
      <c r="AM3" s="6" t="s">
        <v>139</v>
      </c>
      <c r="AN3" s="6" t="s">
        <v>140</v>
      </c>
      <c r="AP3" s="6" t="s">
        <v>141</v>
      </c>
      <c r="AQ3" s="6" t="s">
        <v>142</v>
      </c>
      <c r="AR3" s="6" t="s">
        <v>143</v>
      </c>
      <c r="AT3" s="90" t="s">
        <v>144</v>
      </c>
      <c r="AU3" s="91" t="s">
        <v>145</v>
      </c>
      <c r="AV3" s="92" t="s">
        <v>146</v>
      </c>
      <c r="AW3" s="93" t="s">
        <v>147</v>
      </c>
      <c r="AX3" s="92" t="s">
        <v>148</v>
      </c>
      <c r="AZ3" s="6" t="s">
        <v>139</v>
      </c>
      <c r="BA3" s="6" t="s">
        <v>140</v>
      </c>
      <c r="BB3" s="6" t="s">
        <v>149</v>
      </c>
      <c r="BC3" s="6" t="s">
        <v>141</v>
      </c>
      <c r="BD3" s="6" t="s">
        <v>150</v>
      </c>
      <c r="BE3" s="6" t="s">
        <v>143</v>
      </c>
    </row>
    <row r="4" spans="1:57" x14ac:dyDescent="0.2">
      <c r="A4" s="89"/>
      <c r="B4" s="89"/>
      <c r="C4" s="89"/>
      <c r="D4" s="89"/>
      <c r="E4" s="89"/>
      <c r="F4" s="5"/>
      <c r="G4" s="51" t="s">
        <v>117</v>
      </c>
      <c r="H4" s="7">
        <v>2</v>
      </c>
      <c r="I4" s="7">
        <v>2</v>
      </c>
      <c r="J4" s="7">
        <v>2</v>
      </c>
      <c r="K4" s="7">
        <v>4</v>
      </c>
      <c r="L4" s="7">
        <v>4</v>
      </c>
      <c r="M4" s="6">
        <f t="shared" ref="M4:M38" si="0">AVERAGE(H4:L4)</f>
        <v>2.8</v>
      </c>
      <c r="N4" s="72">
        <f t="shared" ref="N4:N38" si="1">STDEVP(H4:L4)</f>
        <v>0.9797958971132712</v>
      </c>
      <c r="O4" s="72">
        <f t="shared" ref="O4:S4" si="2">IF($N4=0, 0, (H4-$M4)/$N4)</f>
        <v>-0.81649658092772592</v>
      </c>
      <c r="P4" s="72">
        <f t="shared" si="2"/>
        <v>-0.81649658092772592</v>
      </c>
      <c r="Q4" s="72">
        <f t="shared" si="2"/>
        <v>-0.81649658092772592</v>
      </c>
      <c r="R4" s="72">
        <f t="shared" si="2"/>
        <v>1.2247448713915894</v>
      </c>
      <c r="S4" s="72">
        <f t="shared" si="2"/>
        <v>1.2247448713915894</v>
      </c>
      <c r="U4" s="80"/>
      <c r="V4" s="80"/>
      <c r="W4" s="80"/>
      <c r="X4" s="80"/>
      <c r="Y4" s="80"/>
      <c r="AA4" s="62"/>
      <c r="AB4" s="62"/>
      <c r="AF4" s="94"/>
      <c r="AG4" s="94"/>
      <c r="AH4" s="94"/>
      <c r="AI4" s="94"/>
      <c r="AJ4" s="94"/>
      <c r="AK4" s="94"/>
      <c r="AQ4" s="66"/>
      <c r="AT4" s="95"/>
      <c r="AU4" s="95"/>
      <c r="AV4" s="95"/>
      <c r="AW4" s="95"/>
      <c r="AX4" s="95"/>
      <c r="BD4" s="66"/>
    </row>
    <row r="5" spans="1:57" x14ac:dyDescent="0.2">
      <c r="A5" s="89"/>
      <c r="B5" s="89"/>
      <c r="C5" s="89"/>
      <c r="D5" s="89"/>
      <c r="E5" s="89"/>
      <c r="F5" s="5"/>
      <c r="G5" s="51" t="s">
        <v>118</v>
      </c>
      <c r="H5" s="7">
        <v>3</v>
      </c>
      <c r="I5" s="7">
        <v>2</v>
      </c>
      <c r="J5" s="7">
        <v>2</v>
      </c>
      <c r="K5" s="7">
        <v>3</v>
      </c>
      <c r="L5" s="7">
        <v>4</v>
      </c>
      <c r="M5" s="6">
        <f t="shared" si="0"/>
        <v>2.8</v>
      </c>
      <c r="N5" s="72">
        <f t="shared" si="1"/>
        <v>0.74833147735478833</v>
      </c>
      <c r="O5" s="72">
        <f t="shared" ref="O5:S5" si="3">IF($N5=0, 0, (H5-$M5)/$N5)</f>
        <v>0.26726124191242462</v>
      </c>
      <c r="P5" s="72">
        <f t="shared" si="3"/>
        <v>-1.0690449676496971</v>
      </c>
      <c r="Q5" s="72">
        <f t="shared" si="3"/>
        <v>-1.0690449676496971</v>
      </c>
      <c r="R5" s="72">
        <f t="shared" si="3"/>
        <v>0.26726124191242462</v>
      </c>
      <c r="S5" s="72">
        <f t="shared" si="3"/>
        <v>1.6035674514745464</v>
      </c>
      <c r="U5" s="80"/>
      <c r="V5" s="80"/>
      <c r="W5" s="80"/>
      <c r="X5" s="80"/>
      <c r="Y5" s="80"/>
      <c r="AA5" s="62"/>
      <c r="AB5" s="62"/>
      <c r="AF5" s="94"/>
      <c r="AG5" s="94"/>
      <c r="AH5" s="94"/>
      <c r="AI5" s="94"/>
      <c r="AJ5" s="94"/>
      <c r="AK5" s="94"/>
      <c r="AQ5" s="66"/>
      <c r="AT5" s="95"/>
      <c r="AU5" s="95"/>
      <c r="AV5" s="95"/>
      <c r="AW5" s="95"/>
      <c r="AX5" s="95"/>
      <c r="BD5" s="66"/>
    </row>
    <row r="6" spans="1:57" x14ac:dyDescent="0.2">
      <c r="A6" s="89"/>
      <c r="B6" s="89"/>
      <c r="C6" s="89"/>
      <c r="D6" s="89"/>
      <c r="E6" s="89"/>
      <c r="F6" s="300" t="s">
        <v>8</v>
      </c>
      <c r="G6" s="18" t="s">
        <v>9</v>
      </c>
      <c r="H6" s="7">
        <v>3</v>
      </c>
      <c r="I6" s="7">
        <v>2</v>
      </c>
      <c r="J6" s="7">
        <v>4</v>
      </c>
      <c r="K6" s="7">
        <v>2</v>
      </c>
      <c r="L6" s="7">
        <v>4</v>
      </c>
      <c r="M6" s="6">
        <f t="shared" si="0"/>
        <v>3</v>
      </c>
      <c r="N6" s="72">
        <f t="shared" si="1"/>
        <v>0.89442719099991586</v>
      </c>
      <c r="O6" s="72">
        <f t="shared" ref="O6:S6" si="4">IF($N6=0, 0, (H6-$M6)/$N6)</f>
        <v>0</v>
      </c>
      <c r="P6" s="72">
        <f t="shared" si="4"/>
        <v>-1.1180339887498949</v>
      </c>
      <c r="Q6" s="72">
        <f t="shared" si="4"/>
        <v>1.1180339887498949</v>
      </c>
      <c r="R6" s="72">
        <f t="shared" si="4"/>
        <v>-1.1180339887498949</v>
      </c>
      <c r="S6" s="72">
        <f t="shared" si="4"/>
        <v>1.1180339887498949</v>
      </c>
      <c r="U6" s="80">
        <v>1</v>
      </c>
      <c r="V6" s="80">
        <v>0</v>
      </c>
      <c r="W6" s="80">
        <v>4</v>
      </c>
      <c r="X6" s="80">
        <v>0</v>
      </c>
      <c r="Y6" s="80">
        <v>4</v>
      </c>
      <c r="AA6" s="62">
        <f t="shared" ref="AA6:AA10" si="5">MAX(U6:Y6)</f>
        <v>4</v>
      </c>
      <c r="AB6" s="62">
        <f t="shared" ref="AB6:AB10" si="6">LARGE(U6:Y6, 2)</f>
        <v>4</v>
      </c>
      <c r="AC6" s="6">
        <f t="shared" ref="AC6:AC10" si="7">LARGE(V6:Z6, 3)</f>
        <v>0</v>
      </c>
      <c r="AF6" s="19">
        <v>0</v>
      </c>
      <c r="AG6" s="19">
        <v>0</v>
      </c>
      <c r="AH6" s="19"/>
      <c r="AI6" s="19">
        <v>0</v>
      </c>
      <c r="AJ6" s="19">
        <v>0</v>
      </c>
      <c r="AK6" s="19">
        <v>2</v>
      </c>
      <c r="AM6" s="6">
        <f t="shared" ref="AM6:AM10" si="8">MAX(AF6:AK6)</f>
        <v>2</v>
      </c>
      <c r="AN6" s="6">
        <f t="shared" ref="AN6:AN10" si="9">LARGE(AF6:AK6, 2)</f>
        <v>0</v>
      </c>
      <c r="AP6" s="6">
        <f t="shared" ref="AP6:AP10" si="10">SUM(AF6:AK6)</f>
        <v>2</v>
      </c>
      <c r="AQ6" s="66">
        <f t="shared" ref="AQ6:AQ10" si="11">IF(AP6=0,0, (AF6/AP6)^2 + (AG6/AP6)^2 + (AI6/AP6)^2 + (AJ6/AP6)^2 + (AK6/AP6)^2)</f>
        <v>1</v>
      </c>
      <c r="AR6" s="66">
        <f t="shared" ref="AR6:AR10" si="12">AC51-AQ6</f>
        <v>0</v>
      </c>
      <c r="AT6" s="95">
        <v>1</v>
      </c>
      <c r="AU6" s="95">
        <v>1</v>
      </c>
      <c r="AV6" s="95">
        <v>2</v>
      </c>
      <c r="AW6" s="95">
        <v>1</v>
      </c>
      <c r="AX6" s="95">
        <v>3</v>
      </c>
      <c r="AZ6" s="6">
        <f t="shared" ref="AZ6:AZ10" si="13">MAX(AT6:AX6)</f>
        <v>3</v>
      </c>
      <c r="BA6" s="6">
        <f t="shared" ref="BA6:BA10" si="14">LARGE(AT6:AX6, 2)</f>
        <v>2</v>
      </c>
      <c r="BB6" s="6">
        <f t="shared" ref="BB6:BB10" si="15">LARGE(AT6:AX6, 3)</f>
        <v>1</v>
      </c>
      <c r="BC6" s="6">
        <f t="shared" ref="BC6:BC10" si="16">SUM(AT6:AX6)</f>
        <v>8</v>
      </c>
      <c r="BD6" s="66">
        <f t="shared" ref="BD6:BD10" si="17">IF(BC6=0,0, (AT6/BC6)^2 + (AU6/BC6)^2 + (AV6/BC6)^2 + (AW6/BC6)^2 + (AX6/BC6)^2)</f>
        <v>0.25</v>
      </c>
    </row>
    <row r="7" spans="1:57" x14ac:dyDescent="0.2">
      <c r="A7" s="89"/>
      <c r="B7" s="89"/>
      <c r="C7" s="89"/>
      <c r="D7" s="89"/>
      <c r="E7" s="89"/>
      <c r="F7" s="301"/>
      <c r="G7" s="18" t="s">
        <v>11</v>
      </c>
      <c r="H7" s="7">
        <v>4</v>
      </c>
      <c r="I7" s="7">
        <v>3</v>
      </c>
      <c r="J7" s="7">
        <v>3</v>
      </c>
      <c r="K7" s="7">
        <v>4</v>
      </c>
      <c r="L7" s="7">
        <v>4</v>
      </c>
      <c r="M7" s="6">
        <f t="shared" si="0"/>
        <v>3.6</v>
      </c>
      <c r="N7" s="72">
        <f t="shared" si="1"/>
        <v>0.4898979485566356</v>
      </c>
      <c r="O7" s="72">
        <f t="shared" ref="O7:S7" si="18">IF($N7=0, 0, (H7-$M7)/$N7)</f>
        <v>0.81649658092772592</v>
      </c>
      <c r="P7" s="72">
        <f t="shared" si="18"/>
        <v>-1.2247448713915894</v>
      </c>
      <c r="Q7" s="72">
        <f t="shared" si="18"/>
        <v>-1.2247448713915894</v>
      </c>
      <c r="R7" s="72">
        <f t="shared" si="18"/>
        <v>0.81649658092772592</v>
      </c>
      <c r="S7" s="72">
        <f t="shared" si="18"/>
        <v>0.81649658092772592</v>
      </c>
      <c r="U7" s="80">
        <v>2</v>
      </c>
      <c r="V7" s="80">
        <v>0</v>
      </c>
      <c r="W7" s="80">
        <v>2</v>
      </c>
      <c r="X7" s="80">
        <v>4</v>
      </c>
      <c r="Y7" s="80">
        <v>4</v>
      </c>
      <c r="AA7" s="62">
        <f t="shared" si="5"/>
        <v>4</v>
      </c>
      <c r="AB7" s="62">
        <f t="shared" si="6"/>
        <v>4</v>
      </c>
      <c r="AC7" s="6">
        <f t="shared" si="7"/>
        <v>2</v>
      </c>
      <c r="AF7" s="19">
        <v>0</v>
      </c>
      <c r="AG7" s="19">
        <v>1</v>
      </c>
      <c r="AH7" s="19"/>
      <c r="AI7" s="19">
        <v>0</v>
      </c>
      <c r="AJ7" s="19">
        <v>4</v>
      </c>
      <c r="AK7" s="19">
        <v>3</v>
      </c>
      <c r="AM7" s="6">
        <f t="shared" si="8"/>
        <v>4</v>
      </c>
      <c r="AN7" s="6">
        <f t="shared" si="9"/>
        <v>3</v>
      </c>
      <c r="AP7" s="6">
        <f t="shared" si="10"/>
        <v>8</v>
      </c>
      <c r="AQ7" s="66">
        <f t="shared" si="11"/>
        <v>0.40625</v>
      </c>
      <c r="AR7" s="66">
        <f t="shared" si="12"/>
        <v>-4.8225308641975329E-2</v>
      </c>
      <c r="AT7" s="95">
        <v>2</v>
      </c>
      <c r="AU7" s="95">
        <v>1</v>
      </c>
      <c r="AV7" s="95">
        <v>2</v>
      </c>
      <c r="AW7" s="95">
        <v>4</v>
      </c>
      <c r="AX7" s="95">
        <v>2</v>
      </c>
      <c r="AZ7" s="6">
        <f t="shared" si="13"/>
        <v>4</v>
      </c>
      <c r="BA7" s="6">
        <f t="shared" si="14"/>
        <v>2</v>
      </c>
      <c r="BB7" s="6">
        <f t="shared" si="15"/>
        <v>2</v>
      </c>
      <c r="BC7" s="6">
        <f t="shared" si="16"/>
        <v>11</v>
      </c>
      <c r="BD7" s="66">
        <f t="shared" si="17"/>
        <v>0.23966942148760331</v>
      </c>
    </row>
    <row r="8" spans="1:57" x14ac:dyDescent="0.2">
      <c r="A8" s="89"/>
      <c r="B8" s="89"/>
      <c r="C8" s="89"/>
      <c r="D8" s="89"/>
      <c r="E8" s="89"/>
      <c r="F8" s="301"/>
      <c r="G8" s="18" t="s">
        <v>13</v>
      </c>
      <c r="H8" s="7">
        <v>3</v>
      </c>
      <c r="I8" s="7">
        <v>4</v>
      </c>
      <c r="J8" s="7">
        <v>2</v>
      </c>
      <c r="K8" s="7">
        <v>4</v>
      </c>
      <c r="L8" s="7">
        <v>4</v>
      </c>
      <c r="M8" s="6">
        <f t="shared" si="0"/>
        <v>3.4</v>
      </c>
      <c r="N8" s="72">
        <f t="shared" si="1"/>
        <v>0.8</v>
      </c>
      <c r="O8" s="72">
        <f t="shared" ref="O8:S8" si="19">IF($N8=0, 0, (H8-$M8)/$N8)</f>
        <v>-0.49999999999999989</v>
      </c>
      <c r="P8" s="72">
        <f t="shared" si="19"/>
        <v>0.75000000000000011</v>
      </c>
      <c r="Q8" s="72">
        <f t="shared" si="19"/>
        <v>-1.7499999999999998</v>
      </c>
      <c r="R8" s="72">
        <f t="shared" si="19"/>
        <v>0.75000000000000011</v>
      </c>
      <c r="S8" s="72">
        <f t="shared" si="19"/>
        <v>0.75000000000000011</v>
      </c>
      <c r="U8" s="80">
        <v>4</v>
      </c>
      <c r="V8" s="80">
        <v>1</v>
      </c>
      <c r="W8" s="80">
        <v>3</v>
      </c>
      <c r="X8" s="80">
        <v>0</v>
      </c>
      <c r="Y8" s="80">
        <v>4</v>
      </c>
      <c r="AA8" s="62">
        <f t="shared" si="5"/>
        <v>4</v>
      </c>
      <c r="AB8" s="62">
        <f t="shared" si="6"/>
        <v>4</v>
      </c>
      <c r="AC8" s="6">
        <f t="shared" si="7"/>
        <v>1</v>
      </c>
      <c r="AF8" s="19">
        <v>0</v>
      </c>
      <c r="AG8" s="19">
        <v>2</v>
      </c>
      <c r="AH8" s="19"/>
      <c r="AI8" s="19">
        <v>1</v>
      </c>
      <c r="AJ8" s="19">
        <v>3</v>
      </c>
      <c r="AK8" s="19">
        <v>4</v>
      </c>
      <c r="AM8" s="6">
        <f t="shared" si="8"/>
        <v>4</v>
      </c>
      <c r="AN8" s="6">
        <f t="shared" si="9"/>
        <v>3</v>
      </c>
      <c r="AP8" s="6">
        <f t="shared" si="10"/>
        <v>10</v>
      </c>
      <c r="AQ8" s="66">
        <f t="shared" si="11"/>
        <v>0.30000000000000004</v>
      </c>
      <c r="AR8" s="66">
        <f t="shared" si="12"/>
        <v>-2.7272727272727337E-2</v>
      </c>
      <c r="AT8" s="95">
        <v>3</v>
      </c>
      <c r="AU8" s="95">
        <v>1</v>
      </c>
      <c r="AV8" s="95">
        <v>1</v>
      </c>
      <c r="AW8" s="95">
        <v>4</v>
      </c>
      <c r="AX8" s="95">
        <v>3</v>
      </c>
      <c r="AZ8" s="6">
        <f t="shared" si="13"/>
        <v>4</v>
      </c>
      <c r="BA8" s="6">
        <f t="shared" si="14"/>
        <v>3</v>
      </c>
      <c r="BB8" s="6">
        <f t="shared" si="15"/>
        <v>3</v>
      </c>
      <c r="BC8" s="6">
        <f t="shared" si="16"/>
        <v>12</v>
      </c>
      <c r="BD8" s="66">
        <f t="shared" si="17"/>
        <v>0.25</v>
      </c>
    </row>
    <row r="9" spans="1:57" x14ac:dyDescent="0.2">
      <c r="A9" s="89"/>
      <c r="B9" s="89"/>
      <c r="C9" s="89"/>
      <c r="D9" s="89"/>
      <c r="E9" s="89"/>
      <c r="F9" s="301"/>
      <c r="G9" s="18" t="s">
        <v>15</v>
      </c>
      <c r="H9" s="7">
        <v>4</v>
      </c>
      <c r="I9" s="7">
        <v>3</v>
      </c>
      <c r="J9" s="7">
        <v>3</v>
      </c>
      <c r="K9" s="7">
        <v>4</v>
      </c>
      <c r="L9" s="7">
        <v>4</v>
      </c>
      <c r="M9" s="6">
        <f t="shared" si="0"/>
        <v>3.6</v>
      </c>
      <c r="N9" s="72">
        <f t="shared" si="1"/>
        <v>0.4898979485566356</v>
      </c>
      <c r="O9" s="72">
        <f t="shared" ref="O9:S9" si="20">IF($N9=0, 0, (H9-$M9)/$N9)</f>
        <v>0.81649658092772592</v>
      </c>
      <c r="P9" s="72">
        <f t="shared" si="20"/>
        <v>-1.2247448713915894</v>
      </c>
      <c r="Q9" s="72">
        <f t="shared" si="20"/>
        <v>-1.2247448713915894</v>
      </c>
      <c r="R9" s="72">
        <f t="shared" si="20"/>
        <v>0.81649658092772592</v>
      </c>
      <c r="S9" s="72">
        <f t="shared" si="20"/>
        <v>0.81649658092772592</v>
      </c>
      <c r="U9" s="80">
        <v>4</v>
      </c>
      <c r="V9" s="80">
        <v>1</v>
      </c>
      <c r="W9" s="80">
        <v>3</v>
      </c>
      <c r="X9" s="80">
        <v>3</v>
      </c>
      <c r="Y9" s="80">
        <v>4</v>
      </c>
      <c r="AA9" s="62">
        <f t="shared" si="5"/>
        <v>4</v>
      </c>
      <c r="AB9" s="62">
        <f t="shared" si="6"/>
        <v>4</v>
      </c>
      <c r="AC9" s="6">
        <f t="shared" si="7"/>
        <v>3</v>
      </c>
      <c r="AF9" s="19">
        <v>1</v>
      </c>
      <c r="AG9" s="19">
        <v>2</v>
      </c>
      <c r="AH9" s="19"/>
      <c r="AI9" s="19">
        <v>0</v>
      </c>
      <c r="AJ9" s="19">
        <v>3</v>
      </c>
      <c r="AK9" s="19">
        <v>4</v>
      </c>
      <c r="AM9" s="6">
        <f t="shared" si="8"/>
        <v>4</v>
      </c>
      <c r="AN9" s="6">
        <f t="shared" si="9"/>
        <v>3</v>
      </c>
      <c r="AP9" s="6">
        <f t="shared" si="10"/>
        <v>10</v>
      </c>
      <c r="AQ9" s="66">
        <f t="shared" si="11"/>
        <v>0.30000000000000004</v>
      </c>
      <c r="AR9" s="66">
        <f t="shared" si="12"/>
        <v>3.333333333333327E-2</v>
      </c>
      <c r="AT9" s="95">
        <v>2</v>
      </c>
      <c r="AU9" s="95">
        <v>1</v>
      </c>
      <c r="AV9" s="95">
        <v>1</v>
      </c>
      <c r="AW9" s="95">
        <v>4</v>
      </c>
      <c r="AX9" s="95">
        <v>2</v>
      </c>
      <c r="AZ9" s="6">
        <f t="shared" si="13"/>
        <v>4</v>
      </c>
      <c r="BA9" s="6">
        <f t="shared" si="14"/>
        <v>2</v>
      </c>
      <c r="BB9" s="6">
        <f t="shared" si="15"/>
        <v>2</v>
      </c>
      <c r="BC9" s="6">
        <f t="shared" si="16"/>
        <v>10</v>
      </c>
      <c r="BD9" s="66">
        <f t="shared" si="17"/>
        <v>0.26</v>
      </c>
    </row>
    <row r="10" spans="1:57" x14ac:dyDescent="0.2">
      <c r="A10" s="89"/>
      <c r="B10" s="89"/>
      <c r="C10" s="89"/>
      <c r="D10" s="89"/>
      <c r="E10" s="89"/>
      <c r="F10" s="301"/>
      <c r="G10" s="18" t="s">
        <v>17</v>
      </c>
      <c r="H10" s="7">
        <v>3</v>
      </c>
      <c r="I10" s="7">
        <v>2</v>
      </c>
      <c r="J10" s="7">
        <v>2</v>
      </c>
      <c r="K10" s="7">
        <v>2</v>
      </c>
      <c r="L10" s="7">
        <v>3</v>
      </c>
      <c r="M10" s="6">
        <f t="shared" si="0"/>
        <v>2.4</v>
      </c>
      <c r="N10" s="72">
        <f t="shared" si="1"/>
        <v>0.4898979485566356</v>
      </c>
      <c r="O10" s="72">
        <f t="shared" ref="O10:S10" si="21">IF($N10=0, 0, (H10-$M10)/$N10)</f>
        <v>1.2247448713915894</v>
      </c>
      <c r="P10" s="72">
        <f t="shared" si="21"/>
        <v>-0.81649658092772592</v>
      </c>
      <c r="Q10" s="72">
        <f t="shared" si="21"/>
        <v>-0.81649658092772592</v>
      </c>
      <c r="R10" s="72">
        <f t="shared" si="21"/>
        <v>-0.81649658092772592</v>
      </c>
      <c r="S10" s="72">
        <f t="shared" si="21"/>
        <v>1.2247448713915894</v>
      </c>
      <c r="U10" s="80">
        <v>4</v>
      </c>
      <c r="V10" s="80">
        <v>1</v>
      </c>
      <c r="W10" s="80">
        <v>4</v>
      </c>
      <c r="X10" s="80">
        <v>3</v>
      </c>
      <c r="Y10" s="80">
        <v>4</v>
      </c>
      <c r="AA10" s="62">
        <f t="shared" si="5"/>
        <v>4</v>
      </c>
      <c r="AB10" s="62">
        <f t="shared" si="6"/>
        <v>4</v>
      </c>
      <c r="AC10" s="6">
        <f t="shared" si="7"/>
        <v>3</v>
      </c>
      <c r="AF10" s="19">
        <v>1</v>
      </c>
      <c r="AG10" s="19">
        <v>2</v>
      </c>
      <c r="AH10" s="19"/>
      <c r="AI10" s="19">
        <v>1</v>
      </c>
      <c r="AJ10" s="19">
        <v>3</v>
      </c>
      <c r="AK10" s="19">
        <v>4</v>
      </c>
      <c r="AM10" s="6">
        <f t="shared" si="8"/>
        <v>4</v>
      </c>
      <c r="AN10" s="6">
        <f t="shared" si="9"/>
        <v>3</v>
      </c>
      <c r="AP10" s="6">
        <f t="shared" si="10"/>
        <v>11</v>
      </c>
      <c r="AQ10" s="66">
        <f t="shared" si="11"/>
        <v>0.256198347107438</v>
      </c>
      <c r="AR10" s="66">
        <f t="shared" si="12"/>
        <v>0.150051652892562</v>
      </c>
      <c r="AT10" s="95">
        <v>3</v>
      </c>
      <c r="AU10" s="95">
        <v>1</v>
      </c>
      <c r="AV10" s="95">
        <v>1</v>
      </c>
      <c r="AW10" s="95">
        <v>3</v>
      </c>
      <c r="AX10" s="95">
        <v>3</v>
      </c>
      <c r="AZ10" s="6">
        <f t="shared" si="13"/>
        <v>3</v>
      </c>
      <c r="BA10" s="6">
        <f t="shared" si="14"/>
        <v>3</v>
      </c>
      <c r="BB10" s="6">
        <f t="shared" si="15"/>
        <v>3</v>
      </c>
      <c r="BC10" s="6">
        <f t="shared" si="16"/>
        <v>11</v>
      </c>
      <c r="BD10" s="66">
        <f t="shared" si="17"/>
        <v>0.23966942148760328</v>
      </c>
    </row>
    <row r="11" spans="1:57" x14ac:dyDescent="0.2">
      <c r="A11" s="89"/>
      <c r="B11" s="89"/>
      <c r="C11" s="89"/>
      <c r="D11" s="89"/>
      <c r="E11" s="89"/>
      <c r="F11" s="5"/>
      <c r="G11" s="55" t="s">
        <v>119</v>
      </c>
      <c r="H11" s="7">
        <v>3</v>
      </c>
      <c r="I11" s="7">
        <v>2</v>
      </c>
      <c r="J11" s="7">
        <v>2</v>
      </c>
      <c r="K11" s="7">
        <v>4</v>
      </c>
      <c r="L11" s="7">
        <v>4</v>
      </c>
      <c r="M11" s="6">
        <f t="shared" si="0"/>
        <v>3</v>
      </c>
      <c r="N11" s="72">
        <f t="shared" si="1"/>
        <v>0.89442719099991586</v>
      </c>
      <c r="O11" s="72">
        <f t="shared" ref="O11:S11" si="22">IF($N11=0, 0, (H11-$M11)/$N11)</f>
        <v>0</v>
      </c>
      <c r="P11" s="72">
        <f t="shared" si="22"/>
        <v>-1.1180339887498949</v>
      </c>
      <c r="Q11" s="72">
        <f t="shared" si="22"/>
        <v>-1.1180339887498949</v>
      </c>
      <c r="R11" s="72">
        <f t="shared" si="22"/>
        <v>1.1180339887498949</v>
      </c>
      <c r="S11" s="72">
        <f t="shared" si="22"/>
        <v>1.1180339887498949</v>
      </c>
      <c r="U11" s="80"/>
      <c r="V11" s="80"/>
      <c r="W11" s="80"/>
      <c r="X11" s="80"/>
      <c r="Y11" s="80"/>
      <c r="AF11" s="26"/>
      <c r="AG11" s="26"/>
      <c r="AH11" s="26"/>
      <c r="AI11" s="26"/>
      <c r="AJ11" s="26"/>
      <c r="AK11" s="26"/>
      <c r="AQ11" s="66"/>
      <c r="AT11" s="95"/>
      <c r="AU11" s="95"/>
      <c r="AV11" s="95"/>
      <c r="AW11" s="95"/>
      <c r="AX11" s="95"/>
      <c r="BD11" s="66"/>
    </row>
    <row r="12" spans="1:57" x14ac:dyDescent="0.2">
      <c r="A12" s="89"/>
      <c r="B12" s="89"/>
      <c r="C12" s="89"/>
      <c r="D12" s="89"/>
      <c r="E12" s="89"/>
      <c r="F12" s="5"/>
      <c r="G12" s="55" t="s">
        <v>120</v>
      </c>
      <c r="H12" s="7">
        <v>2</v>
      </c>
      <c r="I12" s="7">
        <v>2</v>
      </c>
      <c r="J12" s="7">
        <v>2</v>
      </c>
      <c r="K12" s="7">
        <v>4</v>
      </c>
      <c r="L12" s="7">
        <v>4</v>
      </c>
      <c r="M12" s="6">
        <f t="shared" si="0"/>
        <v>2.8</v>
      </c>
      <c r="N12" s="72">
        <f t="shared" si="1"/>
        <v>0.9797958971132712</v>
      </c>
      <c r="O12" s="72">
        <f t="shared" ref="O12:S12" si="23">IF($N12=0, 0, (H12-$M12)/$N12)</f>
        <v>-0.81649658092772592</v>
      </c>
      <c r="P12" s="72">
        <f t="shared" si="23"/>
        <v>-0.81649658092772592</v>
      </c>
      <c r="Q12" s="72">
        <f t="shared" si="23"/>
        <v>-0.81649658092772592</v>
      </c>
      <c r="R12" s="72">
        <f t="shared" si="23"/>
        <v>1.2247448713915894</v>
      </c>
      <c r="S12" s="72">
        <f t="shared" si="23"/>
        <v>1.2247448713915894</v>
      </c>
      <c r="U12" s="80"/>
      <c r="V12" s="80"/>
      <c r="W12" s="80"/>
      <c r="X12" s="80"/>
      <c r="Y12" s="80"/>
      <c r="AF12" s="26"/>
      <c r="AG12" s="26"/>
      <c r="AH12" s="26"/>
      <c r="AI12" s="26"/>
      <c r="AJ12" s="26"/>
      <c r="AK12" s="26"/>
      <c r="AQ12" s="66"/>
      <c r="AT12" s="95"/>
      <c r="AU12" s="95"/>
      <c r="AV12" s="95"/>
      <c r="AW12" s="95"/>
      <c r="AX12" s="95"/>
      <c r="BD12" s="66"/>
    </row>
    <row r="13" spans="1:57" x14ac:dyDescent="0.2">
      <c r="A13" s="89"/>
      <c r="B13" s="89"/>
      <c r="C13" s="89"/>
      <c r="D13" s="89"/>
      <c r="E13" s="89"/>
      <c r="F13" s="300" t="s">
        <v>19</v>
      </c>
      <c r="G13" s="25" t="s">
        <v>20</v>
      </c>
      <c r="H13" s="7">
        <v>3</v>
      </c>
      <c r="I13" s="7">
        <v>1</v>
      </c>
      <c r="J13" s="7">
        <v>2</v>
      </c>
      <c r="K13" s="7">
        <v>3</v>
      </c>
      <c r="L13" s="7">
        <v>3</v>
      </c>
      <c r="M13" s="6">
        <f t="shared" si="0"/>
        <v>2.4</v>
      </c>
      <c r="N13" s="72">
        <f t="shared" si="1"/>
        <v>0.8</v>
      </c>
      <c r="O13" s="72">
        <f t="shared" ref="O13:S13" si="24">IF($N13=0, 0, (H13-$M13)/$N13)</f>
        <v>0.75000000000000011</v>
      </c>
      <c r="P13" s="72">
        <f t="shared" si="24"/>
        <v>-1.7499999999999998</v>
      </c>
      <c r="Q13" s="72">
        <f t="shared" si="24"/>
        <v>-0.49999999999999989</v>
      </c>
      <c r="R13" s="72">
        <f t="shared" si="24"/>
        <v>0.75000000000000011</v>
      </c>
      <c r="S13" s="72">
        <f t="shared" si="24"/>
        <v>0.75000000000000011</v>
      </c>
      <c r="U13" s="80">
        <v>4</v>
      </c>
      <c r="V13" s="80">
        <v>1</v>
      </c>
      <c r="W13" s="80">
        <v>2</v>
      </c>
      <c r="X13" s="80">
        <v>0</v>
      </c>
      <c r="Y13" s="80">
        <v>2</v>
      </c>
      <c r="AA13" s="6">
        <f t="shared" ref="AA13:AA17" si="25">MAX(U13:Y13)</f>
        <v>4</v>
      </c>
      <c r="AB13" s="6">
        <f t="shared" ref="AB13:AB17" si="26">LARGE(U13:Y13, 2)</f>
        <v>2</v>
      </c>
      <c r="AC13" s="6">
        <f t="shared" ref="AC13:AC17" si="27">LARGE(V13:Z13, 3)</f>
        <v>1</v>
      </c>
      <c r="AF13" s="26">
        <v>3</v>
      </c>
      <c r="AG13" s="26">
        <v>2</v>
      </c>
      <c r="AH13" s="26"/>
      <c r="AI13" s="26">
        <v>1</v>
      </c>
      <c r="AJ13" s="26">
        <v>4</v>
      </c>
      <c r="AK13" s="26">
        <v>1</v>
      </c>
      <c r="AM13" s="6">
        <f t="shared" ref="AM13:AM17" si="28">MAX(AF13:AK13)</f>
        <v>4</v>
      </c>
      <c r="AN13" s="6">
        <f t="shared" ref="AN13:AN17" si="29">LARGE(AF13:AK13, 2)</f>
        <v>3</v>
      </c>
      <c r="AP13" s="6">
        <f t="shared" ref="AP13:AP17" si="30">SUM(AF13:AK13)</f>
        <v>11</v>
      </c>
      <c r="AQ13" s="66">
        <f t="shared" ref="AQ13:AQ17" si="31">IF(AP13=0,0, (AF13/AP13)^2 + (AG13/AP13)^2 + (AI13/AP13)^2 + (AJ13/AP13)^2 + (AK13/AP13)^2)</f>
        <v>0.25619834710743805</v>
      </c>
      <c r="AR13" s="66">
        <f t="shared" ref="AR13:AR17" si="32">AC58-AQ13</f>
        <v>0.1723730814639905</v>
      </c>
      <c r="AT13" s="95">
        <v>3</v>
      </c>
      <c r="AU13" s="95">
        <v>1</v>
      </c>
      <c r="AV13" s="95">
        <v>1</v>
      </c>
      <c r="AW13" s="95">
        <v>2</v>
      </c>
      <c r="AX13" s="95">
        <v>2</v>
      </c>
      <c r="AZ13" s="6">
        <f t="shared" ref="AZ13:AZ17" si="33">MAX(AT13:AX13)</f>
        <v>3</v>
      </c>
      <c r="BA13" s="6">
        <f t="shared" ref="BA13:BA17" si="34">LARGE(AT13:AX13, 2)</f>
        <v>2</v>
      </c>
      <c r="BB13" s="6">
        <f t="shared" ref="BB13:BB17" si="35">LARGE(AT13:AX13, 3)</f>
        <v>2</v>
      </c>
      <c r="BC13" s="6">
        <f t="shared" ref="BC13:BC17" si="36">SUM(AT13:AX13)</f>
        <v>9</v>
      </c>
      <c r="BD13" s="66">
        <f t="shared" ref="BD13:BD17" si="37">IF(BC13=0,0, (AT13/BC13)^2 + (AU13/BC13)^2 + (AV13/BC13)^2 + (AW13/BC13)^2 + (AX13/BC13)^2)</f>
        <v>0.23456790123456789</v>
      </c>
    </row>
    <row r="14" spans="1:57" x14ac:dyDescent="0.2">
      <c r="A14" s="89"/>
      <c r="B14" s="89"/>
      <c r="C14" s="89"/>
      <c r="D14" s="89"/>
      <c r="E14" s="89"/>
      <c r="F14" s="301"/>
      <c r="G14" s="25" t="s">
        <v>22</v>
      </c>
      <c r="H14" s="7">
        <v>4</v>
      </c>
      <c r="I14" s="7">
        <v>4</v>
      </c>
      <c r="J14" s="7">
        <v>4</v>
      </c>
      <c r="K14" s="7">
        <v>4</v>
      </c>
      <c r="L14" s="7">
        <v>4</v>
      </c>
      <c r="M14" s="6">
        <f t="shared" si="0"/>
        <v>4</v>
      </c>
      <c r="N14" s="72">
        <f t="shared" si="1"/>
        <v>0</v>
      </c>
      <c r="O14" s="72">
        <f t="shared" ref="O14:S14" si="38">IF($N14=0, 0, (H14-$M14)/$N14)</f>
        <v>0</v>
      </c>
      <c r="P14" s="72">
        <f t="shared" si="38"/>
        <v>0</v>
      </c>
      <c r="Q14" s="72">
        <f t="shared" si="38"/>
        <v>0</v>
      </c>
      <c r="R14" s="72">
        <f t="shared" si="38"/>
        <v>0</v>
      </c>
      <c r="S14" s="72">
        <f t="shared" si="38"/>
        <v>0</v>
      </c>
      <c r="U14" s="80">
        <v>4</v>
      </c>
      <c r="V14" s="80">
        <v>1</v>
      </c>
      <c r="W14" s="80">
        <v>4</v>
      </c>
      <c r="X14" s="80">
        <v>1</v>
      </c>
      <c r="Y14" s="80">
        <v>1</v>
      </c>
      <c r="AA14" s="62">
        <f t="shared" si="25"/>
        <v>4</v>
      </c>
      <c r="AB14" s="62">
        <f t="shared" si="26"/>
        <v>4</v>
      </c>
      <c r="AC14" s="6">
        <f t="shared" si="27"/>
        <v>1</v>
      </c>
      <c r="AF14" s="26">
        <v>3</v>
      </c>
      <c r="AG14" s="26">
        <v>1</v>
      </c>
      <c r="AH14" s="26"/>
      <c r="AI14" s="26">
        <v>3</v>
      </c>
      <c r="AJ14" s="26">
        <v>2</v>
      </c>
      <c r="AK14" s="26">
        <v>0</v>
      </c>
      <c r="AM14" s="6">
        <f t="shared" si="28"/>
        <v>3</v>
      </c>
      <c r="AN14" s="6">
        <f t="shared" si="29"/>
        <v>3</v>
      </c>
      <c r="AP14" s="6">
        <f t="shared" si="30"/>
        <v>9</v>
      </c>
      <c r="AQ14" s="66">
        <f t="shared" si="31"/>
        <v>0.2839506172839506</v>
      </c>
      <c r="AR14" s="66">
        <f t="shared" si="32"/>
        <v>-4.3950617283950583E-2</v>
      </c>
      <c r="AT14" s="95">
        <v>4</v>
      </c>
      <c r="AU14" s="95">
        <v>3</v>
      </c>
      <c r="AV14" s="95">
        <v>4</v>
      </c>
      <c r="AW14" s="95">
        <v>4</v>
      </c>
      <c r="AX14" s="95">
        <v>2</v>
      </c>
      <c r="AZ14" s="6">
        <f t="shared" si="33"/>
        <v>4</v>
      </c>
      <c r="BA14" s="6">
        <f t="shared" si="34"/>
        <v>4</v>
      </c>
      <c r="BB14" s="6">
        <f t="shared" si="35"/>
        <v>4</v>
      </c>
      <c r="BC14" s="6">
        <f t="shared" si="36"/>
        <v>17</v>
      </c>
      <c r="BD14" s="66">
        <f t="shared" si="37"/>
        <v>0.21107266435986161</v>
      </c>
    </row>
    <row r="15" spans="1:57" x14ac:dyDescent="0.2">
      <c r="A15" s="89"/>
      <c r="B15" s="89"/>
      <c r="C15" s="89"/>
      <c r="D15" s="89"/>
      <c r="E15" s="89"/>
      <c r="F15" s="301"/>
      <c r="G15" s="25" t="s">
        <v>24</v>
      </c>
      <c r="H15" s="7">
        <v>4</v>
      </c>
      <c r="I15" s="7">
        <v>3</v>
      </c>
      <c r="J15" s="7">
        <v>4</v>
      </c>
      <c r="K15" s="7">
        <v>4</v>
      </c>
      <c r="L15" s="7">
        <v>4</v>
      </c>
      <c r="M15" s="6">
        <f t="shared" si="0"/>
        <v>3.8</v>
      </c>
      <c r="N15" s="72">
        <f t="shared" si="1"/>
        <v>0.4</v>
      </c>
      <c r="O15" s="72">
        <f t="shared" ref="O15:S15" si="39">IF($N15=0, 0, (H15-$M15)/$N15)</f>
        <v>0.50000000000000044</v>
      </c>
      <c r="P15" s="72">
        <f t="shared" si="39"/>
        <v>-1.9999999999999996</v>
      </c>
      <c r="Q15" s="72">
        <f t="shared" si="39"/>
        <v>0.50000000000000044</v>
      </c>
      <c r="R15" s="72">
        <f t="shared" si="39"/>
        <v>0.50000000000000044</v>
      </c>
      <c r="S15" s="72">
        <f t="shared" si="39"/>
        <v>0.50000000000000044</v>
      </c>
      <c r="U15" s="80">
        <v>4</v>
      </c>
      <c r="V15" s="80">
        <v>0</v>
      </c>
      <c r="W15" s="80">
        <v>4</v>
      </c>
      <c r="X15" s="80">
        <v>0</v>
      </c>
      <c r="Y15" s="80">
        <v>1</v>
      </c>
      <c r="AA15" s="62">
        <f t="shared" si="25"/>
        <v>4</v>
      </c>
      <c r="AB15" s="62">
        <f t="shared" si="26"/>
        <v>4</v>
      </c>
      <c r="AC15" s="6">
        <f t="shared" si="27"/>
        <v>0</v>
      </c>
      <c r="AF15" s="26">
        <v>3</v>
      </c>
      <c r="AG15" s="26">
        <v>1</v>
      </c>
      <c r="AH15" s="26"/>
      <c r="AI15" s="26">
        <v>0</v>
      </c>
      <c r="AJ15" s="26">
        <v>2</v>
      </c>
      <c r="AK15" s="26">
        <v>0</v>
      </c>
      <c r="AM15" s="6">
        <f t="shared" si="28"/>
        <v>3</v>
      </c>
      <c r="AN15" s="6">
        <f t="shared" si="29"/>
        <v>2</v>
      </c>
      <c r="AP15" s="6">
        <f t="shared" si="30"/>
        <v>6</v>
      </c>
      <c r="AQ15" s="66">
        <f t="shared" si="31"/>
        <v>0.3888888888888889</v>
      </c>
      <c r="AR15" s="66">
        <f t="shared" si="32"/>
        <v>-2.8888888888888797E-2</v>
      </c>
      <c r="AT15" s="95">
        <v>4</v>
      </c>
      <c r="AU15" s="95">
        <v>3</v>
      </c>
      <c r="AV15" s="95">
        <v>2</v>
      </c>
      <c r="AW15" s="95">
        <v>3</v>
      </c>
      <c r="AX15" s="95">
        <v>1</v>
      </c>
      <c r="AZ15" s="6">
        <f t="shared" si="33"/>
        <v>4</v>
      </c>
      <c r="BA15" s="6">
        <f t="shared" si="34"/>
        <v>3</v>
      </c>
      <c r="BB15" s="6">
        <f t="shared" si="35"/>
        <v>3</v>
      </c>
      <c r="BC15" s="6">
        <f t="shared" si="36"/>
        <v>13</v>
      </c>
      <c r="BD15" s="66">
        <f t="shared" si="37"/>
        <v>0.23076923076923081</v>
      </c>
    </row>
    <row r="16" spans="1:57" x14ac:dyDescent="0.2">
      <c r="A16" s="89"/>
      <c r="B16" s="89"/>
      <c r="C16" s="89"/>
      <c r="D16" s="89"/>
      <c r="E16" s="89"/>
      <c r="F16" s="301"/>
      <c r="G16" s="25" t="s">
        <v>26</v>
      </c>
      <c r="H16" s="7">
        <v>4</v>
      </c>
      <c r="I16" s="7">
        <v>3</v>
      </c>
      <c r="J16" s="7">
        <v>3</v>
      </c>
      <c r="K16" s="7">
        <v>4</v>
      </c>
      <c r="L16" s="7">
        <v>3</v>
      </c>
      <c r="M16" s="6">
        <f t="shared" si="0"/>
        <v>3.4</v>
      </c>
      <c r="N16" s="72">
        <f t="shared" si="1"/>
        <v>0.4898979485566356</v>
      </c>
      <c r="O16" s="72">
        <f t="shared" ref="O16:S16" si="40">IF($N16=0, 0, (H16-$M16)/$N16)</f>
        <v>1.2247448713915894</v>
      </c>
      <c r="P16" s="72">
        <f t="shared" si="40"/>
        <v>-0.81649658092772592</v>
      </c>
      <c r="Q16" s="72">
        <f t="shared" si="40"/>
        <v>-0.81649658092772592</v>
      </c>
      <c r="R16" s="72">
        <f t="shared" si="40"/>
        <v>1.2247448713915894</v>
      </c>
      <c r="S16" s="72">
        <f t="shared" si="40"/>
        <v>-0.81649658092772592</v>
      </c>
      <c r="U16" s="80">
        <v>4</v>
      </c>
      <c r="V16" s="80">
        <v>1</v>
      </c>
      <c r="W16" s="80">
        <v>4</v>
      </c>
      <c r="X16" s="80">
        <v>3</v>
      </c>
      <c r="Y16" s="80">
        <v>1</v>
      </c>
      <c r="AA16" s="62">
        <f t="shared" si="25"/>
        <v>4</v>
      </c>
      <c r="AB16" s="62">
        <f t="shared" si="26"/>
        <v>4</v>
      </c>
      <c r="AC16" s="6">
        <f t="shared" si="27"/>
        <v>1</v>
      </c>
      <c r="AF16" s="26">
        <v>4</v>
      </c>
      <c r="AG16" s="26">
        <v>2</v>
      </c>
      <c r="AH16" s="26"/>
      <c r="AI16" s="26">
        <v>1</v>
      </c>
      <c r="AJ16" s="26">
        <v>4</v>
      </c>
      <c r="AK16" s="26">
        <v>1</v>
      </c>
      <c r="AM16" s="6">
        <f t="shared" si="28"/>
        <v>4</v>
      </c>
      <c r="AN16" s="6">
        <f t="shared" si="29"/>
        <v>4</v>
      </c>
      <c r="AP16" s="6">
        <f t="shared" si="30"/>
        <v>12</v>
      </c>
      <c r="AQ16" s="66">
        <f t="shared" si="31"/>
        <v>0.26388888888888884</v>
      </c>
      <c r="AR16" s="66">
        <f t="shared" si="32"/>
        <v>0.17611111111111116</v>
      </c>
      <c r="AT16" s="95">
        <v>3</v>
      </c>
      <c r="AU16" s="95">
        <v>2</v>
      </c>
      <c r="AV16" s="95">
        <v>1</v>
      </c>
      <c r="AW16" s="95">
        <v>4</v>
      </c>
      <c r="AX16" s="95">
        <v>1</v>
      </c>
      <c r="AZ16" s="6">
        <f t="shared" si="33"/>
        <v>4</v>
      </c>
      <c r="BA16" s="6">
        <f t="shared" si="34"/>
        <v>3</v>
      </c>
      <c r="BB16" s="6">
        <f t="shared" si="35"/>
        <v>2</v>
      </c>
      <c r="BC16" s="6">
        <f t="shared" si="36"/>
        <v>11</v>
      </c>
      <c r="BD16" s="66">
        <f t="shared" si="37"/>
        <v>0.25619834710743805</v>
      </c>
    </row>
    <row r="17" spans="1:56" x14ac:dyDescent="0.2">
      <c r="A17" s="89"/>
      <c r="B17" s="89"/>
      <c r="C17" s="89"/>
      <c r="D17" s="89"/>
      <c r="E17" s="89"/>
      <c r="F17" s="301"/>
      <c r="G17" s="25" t="s">
        <v>27</v>
      </c>
      <c r="H17" s="7">
        <v>4</v>
      </c>
      <c r="I17" s="7">
        <v>3</v>
      </c>
      <c r="J17" s="7">
        <v>3</v>
      </c>
      <c r="K17" s="7">
        <v>4</v>
      </c>
      <c r="L17" s="7">
        <v>4</v>
      </c>
      <c r="M17" s="6">
        <f t="shared" si="0"/>
        <v>3.6</v>
      </c>
      <c r="N17" s="72">
        <f t="shared" si="1"/>
        <v>0.4898979485566356</v>
      </c>
      <c r="O17" s="72">
        <f t="shared" ref="O17:S17" si="41">IF($N17=0, 0, (H17-$M17)/$N17)</f>
        <v>0.81649658092772592</v>
      </c>
      <c r="P17" s="72">
        <f t="shared" si="41"/>
        <v>-1.2247448713915894</v>
      </c>
      <c r="Q17" s="72">
        <f t="shared" si="41"/>
        <v>-1.2247448713915894</v>
      </c>
      <c r="R17" s="72">
        <f t="shared" si="41"/>
        <v>0.81649658092772592</v>
      </c>
      <c r="S17" s="72">
        <f t="shared" si="41"/>
        <v>0.81649658092772592</v>
      </c>
      <c r="U17" s="80">
        <v>4</v>
      </c>
      <c r="V17" s="80">
        <v>1</v>
      </c>
      <c r="W17" s="80">
        <v>3</v>
      </c>
      <c r="X17" s="80">
        <v>1</v>
      </c>
      <c r="Y17" s="80">
        <v>1</v>
      </c>
      <c r="AA17" s="62">
        <f t="shared" si="25"/>
        <v>4</v>
      </c>
      <c r="AB17" s="62">
        <f t="shared" si="26"/>
        <v>3</v>
      </c>
      <c r="AC17" s="6">
        <f t="shared" si="27"/>
        <v>1</v>
      </c>
      <c r="AF17" s="26">
        <v>4</v>
      </c>
      <c r="AG17" s="26">
        <v>3</v>
      </c>
      <c r="AH17" s="26"/>
      <c r="AI17" s="26">
        <v>1</v>
      </c>
      <c r="AJ17" s="26">
        <v>4</v>
      </c>
      <c r="AK17" s="26">
        <v>1</v>
      </c>
      <c r="AM17" s="6">
        <f t="shared" si="28"/>
        <v>4</v>
      </c>
      <c r="AN17" s="6">
        <f t="shared" si="29"/>
        <v>4</v>
      </c>
      <c r="AP17" s="6">
        <f t="shared" si="30"/>
        <v>13</v>
      </c>
      <c r="AQ17" s="66">
        <f t="shared" si="31"/>
        <v>0.25443786982248523</v>
      </c>
      <c r="AR17" s="66">
        <f t="shared" si="32"/>
        <v>5.806213017751477E-2</v>
      </c>
      <c r="AT17" s="95">
        <v>2</v>
      </c>
      <c r="AU17" s="95">
        <v>2</v>
      </c>
      <c r="AV17" s="95">
        <v>1</v>
      </c>
      <c r="AW17" s="95">
        <v>4</v>
      </c>
      <c r="AX17" s="95">
        <v>2</v>
      </c>
      <c r="AZ17" s="6">
        <f t="shared" si="33"/>
        <v>4</v>
      </c>
      <c r="BA17" s="6">
        <f t="shared" si="34"/>
        <v>2</v>
      </c>
      <c r="BB17" s="6">
        <f t="shared" si="35"/>
        <v>2</v>
      </c>
      <c r="BC17" s="6">
        <f t="shared" si="36"/>
        <v>11</v>
      </c>
      <c r="BD17" s="66">
        <f t="shared" si="37"/>
        <v>0.23966942148760331</v>
      </c>
    </row>
    <row r="18" spans="1:56" x14ac:dyDescent="0.2">
      <c r="A18" s="89"/>
      <c r="B18" s="89"/>
      <c r="C18" s="89"/>
      <c r="D18" s="89"/>
      <c r="E18" s="89"/>
      <c r="F18" s="5"/>
      <c r="G18" s="81" t="s">
        <v>121</v>
      </c>
      <c r="H18" s="7">
        <v>3</v>
      </c>
      <c r="I18" s="7">
        <v>2</v>
      </c>
      <c r="J18" s="7">
        <v>2</v>
      </c>
      <c r="K18" s="7">
        <v>4</v>
      </c>
      <c r="L18" s="7">
        <v>4</v>
      </c>
      <c r="M18" s="6">
        <f t="shared" si="0"/>
        <v>3</v>
      </c>
      <c r="N18" s="72">
        <f t="shared" si="1"/>
        <v>0.89442719099991586</v>
      </c>
      <c r="O18" s="72">
        <f t="shared" ref="O18:S18" si="42">IF($N18=0, 0, (H18-$M18)/$N18)</f>
        <v>0</v>
      </c>
      <c r="P18" s="72">
        <f t="shared" si="42"/>
        <v>-1.1180339887498949</v>
      </c>
      <c r="Q18" s="72">
        <f t="shared" si="42"/>
        <v>-1.1180339887498949</v>
      </c>
      <c r="R18" s="72">
        <f t="shared" si="42"/>
        <v>1.1180339887498949</v>
      </c>
      <c r="S18" s="72">
        <f t="shared" si="42"/>
        <v>1.1180339887498949</v>
      </c>
      <c r="U18" s="80"/>
      <c r="V18" s="80"/>
      <c r="W18" s="80"/>
      <c r="X18" s="80"/>
      <c r="Y18" s="80"/>
      <c r="AA18" s="62"/>
      <c r="AB18" s="62"/>
      <c r="AF18" s="29"/>
      <c r="AG18" s="29"/>
      <c r="AH18" s="29"/>
      <c r="AI18" s="29"/>
      <c r="AJ18" s="29"/>
      <c r="AK18" s="29"/>
      <c r="AQ18" s="66"/>
      <c r="AT18" s="95"/>
      <c r="AU18" s="95"/>
      <c r="AV18" s="95"/>
      <c r="AW18" s="95"/>
      <c r="AX18" s="95"/>
      <c r="BD18" s="66"/>
    </row>
    <row r="19" spans="1:56" x14ac:dyDescent="0.2">
      <c r="A19" s="89"/>
      <c r="B19" s="89"/>
      <c r="C19" s="89"/>
      <c r="D19" s="89"/>
      <c r="E19" s="89"/>
      <c r="F19" s="5"/>
      <c r="G19" s="81" t="s">
        <v>122</v>
      </c>
      <c r="H19" s="7">
        <v>3</v>
      </c>
      <c r="I19" s="7">
        <v>2</v>
      </c>
      <c r="J19" s="7">
        <v>1</v>
      </c>
      <c r="K19" s="7">
        <v>4</v>
      </c>
      <c r="L19" s="7">
        <v>4</v>
      </c>
      <c r="M19" s="6">
        <f t="shared" si="0"/>
        <v>2.8</v>
      </c>
      <c r="N19" s="72">
        <f t="shared" si="1"/>
        <v>1.1661903789690602</v>
      </c>
      <c r="O19" s="72">
        <f t="shared" ref="O19:S19" si="43">IF($N19=0, 0, (H19-$M19)/$N19)</f>
        <v>0.17149858514250899</v>
      </c>
      <c r="P19" s="72">
        <f t="shared" si="43"/>
        <v>-0.68599434057003517</v>
      </c>
      <c r="Q19" s="72">
        <f t="shared" si="43"/>
        <v>-1.5434872662825792</v>
      </c>
      <c r="R19" s="72">
        <f t="shared" si="43"/>
        <v>1.0289915108550531</v>
      </c>
      <c r="S19" s="72">
        <f t="shared" si="43"/>
        <v>1.0289915108550531</v>
      </c>
      <c r="U19" s="80"/>
      <c r="V19" s="80"/>
      <c r="W19" s="80"/>
      <c r="X19" s="80"/>
      <c r="Y19" s="80"/>
      <c r="AA19" s="62"/>
      <c r="AB19" s="62"/>
      <c r="AF19" s="29"/>
      <c r="AG19" s="29"/>
      <c r="AH19" s="29"/>
      <c r="AI19" s="29"/>
      <c r="AJ19" s="29"/>
      <c r="AK19" s="29"/>
      <c r="AQ19" s="66"/>
      <c r="AT19" s="95"/>
      <c r="AU19" s="95"/>
      <c r="AV19" s="95"/>
      <c r="AW19" s="95"/>
      <c r="AX19" s="95"/>
      <c r="BD19" s="66"/>
    </row>
    <row r="20" spans="1:56" x14ac:dyDescent="0.2">
      <c r="A20" s="89"/>
      <c r="B20" s="89"/>
      <c r="C20" s="89"/>
      <c r="D20" s="89"/>
      <c r="E20" s="89"/>
      <c r="F20" s="300" t="s">
        <v>29</v>
      </c>
      <c r="G20" s="28" t="s">
        <v>30</v>
      </c>
      <c r="H20" s="7">
        <v>4</v>
      </c>
      <c r="I20" s="7">
        <v>4</v>
      </c>
      <c r="J20" s="7">
        <v>4</v>
      </c>
      <c r="K20" s="7">
        <v>3</v>
      </c>
      <c r="L20" s="7">
        <v>4</v>
      </c>
      <c r="M20" s="6">
        <f t="shared" si="0"/>
        <v>3.8</v>
      </c>
      <c r="N20" s="72">
        <f t="shared" si="1"/>
        <v>0.4</v>
      </c>
      <c r="O20" s="72">
        <f t="shared" ref="O20:S20" si="44">IF($N20=0, 0, (H20-$M20)/$N20)</f>
        <v>0.50000000000000044</v>
      </c>
      <c r="P20" s="72">
        <f t="shared" si="44"/>
        <v>0.50000000000000044</v>
      </c>
      <c r="Q20" s="72">
        <f t="shared" si="44"/>
        <v>0.50000000000000044</v>
      </c>
      <c r="R20" s="72">
        <f t="shared" si="44"/>
        <v>-1.9999999999999996</v>
      </c>
      <c r="S20" s="72">
        <f t="shared" si="44"/>
        <v>0.50000000000000044</v>
      </c>
      <c r="U20" s="80">
        <v>4</v>
      </c>
      <c r="V20" s="80">
        <v>2</v>
      </c>
      <c r="W20" s="80">
        <v>3</v>
      </c>
      <c r="X20" s="80">
        <v>0</v>
      </c>
      <c r="Y20" s="80">
        <v>1</v>
      </c>
      <c r="AA20" s="62">
        <f t="shared" ref="AA20:AA24" si="45">MAX(U20:Y20)</f>
        <v>4</v>
      </c>
      <c r="AB20" s="62">
        <f t="shared" ref="AB20:AB24" si="46">LARGE(U20:Y20, 2)</f>
        <v>3</v>
      </c>
      <c r="AC20" s="6">
        <f t="shared" ref="AC20:AC24" si="47">LARGE(V20:Z20, 3)</f>
        <v>1</v>
      </c>
      <c r="AF20" s="29">
        <v>2</v>
      </c>
      <c r="AG20" s="29">
        <v>1</v>
      </c>
      <c r="AH20" s="29"/>
      <c r="AI20" s="29">
        <v>4</v>
      </c>
      <c r="AJ20" s="29">
        <v>1</v>
      </c>
      <c r="AK20" s="29">
        <v>1</v>
      </c>
      <c r="AM20" s="6">
        <f t="shared" ref="AM20:AM24" si="48">MAX(AF20:AK20)</f>
        <v>4</v>
      </c>
      <c r="AN20" s="6">
        <f t="shared" ref="AN20:AN24" si="49">LARGE(AF20:AK20, 2)</f>
        <v>2</v>
      </c>
      <c r="AP20" s="6">
        <f t="shared" ref="AP20:AP24" si="50">SUM(AF20:AK20)</f>
        <v>9</v>
      </c>
      <c r="AQ20" s="66">
        <f t="shared" ref="AQ20:AQ24" si="51">IF(AP20=0,0, (AF20/AP20)^2 + (AG20/AP20)^2 + (AI20/AP20)^2 + (AJ20/AP20)^2 + (AK20/AP20)^2)</f>
        <v>0.2839506172839506</v>
      </c>
      <c r="AR20" s="66">
        <f t="shared" ref="AR20:AR24" si="52">AC65-AQ20</f>
        <v>4.9382716049382713E-2</v>
      </c>
      <c r="AT20" s="95">
        <v>4</v>
      </c>
      <c r="AU20" s="95">
        <v>3</v>
      </c>
      <c r="AV20" s="95">
        <v>1</v>
      </c>
      <c r="AW20" s="95">
        <v>4</v>
      </c>
      <c r="AX20" s="95">
        <v>3</v>
      </c>
      <c r="AZ20" s="6">
        <f t="shared" ref="AZ20:AZ24" si="53">MAX(AT20:AX20)</f>
        <v>4</v>
      </c>
      <c r="BA20" s="6">
        <f t="shared" ref="BA20:BA24" si="54">LARGE(AT20:AX20, 2)</f>
        <v>4</v>
      </c>
      <c r="BB20" s="6">
        <f t="shared" ref="BB20:BB24" si="55">LARGE(AT20:AX20, 3)</f>
        <v>3</v>
      </c>
      <c r="BC20" s="6">
        <f t="shared" ref="BC20:BC24" si="56">SUM(AT20:AX20)</f>
        <v>15</v>
      </c>
      <c r="BD20" s="66">
        <f t="shared" ref="BD20:BD24" si="57">IF(BC20=0,0, (AT20/BC20)^2 + (AU20/BC20)^2 + (AV20/BC20)^2 + (AW20/BC20)^2 + (AX20/BC20)^2)</f>
        <v>0.22666666666666668</v>
      </c>
    </row>
    <row r="21" spans="1:56" x14ac:dyDescent="0.2">
      <c r="A21" s="89"/>
      <c r="B21" s="89"/>
      <c r="C21" s="89"/>
      <c r="D21" s="89"/>
      <c r="E21" s="89"/>
      <c r="F21" s="301"/>
      <c r="G21" s="28" t="s">
        <v>32</v>
      </c>
      <c r="H21" s="7">
        <v>4</v>
      </c>
      <c r="I21" s="7">
        <v>4</v>
      </c>
      <c r="J21" s="7">
        <v>2</v>
      </c>
      <c r="K21" s="7">
        <v>2</v>
      </c>
      <c r="L21" s="7">
        <v>4</v>
      </c>
      <c r="M21" s="6">
        <f t="shared" si="0"/>
        <v>3.2</v>
      </c>
      <c r="N21" s="72">
        <f t="shared" si="1"/>
        <v>0.9797958971132712</v>
      </c>
      <c r="O21" s="72">
        <f t="shared" ref="O21:S21" si="58">IF($N21=0, 0, (H21-$M21)/$N21)</f>
        <v>0.81649658092772592</v>
      </c>
      <c r="P21" s="72">
        <f t="shared" si="58"/>
        <v>0.81649658092772592</v>
      </c>
      <c r="Q21" s="72">
        <f t="shared" si="58"/>
        <v>-1.2247448713915894</v>
      </c>
      <c r="R21" s="72">
        <f t="shared" si="58"/>
        <v>-1.2247448713915894</v>
      </c>
      <c r="S21" s="72">
        <f t="shared" si="58"/>
        <v>0.81649658092772592</v>
      </c>
      <c r="U21" s="80">
        <v>4</v>
      </c>
      <c r="V21" s="80">
        <v>1</v>
      </c>
      <c r="W21" s="80">
        <v>3</v>
      </c>
      <c r="X21" s="80">
        <v>0</v>
      </c>
      <c r="Y21" s="80">
        <v>1</v>
      </c>
      <c r="AA21" s="62">
        <f t="shared" si="45"/>
        <v>4</v>
      </c>
      <c r="AB21" s="62">
        <f t="shared" si="46"/>
        <v>3</v>
      </c>
      <c r="AC21" s="6">
        <f t="shared" si="47"/>
        <v>1</v>
      </c>
      <c r="AF21" s="29">
        <v>2</v>
      </c>
      <c r="AG21" s="29">
        <v>1</v>
      </c>
      <c r="AH21" s="29"/>
      <c r="AI21" s="29">
        <v>4</v>
      </c>
      <c r="AJ21" s="29">
        <v>0</v>
      </c>
      <c r="AK21" s="29">
        <v>1</v>
      </c>
      <c r="AM21" s="6">
        <f t="shared" si="48"/>
        <v>4</v>
      </c>
      <c r="AN21" s="6">
        <f t="shared" si="49"/>
        <v>2</v>
      </c>
      <c r="AP21" s="6">
        <f t="shared" si="50"/>
        <v>8</v>
      </c>
      <c r="AQ21" s="66">
        <f t="shared" si="51"/>
        <v>0.34375</v>
      </c>
      <c r="AR21" s="66">
        <f t="shared" si="52"/>
        <v>0.17625000000000002</v>
      </c>
      <c r="AT21" s="95">
        <v>4</v>
      </c>
      <c r="AU21" s="95">
        <v>1</v>
      </c>
      <c r="AV21" s="95">
        <v>1</v>
      </c>
      <c r="AW21" s="95">
        <v>0</v>
      </c>
      <c r="AX21" s="95">
        <v>1</v>
      </c>
      <c r="AZ21" s="6">
        <f t="shared" si="53"/>
        <v>4</v>
      </c>
      <c r="BA21" s="6">
        <f t="shared" si="54"/>
        <v>1</v>
      </c>
      <c r="BB21" s="6">
        <f t="shared" si="55"/>
        <v>1</v>
      </c>
      <c r="BC21" s="6">
        <f t="shared" si="56"/>
        <v>7</v>
      </c>
      <c r="BD21" s="66">
        <f t="shared" si="57"/>
        <v>0.38775510204081637</v>
      </c>
    </row>
    <row r="22" spans="1:56" x14ac:dyDescent="0.2">
      <c r="A22" s="89"/>
      <c r="B22" s="89"/>
      <c r="C22" s="89"/>
      <c r="D22" s="89"/>
      <c r="E22" s="89"/>
      <c r="F22" s="301"/>
      <c r="G22" s="28" t="s">
        <v>34</v>
      </c>
      <c r="H22" s="7">
        <v>3</v>
      </c>
      <c r="I22" s="7">
        <v>2</v>
      </c>
      <c r="J22" s="7">
        <v>4</v>
      </c>
      <c r="K22" s="7">
        <v>3</v>
      </c>
      <c r="L22" s="7">
        <v>4</v>
      </c>
      <c r="M22" s="6">
        <f t="shared" si="0"/>
        <v>3.2</v>
      </c>
      <c r="N22" s="72">
        <f t="shared" si="1"/>
        <v>0.74833147735478833</v>
      </c>
      <c r="O22" s="72">
        <f t="shared" ref="O22:S22" si="59">IF($N22=0, 0, (H22-$M22)/$N22)</f>
        <v>-0.26726124191242462</v>
      </c>
      <c r="P22" s="72">
        <f t="shared" si="59"/>
        <v>-1.6035674514745464</v>
      </c>
      <c r="Q22" s="72">
        <f t="shared" si="59"/>
        <v>1.0690449676496971</v>
      </c>
      <c r="R22" s="72">
        <f t="shared" si="59"/>
        <v>-0.26726124191242462</v>
      </c>
      <c r="S22" s="72">
        <f t="shared" si="59"/>
        <v>1.0690449676496971</v>
      </c>
      <c r="U22" s="80">
        <v>2</v>
      </c>
      <c r="V22" s="80">
        <v>1</v>
      </c>
      <c r="W22" s="80">
        <v>3</v>
      </c>
      <c r="X22" s="80">
        <v>0</v>
      </c>
      <c r="Y22" s="80">
        <v>2</v>
      </c>
      <c r="AA22" s="6">
        <f t="shared" si="45"/>
        <v>3</v>
      </c>
      <c r="AB22" s="6">
        <f t="shared" si="46"/>
        <v>2</v>
      </c>
      <c r="AC22" s="6">
        <f t="shared" si="47"/>
        <v>1</v>
      </c>
      <c r="AF22" s="29">
        <v>1</v>
      </c>
      <c r="AG22" s="29">
        <v>1</v>
      </c>
      <c r="AH22" s="29"/>
      <c r="AI22" s="29">
        <v>4</v>
      </c>
      <c r="AJ22" s="29">
        <v>0</v>
      </c>
      <c r="AK22" s="29">
        <v>1</v>
      </c>
      <c r="AM22" s="6">
        <f t="shared" si="48"/>
        <v>4</v>
      </c>
      <c r="AN22" s="6">
        <f t="shared" si="49"/>
        <v>1</v>
      </c>
      <c r="AP22" s="6">
        <f t="shared" si="50"/>
        <v>7</v>
      </c>
      <c r="AQ22" s="66">
        <f t="shared" si="51"/>
        <v>0.38775510204081631</v>
      </c>
      <c r="AR22" s="66">
        <f t="shared" si="52"/>
        <v>-0.15318720080624842</v>
      </c>
      <c r="AT22" s="95">
        <v>3</v>
      </c>
      <c r="AU22" s="95">
        <v>1</v>
      </c>
      <c r="AV22" s="95">
        <v>1</v>
      </c>
      <c r="AW22" s="95">
        <v>2</v>
      </c>
      <c r="AX22" s="95">
        <v>1</v>
      </c>
      <c r="AZ22" s="6">
        <f t="shared" si="53"/>
        <v>3</v>
      </c>
      <c r="BA22" s="6">
        <f t="shared" si="54"/>
        <v>2</v>
      </c>
      <c r="BB22" s="6">
        <f t="shared" si="55"/>
        <v>1</v>
      </c>
      <c r="BC22" s="6">
        <f t="shared" si="56"/>
        <v>8</v>
      </c>
      <c r="BD22" s="66">
        <f t="shared" si="57"/>
        <v>0.25</v>
      </c>
    </row>
    <row r="23" spans="1:56" x14ac:dyDescent="0.2">
      <c r="A23" s="89"/>
      <c r="B23" s="89"/>
      <c r="C23" s="89"/>
      <c r="D23" s="89"/>
      <c r="E23" s="89"/>
      <c r="F23" s="301"/>
      <c r="G23" s="28" t="s">
        <v>36</v>
      </c>
      <c r="H23" s="7">
        <v>4</v>
      </c>
      <c r="I23" s="7">
        <v>4</v>
      </c>
      <c r="J23" s="7">
        <v>4</v>
      </c>
      <c r="K23" s="7">
        <v>3</v>
      </c>
      <c r="L23" s="7">
        <v>4</v>
      </c>
      <c r="M23" s="6">
        <f t="shared" si="0"/>
        <v>3.8</v>
      </c>
      <c r="N23" s="72">
        <f t="shared" si="1"/>
        <v>0.4</v>
      </c>
      <c r="O23" s="72">
        <f t="shared" ref="O23:S23" si="60">IF($N23=0, 0, (H23-$M23)/$N23)</f>
        <v>0.50000000000000044</v>
      </c>
      <c r="P23" s="72">
        <f t="shared" si="60"/>
        <v>0.50000000000000044</v>
      </c>
      <c r="Q23" s="72">
        <f t="shared" si="60"/>
        <v>0.50000000000000044</v>
      </c>
      <c r="R23" s="72">
        <f t="shared" si="60"/>
        <v>-1.9999999999999996</v>
      </c>
      <c r="S23" s="72">
        <f t="shared" si="60"/>
        <v>0.50000000000000044</v>
      </c>
      <c r="U23" s="80">
        <v>4</v>
      </c>
      <c r="V23" s="80">
        <v>1</v>
      </c>
      <c r="W23" s="80">
        <v>4</v>
      </c>
      <c r="X23" s="80">
        <v>0</v>
      </c>
      <c r="Y23" s="80">
        <v>1</v>
      </c>
      <c r="AA23" s="62">
        <f t="shared" si="45"/>
        <v>4</v>
      </c>
      <c r="AB23" s="62">
        <f t="shared" si="46"/>
        <v>4</v>
      </c>
      <c r="AC23" s="6">
        <f t="shared" si="47"/>
        <v>1</v>
      </c>
      <c r="AF23" s="29">
        <v>1</v>
      </c>
      <c r="AG23" s="29">
        <v>2</v>
      </c>
      <c r="AH23" s="29"/>
      <c r="AI23" s="29">
        <v>4</v>
      </c>
      <c r="AJ23" s="29">
        <v>0</v>
      </c>
      <c r="AK23" s="29">
        <v>1</v>
      </c>
      <c r="AM23" s="6">
        <f t="shared" si="48"/>
        <v>4</v>
      </c>
      <c r="AN23" s="6">
        <f t="shared" si="49"/>
        <v>2</v>
      </c>
      <c r="AP23" s="6">
        <f t="shared" si="50"/>
        <v>8</v>
      </c>
      <c r="AQ23" s="66">
        <f t="shared" si="51"/>
        <v>0.34375</v>
      </c>
      <c r="AR23" s="66">
        <f t="shared" si="52"/>
        <v>-1.041666666666663E-2</v>
      </c>
      <c r="AT23" s="95">
        <v>4</v>
      </c>
      <c r="AU23" s="95">
        <v>4</v>
      </c>
      <c r="AV23" s="95">
        <v>2</v>
      </c>
      <c r="AW23" s="95">
        <v>0</v>
      </c>
      <c r="AX23" s="95">
        <v>2</v>
      </c>
      <c r="AZ23" s="6">
        <f t="shared" si="53"/>
        <v>4</v>
      </c>
      <c r="BA23" s="6">
        <f t="shared" si="54"/>
        <v>4</v>
      </c>
      <c r="BB23" s="6">
        <f t="shared" si="55"/>
        <v>2</v>
      </c>
      <c r="BC23" s="6">
        <f t="shared" si="56"/>
        <v>12</v>
      </c>
      <c r="BD23" s="66">
        <f t="shared" si="57"/>
        <v>0.27777777777777779</v>
      </c>
    </row>
    <row r="24" spans="1:56" x14ac:dyDescent="0.2">
      <c r="A24" s="89"/>
      <c r="B24" s="89"/>
      <c r="C24" s="89"/>
      <c r="D24" s="89"/>
      <c r="E24" s="89"/>
      <c r="F24" s="301"/>
      <c r="G24" s="28" t="s">
        <v>38</v>
      </c>
      <c r="H24" s="7">
        <v>4</v>
      </c>
      <c r="I24" s="7">
        <v>3</v>
      </c>
      <c r="J24" s="7">
        <v>3</v>
      </c>
      <c r="K24" s="7">
        <v>4</v>
      </c>
      <c r="L24" s="7">
        <v>4</v>
      </c>
      <c r="M24" s="6">
        <f t="shared" si="0"/>
        <v>3.6</v>
      </c>
      <c r="N24" s="72">
        <f t="shared" si="1"/>
        <v>0.4898979485566356</v>
      </c>
      <c r="O24" s="72">
        <f t="shared" ref="O24:S24" si="61">IF($N24=0, 0, (H24-$M24)/$N24)</f>
        <v>0.81649658092772592</v>
      </c>
      <c r="P24" s="72">
        <f t="shared" si="61"/>
        <v>-1.2247448713915894</v>
      </c>
      <c r="Q24" s="72">
        <f t="shared" si="61"/>
        <v>-1.2247448713915894</v>
      </c>
      <c r="R24" s="72">
        <f t="shared" si="61"/>
        <v>0.81649658092772592</v>
      </c>
      <c r="S24" s="72">
        <f t="shared" si="61"/>
        <v>0.81649658092772592</v>
      </c>
      <c r="U24" s="80">
        <v>4</v>
      </c>
      <c r="V24" s="80">
        <v>1</v>
      </c>
      <c r="W24" s="80">
        <v>3</v>
      </c>
      <c r="X24" s="80">
        <v>1</v>
      </c>
      <c r="Y24" s="80">
        <v>1</v>
      </c>
      <c r="AA24" s="62">
        <f t="shared" si="45"/>
        <v>4</v>
      </c>
      <c r="AB24" s="62">
        <f t="shared" si="46"/>
        <v>3</v>
      </c>
      <c r="AC24" s="6">
        <f t="shared" si="47"/>
        <v>1</v>
      </c>
      <c r="AF24" s="29">
        <v>2</v>
      </c>
      <c r="AG24" s="29">
        <v>1</v>
      </c>
      <c r="AH24" s="29"/>
      <c r="AI24" s="29">
        <v>4</v>
      </c>
      <c r="AJ24" s="29">
        <v>1</v>
      </c>
      <c r="AK24" s="29">
        <v>2</v>
      </c>
      <c r="AM24" s="6">
        <f t="shared" si="48"/>
        <v>4</v>
      </c>
      <c r="AN24" s="6">
        <f t="shared" si="49"/>
        <v>2</v>
      </c>
      <c r="AP24" s="6">
        <f t="shared" si="50"/>
        <v>10</v>
      </c>
      <c r="AQ24" s="66">
        <f t="shared" si="51"/>
        <v>0.26000000000000006</v>
      </c>
      <c r="AR24" s="66">
        <f t="shared" si="52"/>
        <v>2.3950617283950537E-2</v>
      </c>
      <c r="AT24" s="95">
        <v>4</v>
      </c>
      <c r="AU24" s="95">
        <v>4</v>
      </c>
      <c r="AV24" s="95">
        <v>1</v>
      </c>
      <c r="AW24" s="95">
        <v>4</v>
      </c>
      <c r="AX24" s="95">
        <v>3</v>
      </c>
      <c r="AZ24" s="6">
        <f t="shared" si="53"/>
        <v>4</v>
      </c>
      <c r="BA24" s="6">
        <f t="shared" si="54"/>
        <v>4</v>
      </c>
      <c r="BB24" s="6">
        <f t="shared" si="55"/>
        <v>4</v>
      </c>
      <c r="BC24" s="6">
        <f t="shared" si="56"/>
        <v>16</v>
      </c>
      <c r="BD24" s="66">
        <f t="shared" si="57"/>
        <v>0.2265625</v>
      </c>
    </row>
    <row r="25" spans="1:56" x14ac:dyDescent="0.2">
      <c r="A25" s="89"/>
      <c r="B25" s="89"/>
      <c r="C25" s="89"/>
      <c r="D25" s="89"/>
      <c r="E25" s="89"/>
      <c r="F25" s="5"/>
      <c r="G25" s="58" t="s">
        <v>123</v>
      </c>
      <c r="H25" s="7">
        <v>3</v>
      </c>
      <c r="I25" s="7">
        <v>4</v>
      </c>
      <c r="J25" s="7">
        <v>3</v>
      </c>
      <c r="K25" s="7">
        <v>4</v>
      </c>
      <c r="L25" s="7">
        <v>4</v>
      </c>
      <c r="M25" s="6">
        <f t="shared" si="0"/>
        <v>3.6</v>
      </c>
      <c r="N25" s="72">
        <f t="shared" si="1"/>
        <v>0.4898979485566356</v>
      </c>
      <c r="O25" s="72">
        <f t="shared" ref="O25:S25" si="62">IF($N25=0, 0, (H25-$M25)/$N25)</f>
        <v>-1.2247448713915894</v>
      </c>
      <c r="P25" s="72">
        <f t="shared" si="62"/>
        <v>0.81649658092772592</v>
      </c>
      <c r="Q25" s="72">
        <f t="shared" si="62"/>
        <v>-1.2247448713915894</v>
      </c>
      <c r="R25" s="72">
        <f t="shared" si="62"/>
        <v>0.81649658092772592</v>
      </c>
      <c r="S25" s="72">
        <f t="shared" si="62"/>
        <v>0.81649658092772592</v>
      </c>
      <c r="U25" s="80"/>
      <c r="V25" s="80"/>
      <c r="W25" s="80"/>
      <c r="X25" s="80"/>
      <c r="Y25" s="80"/>
      <c r="AA25" s="62"/>
      <c r="AB25" s="62"/>
      <c r="AF25" s="32"/>
      <c r="AG25" s="32"/>
      <c r="AH25" s="32"/>
      <c r="AI25" s="32"/>
      <c r="AJ25" s="32"/>
      <c r="AK25" s="32"/>
      <c r="AQ25" s="66"/>
      <c r="AT25" s="95"/>
      <c r="AU25" s="95"/>
      <c r="AV25" s="95"/>
      <c r="AW25" s="95"/>
      <c r="AX25" s="95"/>
      <c r="BD25" s="66"/>
    </row>
    <row r="26" spans="1:56" x14ac:dyDescent="0.2">
      <c r="A26" s="89"/>
      <c r="B26" s="89"/>
      <c r="C26" s="89"/>
      <c r="D26" s="89"/>
      <c r="E26" s="89"/>
      <c r="F26" s="5"/>
      <c r="G26" s="58" t="s">
        <v>124</v>
      </c>
      <c r="H26" s="7">
        <v>3</v>
      </c>
      <c r="I26" s="7">
        <v>3</v>
      </c>
      <c r="J26" s="7">
        <v>2</v>
      </c>
      <c r="K26" s="7">
        <v>4</v>
      </c>
      <c r="L26" s="7">
        <v>4</v>
      </c>
      <c r="M26" s="6">
        <f t="shared" si="0"/>
        <v>3.2</v>
      </c>
      <c r="N26" s="72">
        <f t="shared" si="1"/>
        <v>0.74833147735478833</v>
      </c>
      <c r="O26" s="72">
        <f t="shared" ref="O26:S26" si="63">IF($N26=0, 0, (H26-$M26)/$N26)</f>
        <v>-0.26726124191242462</v>
      </c>
      <c r="P26" s="72">
        <f t="shared" si="63"/>
        <v>-0.26726124191242462</v>
      </c>
      <c r="Q26" s="72">
        <f t="shared" si="63"/>
        <v>-1.6035674514745464</v>
      </c>
      <c r="R26" s="72">
        <f t="shared" si="63"/>
        <v>1.0690449676496971</v>
      </c>
      <c r="S26" s="72">
        <f t="shared" si="63"/>
        <v>1.0690449676496971</v>
      </c>
      <c r="U26" s="80"/>
      <c r="V26" s="80"/>
      <c r="W26" s="80"/>
      <c r="X26" s="80"/>
      <c r="Y26" s="80"/>
      <c r="AA26" s="62"/>
      <c r="AB26" s="62"/>
      <c r="AF26" s="32"/>
      <c r="AG26" s="32"/>
      <c r="AH26" s="32"/>
      <c r="AI26" s="32"/>
      <c r="AJ26" s="32"/>
      <c r="AK26" s="32"/>
      <c r="AQ26" s="66"/>
      <c r="AT26" s="95"/>
      <c r="AU26" s="95"/>
      <c r="AV26" s="95"/>
      <c r="AW26" s="95"/>
      <c r="AX26" s="95"/>
      <c r="BD26" s="66"/>
    </row>
    <row r="27" spans="1:56" x14ac:dyDescent="0.2">
      <c r="A27" s="89"/>
      <c r="B27" s="89"/>
      <c r="C27" s="89"/>
      <c r="D27" s="89"/>
      <c r="E27" s="89"/>
      <c r="F27" s="300" t="s">
        <v>40</v>
      </c>
      <c r="G27" s="31" t="s">
        <v>41</v>
      </c>
      <c r="H27" s="7">
        <v>3</v>
      </c>
      <c r="I27" s="7">
        <v>3</v>
      </c>
      <c r="J27" s="7">
        <v>2</v>
      </c>
      <c r="K27" s="7">
        <v>3</v>
      </c>
      <c r="L27" s="7">
        <v>4</v>
      </c>
      <c r="M27" s="6">
        <f t="shared" si="0"/>
        <v>3</v>
      </c>
      <c r="N27" s="72">
        <f t="shared" si="1"/>
        <v>0.63245553203367588</v>
      </c>
      <c r="O27" s="72">
        <f t="shared" ref="O27:S27" si="64">IF($N27=0, 0, (H27-$M27)/$N27)</f>
        <v>0</v>
      </c>
      <c r="P27" s="72">
        <f t="shared" si="64"/>
        <v>0</v>
      </c>
      <c r="Q27" s="72">
        <f t="shared" si="64"/>
        <v>-1.5811388300841895</v>
      </c>
      <c r="R27" s="72">
        <f t="shared" si="64"/>
        <v>0</v>
      </c>
      <c r="S27" s="72">
        <f t="shared" si="64"/>
        <v>1.5811388300841895</v>
      </c>
      <c r="U27" s="80">
        <v>3</v>
      </c>
      <c r="V27" s="80">
        <v>2</v>
      </c>
      <c r="W27" s="80">
        <v>2</v>
      </c>
      <c r="X27" s="80">
        <v>1</v>
      </c>
      <c r="Y27" s="80">
        <v>4</v>
      </c>
      <c r="AA27" s="62">
        <f t="shared" ref="AA27:AA31" si="65">MAX(U27:Y27)</f>
        <v>4</v>
      </c>
      <c r="AB27" s="62">
        <f t="shared" ref="AB27:AB31" si="66">LARGE(U27:Y27, 2)</f>
        <v>3</v>
      </c>
      <c r="AC27" s="6">
        <f t="shared" ref="AC27:AC31" si="67">LARGE(V27:Z27, 3)</f>
        <v>2</v>
      </c>
      <c r="AF27" s="32">
        <v>0</v>
      </c>
      <c r="AG27" s="32">
        <v>4</v>
      </c>
      <c r="AH27" s="32"/>
      <c r="AI27" s="32">
        <v>1</v>
      </c>
      <c r="AJ27" s="32">
        <v>0</v>
      </c>
      <c r="AK27" s="32">
        <v>4</v>
      </c>
      <c r="AM27" s="6">
        <f t="shared" ref="AM27:AM31" si="68">MAX(AF27:AK27)</f>
        <v>4</v>
      </c>
      <c r="AN27" s="6">
        <f t="shared" ref="AN27:AN31" si="69">LARGE(AF27:AK27, 2)</f>
        <v>4</v>
      </c>
      <c r="AP27" s="6">
        <f t="shared" ref="AP27:AP31" si="70">SUM(AF27:AK27)</f>
        <v>9</v>
      </c>
      <c r="AQ27" s="66">
        <f t="shared" ref="AQ27:AQ31" si="71">IF(AP27=0,0, (AF27/AP27)^2 + (AG27/AP27)^2 + (AI27/AP27)^2 + (AJ27/AP27)^2 + (AK27/AP27)^2)</f>
        <v>0.40740740740740738</v>
      </c>
      <c r="AR27" s="66">
        <f t="shared" ref="AR27:AR31" si="72">AC72-AQ27</f>
        <v>9.2592592592592615E-2</v>
      </c>
      <c r="AT27" s="95">
        <v>1</v>
      </c>
      <c r="AU27" s="95">
        <v>2</v>
      </c>
      <c r="AV27" s="95">
        <v>1</v>
      </c>
      <c r="AW27" s="95">
        <v>4</v>
      </c>
      <c r="AX27" s="95">
        <v>2</v>
      </c>
      <c r="AZ27" s="6">
        <f t="shared" ref="AZ27:AZ31" si="73">MAX(AT27:AX27)</f>
        <v>4</v>
      </c>
      <c r="BA27" s="6">
        <f t="shared" ref="BA27:BA31" si="74">LARGE(AT27:AX27, 2)</f>
        <v>2</v>
      </c>
      <c r="BB27" s="6">
        <f t="shared" ref="BB27:BB31" si="75">LARGE(AT27:AX27, 3)</f>
        <v>2</v>
      </c>
      <c r="BC27" s="6">
        <f t="shared" ref="BC27:BC31" si="76">SUM(AT27:AX27)</f>
        <v>10</v>
      </c>
      <c r="BD27" s="66">
        <f t="shared" ref="BD27:BD31" si="77">IF(BC27=0,0, (AT27/BC27)^2 + (AU27/BC27)^2 + (AV27/BC27)^2 + (AW27/BC27)^2 + (AX27/BC27)^2)</f>
        <v>0.26</v>
      </c>
    </row>
    <row r="28" spans="1:56" x14ac:dyDescent="0.2">
      <c r="A28" s="89"/>
      <c r="B28" s="89"/>
      <c r="C28" s="89"/>
      <c r="D28" s="89"/>
      <c r="E28" s="89"/>
      <c r="F28" s="301"/>
      <c r="G28" s="31" t="s">
        <v>43</v>
      </c>
      <c r="H28" s="7">
        <v>3</v>
      </c>
      <c r="I28" s="7">
        <v>4</v>
      </c>
      <c r="J28" s="7">
        <v>4</v>
      </c>
      <c r="K28" s="7">
        <v>3</v>
      </c>
      <c r="L28" s="7">
        <v>4</v>
      </c>
      <c r="M28" s="6">
        <f t="shared" si="0"/>
        <v>3.6</v>
      </c>
      <c r="N28" s="72">
        <f t="shared" si="1"/>
        <v>0.4898979485566356</v>
      </c>
      <c r="O28" s="72">
        <f t="shared" ref="O28:S28" si="78">IF($N28=0, 0, (H28-$M28)/$N28)</f>
        <v>-1.2247448713915894</v>
      </c>
      <c r="P28" s="72">
        <f t="shared" si="78"/>
        <v>0.81649658092772592</v>
      </c>
      <c r="Q28" s="72">
        <f t="shared" si="78"/>
        <v>0.81649658092772592</v>
      </c>
      <c r="R28" s="72">
        <f t="shared" si="78"/>
        <v>-1.2247448713915894</v>
      </c>
      <c r="S28" s="72">
        <f t="shared" si="78"/>
        <v>0.81649658092772592</v>
      </c>
      <c r="U28" s="80">
        <v>4</v>
      </c>
      <c r="V28" s="80">
        <v>3</v>
      </c>
      <c r="W28" s="80">
        <v>4</v>
      </c>
      <c r="X28" s="80">
        <v>0</v>
      </c>
      <c r="Y28" s="80">
        <v>3</v>
      </c>
      <c r="AA28" s="62">
        <f t="shared" si="65"/>
        <v>4</v>
      </c>
      <c r="AB28" s="62">
        <f t="shared" si="66"/>
        <v>4</v>
      </c>
      <c r="AC28" s="6">
        <f t="shared" si="67"/>
        <v>3</v>
      </c>
      <c r="AF28" s="32">
        <v>1</v>
      </c>
      <c r="AG28" s="32">
        <v>4</v>
      </c>
      <c r="AH28" s="32"/>
      <c r="AI28" s="32">
        <v>1</v>
      </c>
      <c r="AJ28" s="32">
        <v>2</v>
      </c>
      <c r="AK28" s="32">
        <v>3</v>
      </c>
      <c r="AM28" s="6">
        <f t="shared" si="68"/>
        <v>4</v>
      </c>
      <c r="AN28" s="6">
        <f t="shared" si="69"/>
        <v>3</v>
      </c>
      <c r="AP28" s="6">
        <f t="shared" si="70"/>
        <v>11</v>
      </c>
      <c r="AQ28" s="66">
        <f t="shared" si="71"/>
        <v>0.256198347107438</v>
      </c>
      <c r="AR28" s="66">
        <f t="shared" si="72"/>
        <v>2.3801652892562031E-2</v>
      </c>
      <c r="AT28" s="95">
        <v>2</v>
      </c>
      <c r="AU28" s="95">
        <v>2</v>
      </c>
      <c r="AV28" s="95">
        <v>1</v>
      </c>
      <c r="AW28" s="95">
        <v>4</v>
      </c>
      <c r="AX28" s="95">
        <v>2</v>
      </c>
      <c r="AZ28" s="6">
        <f t="shared" si="73"/>
        <v>4</v>
      </c>
      <c r="BA28" s="6">
        <f t="shared" si="74"/>
        <v>2</v>
      </c>
      <c r="BB28" s="6">
        <f t="shared" si="75"/>
        <v>2</v>
      </c>
      <c r="BC28" s="6">
        <f t="shared" si="76"/>
        <v>11</v>
      </c>
      <c r="BD28" s="66">
        <f t="shared" si="77"/>
        <v>0.23966942148760331</v>
      </c>
    </row>
    <row r="29" spans="1:56" ht="15.75" customHeight="1" x14ac:dyDescent="0.2">
      <c r="A29" s="89"/>
      <c r="B29" s="89"/>
      <c r="C29" s="89"/>
      <c r="D29" s="89"/>
      <c r="E29" s="89"/>
      <c r="F29" s="301"/>
      <c r="G29" s="31" t="s">
        <v>45</v>
      </c>
      <c r="H29" s="7">
        <v>3</v>
      </c>
      <c r="I29" s="7">
        <v>3</v>
      </c>
      <c r="J29" s="7">
        <v>2</v>
      </c>
      <c r="K29" s="7">
        <v>3</v>
      </c>
      <c r="L29" s="7">
        <v>4</v>
      </c>
      <c r="M29" s="6">
        <f t="shared" si="0"/>
        <v>3</v>
      </c>
      <c r="N29" s="72">
        <f t="shared" si="1"/>
        <v>0.63245553203367588</v>
      </c>
      <c r="O29" s="72">
        <f t="shared" ref="O29:S29" si="79">IF($N29=0, 0, (H29-$M29)/$N29)</f>
        <v>0</v>
      </c>
      <c r="P29" s="72">
        <f t="shared" si="79"/>
        <v>0</v>
      </c>
      <c r="Q29" s="72">
        <f t="shared" si="79"/>
        <v>-1.5811388300841895</v>
      </c>
      <c r="R29" s="72">
        <f t="shared" si="79"/>
        <v>0</v>
      </c>
      <c r="S29" s="72">
        <f t="shared" si="79"/>
        <v>1.5811388300841895</v>
      </c>
      <c r="U29" s="80">
        <v>2</v>
      </c>
      <c r="V29" s="80">
        <v>2</v>
      </c>
      <c r="W29" s="80">
        <v>3</v>
      </c>
      <c r="X29" s="80">
        <v>0</v>
      </c>
      <c r="Y29" s="80">
        <v>2</v>
      </c>
      <c r="AA29" s="6">
        <f t="shared" si="65"/>
        <v>3</v>
      </c>
      <c r="AB29" s="6">
        <f t="shared" si="66"/>
        <v>2</v>
      </c>
      <c r="AC29" s="6">
        <f t="shared" si="67"/>
        <v>2</v>
      </c>
      <c r="AF29" s="32">
        <v>0</v>
      </c>
      <c r="AG29" s="32">
        <v>4</v>
      </c>
      <c r="AH29" s="32"/>
      <c r="AI29" s="32">
        <v>1</v>
      </c>
      <c r="AJ29" s="32">
        <v>0</v>
      </c>
      <c r="AK29" s="32">
        <v>2</v>
      </c>
      <c r="AM29" s="6">
        <f t="shared" si="68"/>
        <v>4</v>
      </c>
      <c r="AN29" s="6">
        <f t="shared" si="69"/>
        <v>2</v>
      </c>
      <c r="AP29" s="6">
        <f t="shared" si="70"/>
        <v>7</v>
      </c>
      <c r="AQ29" s="66">
        <f t="shared" si="71"/>
        <v>0.42857142857142855</v>
      </c>
      <c r="AR29" s="66">
        <f t="shared" si="72"/>
        <v>-9.5238095238095177E-2</v>
      </c>
      <c r="AT29" s="95">
        <v>3</v>
      </c>
      <c r="AU29" s="95">
        <v>3</v>
      </c>
      <c r="AV29" s="95">
        <v>1</v>
      </c>
      <c r="AW29" s="95">
        <v>4</v>
      </c>
      <c r="AX29" s="95">
        <v>3</v>
      </c>
      <c r="AZ29" s="6">
        <f t="shared" si="73"/>
        <v>4</v>
      </c>
      <c r="BA29" s="6">
        <f t="shared" si="74"/>
        <v>3</v>
      </c>
      <c r="BB29" s="6">
        <f t="shared" si="75"/>
        <v>3</v>
      </c>
      <c r="BC29" s="6">
        <f t="shared" si="76"/>
        <v>14</v>
      </c>
      <c r="BD29" s="66">
        <f t="shared" si="77"/>
        <v>0.22448979591836732</v>
      </c>
    </row>
    <row r="30" spans="1:56" ht="15.75" customHeight="1" x14ac:dyDescent="0.2">
      <c r="A30" s="89"/>
      <c r="B30" s="89"/>
      <c r="C30" s="89"/>
      <c r="D30" s="89"/>
      <c r="E30" s="89"/>
      <c r="F30" s="301"/>
      <c r="G30" s="31" t="s">
        <v>47</v>
      </c>
      <c r="H30" s="7">
        <v>3</v>
      </c>
      <c r="I30" s="7">
        <v>4</v>
      </c>
      <c r="J30" s="7">
        <v>3</v>
      </c>
      <c r="K30" s="7">
        <v>3</v>
      </c>
      <c r="L30" s="7">
        <v>4</v>
      </c>
      <c r="M30" s="6">
        <f t="shared" si="0"/>
        <v>3.4</v>
      </c>
      <c r="N30" s="72">
        <f t="shared" si="1"/>
        <v>0.4898979485566356</v>
      </c>
      <c r="O30" s="72">
        <f t="shared" ref="O30:S30" si="80">IF($N30=0, 0, (H30-$M30)/$N30)</f>
        <v>-0.81649658092772592</v>
      </c>
      <c r="P30" s="72">
        <f t="shared" si="80"/>
        <v>1.2247448713915894</v>
      </c>
      <c r="Q30" s="72">
        <f t="shared" si="80"/>
        <v>-0.81649658092772592</v>
      </c>
      <c r="R30" s="72">
        <f t="shared" si="80"/>
        <v>-0.81649658092772592</v>
      </c>
      <c r="S30" s="72">
        <f t="shared" si="80"/>
        <v>1.2247448713915894</v>
      </c>
      <c r="U30" s="80">
        <v>4</v>
      </c>
      <c r="V30" s="80">
        <v>3</v>
      </c>
      <c r="W30" s="80">
        <v>3</v>
      </c>
      <c r="X30" s="80">
        <v>0</v>
      </c>
      <c r="Y30" s="80">
        <v>1</v>
      </c>
      <c r="AA30" s="62">
        <f t="shared" si="65"/>
        <v>4</v>
      </c>
      <c r="AB30" s="62">
        <f t="shared" si="66"/>
        <v>3</v>
      </c>
      <c r="AC30" s="6">
        <f t="shared" si="67"/>
        <v>1</v>
      </c>
      <c r="AF30" s="32">
        <v>1</v>
      </c>
      <c r="AG30" s="32">
        <v>4</v>
      </c>
      <c r="AH30" s="32"/>
      <c r="AI30" s="32">
        <v>0</v>
      </c>
      <c r="AJ30" s="32">
        <v>1</v>
      </c>
      <c r="AK30" s="32">
        <v>2</v>
      </c>
      <c r="AM30" s="6">
        <f t="shared" si="68"/>
        <v>4</v>
      </c>
      <c r="AN30" s="6">
        <f t="shared" si="69"/>
        <v>2</v>
      </c>
      <c r="AP30" s="6">
        <f t="shared" si="70"/>
        <v>8</v>
      </c>
      <c r="AQ30" s="66">
        <f t="shared" si="71"/>
        <v>0.34375</v>
      </c>
      <c r="AR30" s="66">
        <f t="shared" si="72"/>
        <v>4.4005102040816368E-2</v>
      </c>
      <c r="AT30" s="95">
        <v>3</v>
      </c>
      <c r="AU30" s="95">
        <v>4</v>
      </c>
      <c r="AV30" s="95">
        <v>1</v>
      </c>
      <c r="AW30" s="95">
        <v>2</v>
      </c>
      <c r="AX30" s="95">
        <v>1</v>
      </c>
      <c r="AZ30" s="6">
        <f t="shared" si="73"/>
        <v>4</v>
      </c>
      <c r="BA30" s="6">
        <f t="shared" si="74"/>
        <v>3</v>
      </c>
      <c r="BB30" s="6">
        <f t="shared" si="75"/>
        <v>2</v>
      </c>
      <c r="BC30" s="6">
        <f t="shared" si="76"/>
        <v>11</v>
      </c>
      <c r="BD30" s="66">
        <f t="shared" si="77"/>
        <v>0.256198347107438</v>
      </c>
    </row>
    <row r="31" spans="1:56" ht="15.75" customHeight="1" x14ac:dyDescent="0.2">
      <c r="A31" s="89"/>
      <c r="B31" s="89"/>
      <c r="C31" s="89"/>
      <c r="D31" s="89"/>
      <c r="E31" s="89"/>
      <c r="F31" s="301"/>
      <c r="G31" s="31" t="s">
        <v>49</v>
      </c>
      <c r="H31" s="7">
        <v>3</v>
      </c>
      <c r="I31" s="7">
        <v>4</v>
      </c>
      <c r="J31" s="7">
        <v>2</v>
      </c>
      <c r="K31" s="7">
        <v>3</v>
      </c>
      <c r="L31" s="7">
        <v>4</v>
      </c>
      <c r="M31" s="6">
        <f t="shared" si="0"/>
        <v>3.2</v>
      </c>
      <c r="N31" s="72">
        <f t="shared" si="1"/>
        <v>0.74833147735478833</v>
      </c>
      <c r="O31" s="72">
        <f t="shared" ref="O31:S31" si="81">IF($N31=0, 0, (H31-$M31)/$N31)</f>
        <v>-0.26726124191242462</v>
      </c>
      <c r="P31" s="72">
        <f t="shared" si="81"/>
        <v>1.0690449676496971</v>
      </c>
      <c r="Q31" s="72">
        <f t="shared" si="81"/>
        <v>-1.6035674514745464</v>
      </c>
      <c r="R31" s="72">
        <f t="shared" si="81"/>
        <v>-0.26726124191242462</v>
      </c>
      <c r="S31" s="72">
        <f t="shared" si="81"/>
        <v>1.0690449676496971</v>
      </c>
      <c r="U31" s="80">
        <v>2</v>
      </c>
      <c r="V31" s="80">
        <v>4</v>
      </c>
      <c r="W31" s="80">
        <v>3</v>
      </c>
      <c r="X31" s="80">
        <v>3</v>
      </c>
      <c r="Y31" s="80">
        <v>3</v>
      </c>
      <c r="AA31" s="62">
        <f t="shared" si="65"/>
        <v>4</v>
      </c>
      <c r="AB31" s="62">
        <f t="shared" si="66"/>
        <v>3</v>
      </c>
      <c r="AC31" s="6">
        <f t="shared" si="67"/>
        <v>3</v>
      </c>
      <c r="AF31" s="32">
        <v>0</v>
      </c>
      <c r="AG31" s="32">
        <v>4</v>
      </c>
      <c r="AH31" s="32"/>
      <c r="AI31" s="32">
        <v>0</v>
      </c>
      <c r="AJ31" s="32">
        <v>1</v>
      </c>
      <c r="AK31" s="32">
        <v>2</v>
      </c>
      <c r="AM31" s="6">
        <f t="shared" si="68"/>
        <v>4</v>
      </c>
      <c r="AN31" s="6">
        <f t="shared" si="69"/>
        <v>2</v>
      </c>
      <c r="AP31" s="6">
        <f t="shared" si="70"/>
        <v>7</v>
      </c>
      <c r="AQ31" s="66">
        <f t="shared" si="71"/>
        <v>0.42857142857142855</v>
      </c>
      <c r="AR31" s="66">
        <f t="shared" si="72"/>
        <v>-2.1164021164021163E-2</v>
      </c>
      <c r="AT31" s="95">
        <v>2</v>
      </c>
      <c r="AU31" s="95">
        <v>4</v>
      </c>
      <c r="AV31" s="95">
        <v>2</v>
      </c>
      <c r="AW31" s="95">
        <v>4</v>
      </c>
      <c r="AX31" s="95">
        <v>3</v>
      </c>
      <c r="AZ31" s="6">
        <f t="shared" si="73"/>
        <v>4</v>
      </c>
      <c r="BA31" s="6">
        <f t="shared" si="74"/>
        <v>4</v>
      </c>
      <c r="BB31" s="6">
        <f t="shared" si="75"/>
        <v>3</v>
      </c>
      <c r="BC31" s="6">
        <f t="shared" si="76"/>
        <v>15</v>
      </c>
      <c r="BD31" s="66">
        <f t="shared" si="77"/>
        <v>0.21777777777777779</v>
      </c>
    </row>
    <row r="32" spans="1:56" ht="15.75" customHeight="1" x14ac:dyDescent="0.2">
      <c r="A32" s="89"/>
      <c r="B32" s="89"/>
      <c r="C32" s="89"/>
      <c r="D32" s="89"/>
      <c r="E32" s="89"/>
      <c r="F32" s="5"/>
      <c r="G32" s="60" t="s">
        <v>125</v>
      </c>
      <c r="H32" s="7">
        <v>3</v>
      </c>
      <c r="I32" s="7">
        <v>2</v>
      </c>
      <c r="J32" s="7">
        <v>2</v>
      </c>
      <c r="K32" s="7">
        <v>4</v>
      </c>
      <c r="L32" s="7">
        <v>4</v>
      </c>
      <c r="M32" s="6">
        <f t="shared" si="0"/>
        <v>3</v>
      </c>
      <c r="N32" s="72">
        <f t="shared" si="1"/>
        <v>0.89442719099991586</v>
      </c>
      <c r="O32" s="72">
        <f t="shared" ref="O32:S32" si="82">IF($N32=0, 0, (H32-$M32)/$N32)</f>
        <v>0</v>
      </c>
      <c r="P32" s="72">
        <f t="shared" si="82"/>
        <v>-1.1180339887498949</v>
      </c>
      <c r="Q32" s="72">
        <f t="shared" si="82"/>
        <v>-1.1180339887498949</v>
      </c>
      <c r="R32" s="72">
        <f t="shared" si="82"/>
        <v>1.1180339887498949</v>
      </c>
      <c r="S32" s="72">
        <f t="shared" si="82"/>
        <v>1.1180339887498949</v>
      </c>
      <c r="U32" s="80"/>
      <c r="V32" s="80"/>
      <c r="W32" s="80"/>
      <c r="X32" s="80"/>
      <c r="Y32" s="80"/>
      <c r="AA32" s="62"/>
      <c r="AB32" s="62"/>
      <c r="AF32" s="35"/>
      <c r="AG32" s="35"/>
      <c r="AH32" s="35"/>
      <c r="AI32" s="35"/>
      <c r="AJ32" s="35"/>
      <c r="AK32" s="35"/>
      <c r="AQ32" s="66"/>
      <c r="AT32" s="95"/>
      <c r="AU32" s="95"/>
      <c r="AV32" s="95"/>
      <c r="AW32" s="95"/>
      <c r="AX32" s="95"/>
      <c r="BD32" s="66"/>
    </row>
    <row r="33" spans="1:57" ht="15.75" customHeight="1" x14ac:dyDescent="0.2">
      <c r="A33" s="89"/>
      <c r="B33" s="89"/>
      <c r="C33" s="89"/>
      <c r="D33" s="89"/>
      <c r="E33" s="89"/>
      <c r="F33" s="5"/>
      <c r="G33" s="60" t="s">
        <v>126</v>
      </c>
      <c r="H33" s="7">
        <v>2</v>
      </c>
      <c r="I33" s="7">
        <v>2</v>
      </c>
      <c r="J33" s="7">
        <v>3</v>
      </c>
      <c r="K33" s="7">
        <v>3</v>
      </c>
      <c r="L33" s="7">
        <v>4</v>
      </c>
      <c r="M33" s="6">
        <f t="shared" si="0"/>
        <v>2.8</v>
      </c>
      <c r="N33" s="72">
        <f t="shared" si="1"/>
        <v>0.74833147735478833</v>
      </c>
      <c r="O33" s="72">
        <f t="shared" ref="O33:S33" si="83">IF($N33=0, 0, (H33-$M33)/$N33)</f>
        <v>-1.0690449676496971</v>
      </c>
      <c r="P33" s="72">
        <f t="shared" si="83"/>
        <v>-1.0690449676496971</v>
      </c>
      <c r="Q33" s="72">
        <f t="shared" si="83"/>
        <v>0.26726124191242462</v>
      </c>
      <c r="R33" s="72">
        <f t="shared" si="83"/>
        <v>0.26726124191242462</v>
      </c>
      <c r="S33" s="72">
        <f t="shared" si="83"/>
        <v>1.6035674514745464</v>
      </c>
      <c r="U33" s="80"/>
      <c r="V33" s="80"/>
      <c r="W33" s="80"/>
      <c r="X33" s="80"/>
      <c r="Y33" s="80"/>
      <c r="AA33" s="62"/>
      <c r="AB33" s="62"/>
      <c r="AF33" s="35"/>
      <c r="AG33" s="35"/>
      <c r="AH33" s="35"/>
      <c r="AI33" s="35"/>
      <c r="AJ33" s="35"/>
      <c r="AK33" s="35"/>
      <c r="AQ33" s="66"/>
      <c r="AT33" s="95"/>
      <c r="AU33" s="95"/>
      <c r="AV33" s="95"/>
      <c r="AW33" s="95"/>
      <c r="AX33" s="95"/>
      <c r="BD33" s="66"/>
    </row>
    <row r="34" spans="1:57" ht="15.75" customHeight="1" x14ac:dyDescent="0.2">
      <c r="A34" s="89"/>
      <c r="B34" s="89"/>
      <c r="C34" s="89"/>
      <c r="D34" s="89"/>
      <c r="E34" s="89"/>
      <c r="F34" s="300" t="s">
        <v>51</v>
      </c>
      <c r="G34" s="34" t="s">
        <v>52</v>
      </c>
      <c r="H34" s="7">
        <v>4</v>
      </c>
      <c r="I34" s="7">
        <v>4</v>
      </c>
      <c r="J34" s="7">
        <v>3</v>
      </c>
      <c r="K34" s="7">
        <v>3</v>
      </c>
      <c r="L34" s="7">
        <v>4</v>
      </c>
      <c r="M34" s="6">
        <f t="shared" si="0"/>
        <v>3.6</v>
      </c>
      <c r="N34" s="72">
        <f t="shared" si="1"/>
        <v>0.4898979485566356</v>
      </c>
      <c r="O34" s="72">
        <f t="shared" ref="O34:S34" si="84">IF($N34=0, 0, (H34-$M34)/$N34)</f>
        <v>0.81649658092772592</v>
      </c>
      <c r="P34" s="72">
        <f t="shared" si="84"/>
        <v>0.81649658092772592</v>
      </c>
      <c r="Q34" s="72">
        <f t="shared" si="84"/>
        <v>-1.2247448713915894</v>
      </c>
      <c r="R34" s="72">
        <f t="shared" si="84"/>
        <v>-1.2247448713915894</v>
      </c>
      <c r="S34" s="72">
        <f t="shared" si="84"/>
        <v>0.81649658092772592</v>
      </c>
      <c r="U34" s="80">
        <v>4</v>
      </c>
      <c r="V34" s="80">
        <v>2</v>
      </c>
      <c r="W34" s="80">
        <v>4</v>
      </c>
      <c r="X34" s="80">
        <v>0</v>
      </c>
      <c r="Y34" s="80">
        <v>1</v>
      </c>
      <c r="AA34" s="62">
        <f t="shared" ref="AA34:AA38" si="85">MAX(U34:Y34)</f>
        <v>4</v>
      </c>
      <c r="AB34" s="62">
        <f t="shared" ref="AB34:AB38" si="86">LARGE(U34:Y34, 2)</f>
        <v>4</v>
      </c>
      <c r="AC34" s="6">
        <f t="shared" ref="AC34:AC38" si="87">LARGE(V34:Z34, 3)</f>
        <v>1</v>
      </c>
      <c r="AF34" s="35">
        <v>2</v>
      </c>
      <c r="AG34" s="35">
        <v>1</v>
      </c>
      <c r="AH34" s="35"/>
      <c r="AI34" s="35">
        <v>2</v>
      </c>
      <c r="AJ34" s="35">
        <v>3</v>
      </c>
      <c r="AK34" s="35">
        <v>2</v>
      </c>
      <c r="AM34" s="6">
        <f t="shared" ref="AM34:AM38" si="88">MAX(AF34:AK34)</f>
        <v>3</v>
      </c>
      <c r="AN34" s="6">
        <f t="shared" ref="AN34:AN38" si="89">LARGE(AF34:AK34, 2)</f>
        <v>2</v>
      </c>
      <c r="AP34" s="6">
        <f t="shared" ref="AP34:AP38" si="90">SUM(AF34:AK34)</f>
        <v>10</v>
      </c>
      <c r="AQ34" s="66">
        <f t="shared" ref="AQ34:AQ38" si="91">IF(AP34=0,0, (AF34/AP34)^2 + (AG34/AP34)^2 + (AI34/AP34)^2 + (AJ34/AP34)^2 + (AK34/AP34)^2)</f>
        <v>0.22000000000000003</v>
      </c>
      <c r="AR34" s="66">
        <f t="shared" ref="AR34:AR38" si="92">AC79-AQ34</f>
        <v>3.9259259259259216E-2</v>
      </c>
      <c r="AT34" s="95">
        <v>4</v>
      </c>
      <c r="AU34" s="95">
        <v>2</v>
      </c>
      <c r="AV34" s="95">
        <v>1</v>
      </c>
      <c r="AW34" s="95">
        <v>3</v>
      </c>
      <c r="AX34" s="95">
        <v>1</v>
      </c>
      <c r="AZ34" s="6">
        <f t="shared" ref="AZ34:AZ38" si="93">MAX(AT34:AX34)</f>
        <v>4</v>
      </c>
      <c r="BA34" s="6">
        <f t="shared" ref="BA34:BA38" si="94">LARGE(AT34:AX34, 2)</f>
        <v>3</v>
      </c>
      <c r="BB34" s="6">
        <f t="shared" ref="BB34:BB38" si="95">LARGE(AT34:AX34, 3)</f>
        <v>2</v>
      </c>
      <c r="BC34" s="6">
        <f t="shared" ref="BC34:BC38" si="96">SUM(AT34:AX34)</f>
        <v>11</v>
      </c>
      <c r="BD34" s="66">
        <f t="shared" ref="BD34:BD38" si="97">IF(BC34=0,0, (AT34/BC34)^2 + (AU34/BC34)^2 + (AV34/BC34)^2 + (AW34/BC34)^2 + (AX34/BC34)^2)</f>
        <v>0.25619834710743805</v>
      </c>
    </row>
    <row r="35" spans="1:57" ht="15.75" customHeight="1" x14ac:dyDescent="0.2">
      <c r="A35" s="89"/>
      <c r="B35" s="89"/>
      <c r="C35" s="89"/>
      <c r="D35" s="89"/>
      <c r="E35" s="89"/>
      <c r="F35" s="301"/>
      <c r="G35" s="34" t="s">
        <v>53</v>
      </c>
      <c r="H35" s="7">
        <v>4</v>
      </c>
      <c r="I35" s="7">
        <v>1</v>
      </c>
      <c r="J35" s="7">
        <v>2</v>
      </c>
      <c r="K35" s="7">
        <v>2</v>
      </c>
      <c r="L35" s="7">
        <v>3</v>
      </c>
      <c r="M35" s="6">
        <f t="shared" si="0"/>
        <v>2.4</v>
      </c>
      <c r="N35" s="72">
        <f t="shared" si="1"/>
        <v>1.019803902718557</v>
      </c>
      <c r="O35" s="72">
        <f t="shared" ref="O35:S35" si="98">IF($N35=0, 0, (H35-$M35)/$N35)</f>
        <v>1.5689290811054721</v>
      </c>
      <c r="P35" s="72">
        <f t="shared" si="98"/>
        <v>-1.372812945967288</v>
      </c>
      <c r="Q35" s="72">
        <f t="shared" si="98"/>
        <v>-0.39223227027636798</v>
      </c>
      <c r="R35" s="72">
        <f t="shared" si="98"/>
        <v>-0.39223227027636798</v>
      </c>
      <c r="S35" s="72">
        <f t="shared" si="98"/>
        <v>0.58834840541455213</v>
      </c>
      <c r="U35" s="80">
        <v>4</v>
      </c>
      <c r="V35" s="80">
        <v>1</v>
      </c>
      <c r="W35" s="80">
        <v>3</v>
      </c>
      <c r="X35" s="80">
        <v>0</v>
      </c>
      <c r="Y35" s="80">
        <v>2</v>
      </c>
      <c r="AA35" s="62">
        <f t="shared" si="85"/>
        <v>4</v>
      </c>
      <c r="AB35" s="62">
        <f t="shared" si="86"/>
        <v>3</v>
      </c>
      <c r="AC35" s="6">
        <f t="shared" si="87"/>
        <v>1</v>
      </c>
      <c r="AF35" s="35">
        <v>3</v>
      </c>
      <c r="AG35" s="35">
        <v>0</v>
      </c>
      <c r="AH35" s="35"/>
      <c r="AI35" s="35">
        <v>1</v>
      </c>
      <c r="AJ35" s="35">
        <v>2</v>
      </c>
      <c r="AK35" s="35">
        <v>1</v>
      </c>
      <c r="AM35" s="6">
        <f t="shared" si="88"/>
        <v>3</v>
      </c>
      <c r="AN35" s="6">
        <f t="shared" si="89"/>
        <v>2</v>
      </c>
      <c r="AP35" s="6">
        <f t="shared" si="90"/>
        <v>7</v>
      </c>
      <c r="AQ35" s="66">
        <f t="shared" si="91"/>
        <v>0.30612244897959184</v>
      </c>
      <c r="AR35" s="66">
        <f t="shared" si="92"/>
        <v>0.13387755102040821</v>
      </c>
      <c r="AT35" s="95">
        <v>3</v>
      </c>
      <c r="AU35" s="95">
        <v>1</v>
      </c>
      <c r="AV35" s="95">
        <v>1</v>
      </c>
      <c r="AW35" s="95">
        <v>1</v>
      </c>
      <c r="AX35" s="95">
        <v>1</v>
      </c>
      <c r="AZ35" s="6">
        <f t="shared" si="93"/>
        <v>3</v>
      </c>
      <c r="BA35" s="6">
        <f t="shared" si="94"/>
        <v>1</v>
      </c>
      <c r="BB35" s="6">
        <f t="shared" si="95"/>
        <v>1</v>
      </c>
      <c r="BC35" s="6">
        <f t="shared" si="96"/>
        <v>7</v>
      </c>
      <c r="BD35" s="66">
        <f t="shared" si="97"/>
        <v>0.26530612244897955</v>
      </c>
    </row>
    <row r="36" spans="1:57" ht="15.75" customHeight="1" x14ac:dyDescent="0.2">
      <c r="A36" s="89"/>
      <c r="B36" s="89"/>
      <c r="C36" s="89"/>
      <c r="D36" s="89"/>
      <c r="E36" s="89"/>
      <c r="F36" s="301"/>
      <c r="G36" s="34" t="s">
        <v>55</v>
      </c>
      <c r="H36" s="7">
        <v>4</v>
      </c>
      <c r="I36" s="7">
        <v>2</v>
      </c>
      <c r="J36" s="7">
        <v>3</v>
      </c>
      <c r="K36" s="7">
        <v>2</v>
      </c>
      <c r="L36" s="7">
        <v>3</v>
      </c>
      <c r="M36" s="6">
        <f t="shared" si="0"/>
        <v>2.8</v>
      </c>
      <c r="N36" s="72">
        <f t="shared" si="1"/>
        <v>0.74833147735478833</v>
      </c>
      <c r="O36" s="72">
        <f t="shared" ref="O36:S36" si="99">IF($N36=0, 0, (H36-$M36)/$N36)</f>
        <v>1.6035674514745464</v>
      </c>
      <c r="P36" s="72">
        <f t="shared" si="99"/>
        <v>-1.0690449676496971</v>
      </c>
      <c r="Q36" s="72">
        <f t="shared" si="99"/>
        <v>0.26726124191242462</v>
      </c>
      <c r="R36" s="72">
        <f t="shared" si="99"/>
        <v>-1.0690449676496971</v>
      </c>
      <c r="S36" s="72">
        <f t="shared" si="99"/>
        <v>0.26726124191242462</v>
      </c>
      <c r="U36" s="80">
        <v>4</v>
      </c>
      <c r="V36" s="80">
        <v>1</v>
      </c>
      <c r="W36" s="80">
        <v>1</v>
      </c>
      <c r="X36" s="80">
        <v>0</v>
      </c>
      <c r="Y36" s="80">
        <v>1</v>
      </c>
      <c r="AA36" s="6">
        <f t="shared" si="85"/>
        <v>4</v>
      </c>
      <c r="AB36" s="6">
        <f t="shared" si="86"/>
        <v>1</v>
      </c>
      <c r="AC36" s="6">
        <f t="shared" si="87"/>
        <v>1</v>
      </c>
      <c r="AF36" s="35">
        <v>3</v>
      </c>
      <c r="AG36" s="35">
        <v>1</v>
      </c>
      <c r="AH36" s="35"/>
      <c r="AI36" s="35">
        <v>4</v>
      </c>
      <c r="AJ36" s="35">
        <v>2</v>
      </c>
      <c r="AK36" s="35">
        <v>0</v>
      </c>
      <c r="AM36" s="6">
        <f t="shared" si="88"/>
        <v>4</v>
      </c>
      <c r="AN36" s="6">
        <f t="shared" si="89"/>
        <v>3</v>
      </c>
      <c r="AP36" s="6">
        <f t="shared" si="90"/>
        <v>10</v>
      </c>
      <c r="AQ36" s="66">
        <f t="shared" si="91"/>
        <v>0.30000000000000004</v>
      </c>
      <c r="AR36" s="66">
        <f t="shared" si="92"/>
        <v>8.8888888888888851E-2</v>
      </c>
      <c r="AT36" s="95">
        <v>4</v>
      </c>
      <c r="AU36" s="95">
        <v>1</v>
      </c>
      <c r="AV36" s="95">
        <v>1</v>
      </c>
      <c r="AW36" s="95">
        <v>1</v>
      </c>
      <c r="AX36" s="95">
        <v>1</v>
      </c>
      <c r="AZ36" s="6">
        <f t="shared" si="93"/>
        <v>4</v>
      </c>
      <c r="BA36" s="6">
        <f t="shared" si="94"/>
        <v>1</v>
      </c>
      <c r="BB36" s="6">
        <f t="shared" si="95"/>
        <v>1</v>
      </c>
      <c r="BC36" s="6">
        <f t="shared" si="96"/>
        <v>8</v>
      </c>
      <c r="BD36" s="66">
        <f t="shared" si="97"/>
        <v>0.3125</v>
      </c>
    </row>
    <row r="37" spans="1:57" ht="15.75" customHeight="1" x14ac:dyDescent="0.2">
      <c r="A37" s="89"/>
      <c r="B37" s="89"/>
      <c r="C37" s="89"/>
      <c r="D37" s="89"/>
      <c r="E37" s="89"/>
      <c r="F37" s="301"/>
      <c r="G37" s="34" t="s">
        <v>57</v>
      </c>
      <c r="H37" s="7">
        <v>3</v>
      </c>
      <c r="I37" s="7">
        <v>2</v>
      </c>
      <c r="J37" s="7">
        <v>2</v>
      </c>
      <c r="K37" s="7">
        <v>2</v>
      </c>
      <c r="L37" s="7">
        <v>4</v>
      </c>
      <c r="M37" s="6">
        <f t="shared" si="0"/>
        <v>2.6</v>
      </c>
      <c r="N37" s="72">
        <f t="shared" si="1"/>
        <v>0.8</v>
      </c>
      <c r="O37" s="72">
        <f t="shared" ref="O37:S37" si="100">IF($N37=0, 0, (H37-$M37)/$N37)</f>
        <v>0.49999999999999989</v>
      </c>
      <c r="P37" s="72">
        <f t="shared" si="100"/>
        <v>-0.75000000000000011</v>
      </c>
      <c r="Q37" s="72">
        <f t="shared" si="100"/>
        <v>-0.75000000000000011</v>
      </c>
      <c r="R37" s="72">
        <f t="shared" si="100"/>
        <v>-0.75000000000000011</v>
      </c>
      <c r="S37" s="72">
        <f t="shared" si="100"/>
        <v>1.7499999999999998</v>
      </c>
      <c r="U37" s="80">
        <v>4</v>
      </c>
      <c r="V37" s="80">
        <v>1</v>
      </c>
      <c r="W37" s="80">
        <v>2</v>
      </c>
      <c r="X37" s="80">
        <v>2</v>
      </c>
      <c r="Y37" s="80">
        <v>2</v>
      </c>
      <c r="AA37" s="6">
        <f t="shared" si="85"/>
        <v>4</v>
      </c>
      <c r="AB37" s="6">
        <f t="shared" si="86"/>
        <v>2</v>
      </c>
      <c r="AC37" s="6">
        <f t="shared" si="87"/>
        <v>2</v>
      </c>
      <c r="AF37" s="35">
        <v>3</v>
      </c>
      <c r="AG37" s="35">
        <v>1</v>
      </c>
      <c r="AH37" s="35"/>
      <c r="AI37" s="35">
        <v>4</v>
      </c>
      <c r="AJ37" s="35">
        <v>2</v>
      </c>
      <c r="AK37" s="35">
        <v>1</v>
      </c>
      <c r="AM37" s="6">
        <f t="shared" si="88"/>
        <v>4</v>
      </c>
      <c r="AN37" s="6">
        <f t="shared" si="89"/>
        <v>3</v>
      </c>
      <c r="AP37" s="6">
        <f t="shared" si="90"/>
        <v>11</v>
      </c>
      <c r="AQ37" s="66">
        <f t="shared" si="91"/>
        <v>0.25619834710743805</v>
      </c>
      <c r="AR37" s="66">
        <f t="shared" si="92"/>
        <v>7.7134986225895263E-2</v>
      </c>
      <c r="AT37" s="95">
        <v>4</v>
      </c>
      <c r="AU37" s="95">
        <v>1</v>
      </c>
      <c r="AV37" s="95">
        <v>1</v>
      </c>
      <c r="AW37" s="95">
        <v>4</v>
      </c>
      <c r="AX37" s="95">
        <v>2</v>
      </c>
      <c r="AZ37" s="6">
        <f t="shared" si="93"/>
        <v>4</v>
      </c>
      <c r="BA37" s="6">
        <f t="shared" si="94"/>
        <v>4</v>
      </c>
      <c r="BB37" s="6">
        <f t="shared" si="95"/>
        <v>2</v>
      </c>
      <c r="BC37" s="6">
        <f t="shared" si="96"/>
        <v>12</v>
      </c>
      <c r="BD37" s="66">
        <f t="shared" si="97"/>
        <v>0.2638888888888889</v>
      </c>
    </row>
    <row r="38" spans="1:57" ht="15.75" customHeight="1" x14ac:dyDescent="0.2">
      <c r="A38" s="89"/>
      <c r="B38" s="89"/>
      <c r="C38" s="89"/>
      <c r="D38" s="89"/>
      <c r="E38" s="89"/>
      <c r="F38" s="301"/>
      <c r="G38" s="34" t="s">
        <v>59</v>
      </c>
      <c r="H38" s="12">
        <v>3</v>
      </c>
      <c r="I38" s="12">
        <v>3</v>
      </c>
      <c r="J38" s="12">
        <v>3</v>
      </c>
      <c r="K38" s="12">
        <v>4</v>
      </c>
      <c r="L38" s="12">
        <v>3</v>
      </c>
      <c r="M38" s="6">
        <f t="shared" si="0"/>
        <v>3.2</v>
      </c>
      <c r="N38" s="72">
        <f t="shared" si="1"/>
        <v>0.4</v>
      </c>
      <c r="O38" s="72">
        <f t="shared" ref="O38:S38" si="101">IF($N38=0, 0, (H38-$M38)/$N38)</f>
        <v>-0.50000000000000044</v>
      </c>
      <c r="P38" s="72">
        <f t="shared" si="101"/>
        <v>-0.50000000000000044</v>
      </c>
      <c r="Q38" s="72">
        <f t="shared" si="101"/>
        <v>-0.50000000000000044</v>
      </c>
      <c r="R38" s="72">
        <f t="shared" si="101"/>
        <v>1.9999999999999996</v>
      </c>
      <c r="S38" s="72">
        <f t="shared" si="101"/>
        <v>-0.50000000000000044</v>
      </c>
      <c r="U38" s="80">
        <v>4</v>
      </c>
      <c r="V38" s="80">
        <v>1</v>
      </c>
      <c r="W38" s="80">
        <v>4</v>
      </c>
      <c r="X38" s="80">
        <v>1</v>
      </c>
      <c r="Y38" s="80">
        <v>2</v>
      </c>
      <c r="AA38" s="62">
        <f t="shared" si="85"/>
        <v>4</v>
      </c>
      <c r="AB38" s="62">
        <f t="shared" si="86"/>
        <v>4</v>
      </c>
      <c r="AC38" s="6">
        <f t="shared" si="87"/>
        <v>1</v>
      </c>
      <c r="AF38" s="35">
        <v>1</v>
      </c>
      <c r="AG38" s="35">
        <v>2</v>
      </c>
      <c r="AH38" s="35"/>
      <c r="AI38" s="35">
        <v>2</v>
      </c>
      <c r="AJ38" s="35">
        <v>1</v>
      </c>
      <c r="AK38" s="35">
        <v>2</v>
      </c>
      <c r="AM38" s="6">
        <f t="shared" si="88"/>
        <v>2</v>
      </c>
      <c r="AN38" s="6">
        <f t="shared" si="89"/>
        <v>2</v>
      </c>
      <c r="AP38" s="6">
        <f t="shared" si="90"/>
        <v>8</v>
      </c>
      <c r="AQ38" s="66">
        <f t="shared" si="91"/>
        <v>0.21875</v>
      </c>
      <c r="AR38" s="66">
        <f t="shared" si="92"/>
        <v>6.5200617283950602E-2</v>
      </c>
      <c r="AT38" s="95">
        <v>2</v>
      </c>
      <c r="AU38" s="95">
        <v>2</v>
      </c>
      <c r="AV38" s="95">
        <v>1</v>
      </c>
      <c r="AW38" s="95">
        <v>4</v>
      </c>
      <c r="AX38" s="95">
        <v>2</v>
      </c>
      <c r="AZ38" s="6">
        <f t="shared" si="93"/>
        <v>4</v>
      </c>
      <c r="BA38" s="6">
        <f t="shared" si="94"/>
        <v>2</v>
      </c>
      <c r="BB38" s="6">
        <f t="shared" si="95"/>
        <v>2</v>
      </c>
      <c r="BC38" s="6">
        <f t="shared" si="96"/>
        <v>11</v>
      </c>
      <c r="BD38" s="66">
        <f t="shared" si="97"/>
        <v>0.23966942148760331</v>
      </c>
    </row>
    <row r="39" spans="1:57" ht="15.75" customHeight="1" x14ac:dyDescent="0.2">
      <c r="A39" s="89"/>
      <c r="B39" s="89"/>
      <c r="C39" s="89"/>
      <c r="D39" s="89"/>
      <c r="E39" s="89"/>
    </row>
    <row r="40" spans="1:57" ht="15.75" customHeight="1" x14ac:dyDescent="0.2">
      <c r="A40" s="89"/>
      <c r="B40" s="89"/>
      <c r="C40" s="89"/>
      <c r="D40" s="89"/>
      <c r="E40" s="89"/>
    </row>
    <row r="41" spans="1:57" ht="15.75" customHeight="1" x14ac:dyDescent="0.2">
      <c r="A41" s="89"/>
      <c r="B41" s="89"/>
      <c r="C41" s="89"/>
      <c r="D41" s="89"/>
      <c r="E41" s="89"/>
      <c r="AU41" s="96"/>
      <c r="AV41" s="96"/>
      <c r="AW41" s="96"/>
      <c r="AX41" s="96"/>
      <c r="AY41" s="96"/>
      <c r="AZ41" s="96"/>
      <c r="BA41" s="96"/>
      <c r="BB41" s="96"/>
      <c r="BC41" s="96"/>
    </row>
    <row r="42" spans="1:57" ht="15.75" customHeight="1" x14ac:dyDescent="0.2">
      <c r="A42" s="89"/>
      <c r="B42" s="89"/>
      <c r="C42" s="89"/>
      <c r="D42" s="89"/>
      <c r="E42" s="89"/>
      <c r="AU42" s="96"/>
      <c r="AV42" s="96"/>
      <c r="AW42" s="96"/>
      <c r="AX42" s="96"/>
      <c r="AY42" s="96"/>
      <c r="AZ42" s="96"/>
      <c r="BA42" s="96"/>
      <c r="BB42" s="96"/>
      <c r="BC42" s="96"/>
    </row>
    <row r="43" spans="1:57" ht="15.75" customHeight="1" x14ac:dyDescent="0.2">
      <c r="A43" s="89"/>
      <c r="B43" s="89"/>
      <c r="C43" s="89"/>
      <c r="D43" s="89"/>
      <c r="E43" s="89"/>
      <c r="AU43" s="96"/>
      <c r="AV43" s="96"/>
      <c r="AW43" s="96"/>
      <c r="AX43" s="96"/>
      <c r="AY43" s="96"/>
      <c r="AZ43" s="96"/>
      <c r="BA43" s="96"/>
      <c r="BB43" s="96"/>
      <c r="BC43" s="96"/>
    </row>
    <row r="44" spans="1:57" ht="15.75" customHeight="1" x14ac:dyDescent="0.2">
      <c r="A44" s="89"/>
      <c r="B44" s="89"/>
      <c r="C44" s="89"/>
      <c r="D44" s="89"/>
      <c r="E44" s="89"/>
      <c r="AU44" s="96"/>
      <c r="AV44" s="96"/>
      <c r="AW44" s="96"/>
      <c r="AX44" s="96"/>
      <c r="AY44" s="96"/>
      <c r="AZ44" s="96"/>
      <c r="BA44" s="96"/>
      <c r="BB44" s="96"/>
      <c r="BC44" s="96"/>
    </row>
    <row r="45" spans="1:57" ht="15.75" customHeight="1" x14ac:dyDescent="0.2">
      <c r="A45" s="89"/>
      <c r="B45" s="89"/>
      <c r="C45" s="89"/>
      <c r="D45" s="89"/>
      <c r="E45" s="89"/>
      <c r="AU45" s="96"/>
      <c r="AV45" s="96"/>
      <c r="AW45" s="96"/>
      <c r="AX45" s="96"/>
      <c r="AY45" s="96"/>
      <c r="AZ45" s="96"/>
      <c r="BA45" s="96"/>
      <c r="BB45" s="96"/>
      <c r="BC45" s="96"/>
    </row>
    <row r="46" spans="1:57" ht="15.75" customHeight="1" x14ac:dyDescent="0.2">
      <c r="A46" s="89"/>
      <c r="B46" s="89"/>
      <c r="C46" s="89"/>
      <c r="D46" s="89"/>
      <c r="E46" s="89"/>
      <c r="AU46" s="96"/>
      <c r="AV46" s="96"/>
      <c r="AW46" s="96"/>
      <c r="AX46" s="96"/>
      <c r="AY46" s="96"/>
      <c r="AZ46" s="96"/>
      <c r="BA46" s="96"/>
      <c r="BB46" s="96"/>
      <c r="BC46" s="96"/>
    </row>
    <row r="47" spans="1:57" ht="15.75" customHeight="1" x14ac:dyDescent="0.2">
      <c r="A47" s="89"/>
      <c r="B47" s="89"/>
      <c r="C47" s="89"/>
      <c r="D47" s="89"/>
      <c r="E47" s="89"/>
      <c r="P47" s="49" t="s">
        <v>151</v>
      </c>
      <c r="Y47" s="97"/>
      <c r="Z47" s="97"/>
      <c r="AA47" s="97"/>
      <c r="AB47" s="97" t="s">
        <v>152</v>
      </c>
      <c r="AU47" s="96"/>
      <c r="AV47" s="96"/>
      <c r="AW47" s="96"/>
      <c r="AX47" s="96"/>
      <c r="AY47" s="96"/>
      <c r="AZ47" s="96"/>
      <c r="BA47" s="96"/>
      <c r="BB47" s="96"/>
      <c r="BC47" s="96"/>
    </row>
    <row r="48" spans="1:57" ht="15.75" customHeight="1" x14ac:dyDescent="0.2">
      <c r="G48" s="1" t="s">
        <v>0</v>
      </c>
      <c r="H48" s="1" t="s">
        <v>1</v>
      </c>
      <c r="I48" s="1" t="s">
        <v>2</v>
      </c>
      <c r="J48" s="4" t="s">
        <v>65</v>
      </c>
      <c r="K48" s="4" t="s">
        <v>66</v>
      </c>
      <c r="L48" s="4" t="s">
        <v>67</v>
      </c>
      <c r="M48" s="4" t="s">
        <v>68</v>
      </c>
      <c r="N48" s="4" t="s">
        <v>69</v>
      </c>
      <c r="P48" s="6" t="s">
        <v>153</v>
      </c>
      <c r="Q48" s="98" t="s">
        <v>154</v>
      </c>
      <c r="R48" s="6" t="s">
        <v>155</v>
      </c>
      <c r="S48" s="6" t="s">
        <v>156</v>
      </c>
      <c r="T48" s="99" t="s">
        <v>157</v>
      </c>
      <c r="U48" s="49"/>
      <c r="V48" s="75" t="s">
        <v>158</v>
      </c>
      <c r="W48" s="75" t="s">
        <v>159</v>
      </c>
      <c r="X48" s="75"/>
      <c r="Y48" s="75" t="s">
        <v>160</v>
      </c>
      <c r="Z48" s="75" t="s">
        <v>161</v>
      </c>
      <c r="AA48" s="75" t="s">
        <v>162</v>
      </c>
      <c r="AB48" s="75" t="s">
        <v>163</v>
      </c>
      <c r="AC48" s="75" t="s">
        <v>164</v>
      </c>
      <c r="AD48" s="75"/>
      <c r="AE48" s="75" t="s">
        <v>165</v>
      </c>
      <c r="AF48" s="75" t="s">
        <v>166</v>
      </c>
      <c r="AG48" s="75" t="s">
        <v>167</v>
      </c>
      <c r="AH48" s="75"/>
      <c r="AI48" s="100" t="s">
        <v>168</v>
      </c>
      <c r="AJ48" s="75"/>
      <c r="AK48" s="75" t="s">
        <v>169</v>
      </c>
      <c r="AL48" s="98" t="s">
        <v>170</v>
      </c>
      <c r="AM48" s="6" t="s">
        <v>155</v>
      </c>
      <c r="AN48" s="6" t="s">
        <v>171</v>
      </c>
      <c r="AO48" s="6" t="s">
        <v>172</v>
      </c>
      <c r="AP48" s="6" t="s">
        <v>173</v>
      </c>
      <c r="AQ48" s="6" t="s">
        <v>174</v>
      </c>
      <c r="AR48" s="62" t="s">
        <v>175</v>
      </c>
      <c r="AS48" s="6" t="s">
        <v>176</v>
      </c>
      <c r="AT48" s="6"/>
      <c r="AU48" s="96"/>
      <c r="AV48" s="96"/>
      <c r="AW48" s="96"/>
      <c r="AX48" s="96"/>
      <c r="AY48" s="96"/>
      <c r="AZ48" s="96"/>
      <c r="BA48" s="96"/>
      <c r="BB48" s="96"/>
      <c r="BC48" s="96"/>
      <c r="BD48" s="6"/>
      <c r="BE48" s="6"/>
    </row>
    <row r="49" spans="6:57" ht="15.75" customHeight="1" x14ac:dyDescent="0.2">
      <c r="F49" s="5"/>
      <c r="G49" s="101" t="s">
        <v>117</v>
      </c>
      <c r="H49" s="101"/>
      <c r="I49" s="101"/>
      <c r="J49" s="9">
        <v>1</v>
      </c>
      <c r="K49" s="9">
        <v>0</v>
      </c>
      <c r="L49" s="11">
        <v>1</v>
      </c>
      <c r="M49" s="11">
        <v>2</v>
      </c>
      <c r="N49" s="11">
        <v>4</v>
      </c>
      <c r="P49" s="6">
        <f t="shared" ref="P49:P83" si="102">MAX(J49:N49)</f>
        <v>4</v>
      </c>
      <c r="Q49" s="6">
        <f t="shared" ref="Q49:Q83" si="103">LARGE(J49:N49, 2)</f>
        <v>2</v>
      </c>
      <c r="R49" s="6">
        <f t="shared" ref="R49:R83" si="104">LARGE(J49:N49, 3)</f>
        <v>1</v>
      </c>
      <c r="S49" s="74"/>
      <c r="T49" s="102"/>
      <c r="U49" s="49"/>
      <c r="V49" s="102">
        <f t="shared" ref="V49:V83" si="105">SUM(N155:R155)</f>
        <v>11</v>
      </c>
      <c r="W49" s="66">
        <f t="shared" ref="W49:W83" si="106">IF(V49=0,0, (N155/V49)^2 + (O155/V49)^2 + (P155/V49)^2 + (Q155/V49)^2 + (R155/V49)^2)</f>
        <v>0.256198347107438</v>
      </c>
      <c r="Z49" s="66"/>
      <c r="AB49" s="6">
        <f t="shared" ref="AB49:AB83" si="107">SUM(J49:N49)</f>
        <v>8</v>
      </c>
      <c r="AC49" s="66">
        <f t="shared" ref="AC49:AC83" si="108">IF(AB49=0,0, (J49/AB49)^2 + (K49/AB49)^2 + (L49/AB49)^2 + (M49/AB49)^2 + (N49/AB49)^2)</f>
        <v>0.34375</v>
      </c>
      <c r="AD49" s="103"/>
      <c r="AE49" s="66"/>
      <c r="AF49" s="6">
        <f t="shared" ref="AF49:AF83" si="109">SUM(H4:L4)</f>
        <v>14</v>
      </c>
      <c r="AG49" s="66">
        <f t="shared" ref="AG49:AG83" si="110">(H4/AF49)^2 + (I4/AF49)^2 + (J4/AF49)^2 + (K4/AF49)^2 + (L4/AF49)^2</f>
        <v>0.22448979591836732</v>
      </c>
      <c r="AH49" s="66"/>
      <c r="AI49" s="104">
        <f t="shared" ref="AI49:AI83" si="111">AC49-AG49</f>
        <v>0.11926020408163268</v>
      </c>
      <c r="AK49" s="6">
        <f t="shared" ref="AK49:AK83" si="112">MAX(H4:L4)</f>
        <v>4</v>
      </c>
      <c r="AL49" s="6">
        <f t="shared" ref="AL49:AL83" si="113">LARGE(H4:L4, 2)</f>
        <v>4</v>
      </c>
      <c r="AM49" s="6">
        <f t="shared" ref="AM49:AM83" si="114">LARGE(H4:L4, 3)</f>
        <v>2</v>
      </c>
      <c r="AN49" s="6">
        <f t="shared" ref="AN49:AN83" si="115">LARGE(H4:L4, 4)</f>
        <v>2</v>
      </c>
      <c r="AO49" s="74">
        <f t="shared" ref="AO49:AO83" si="116">LARGE(H4:L4, 5)</f>
        <v>2</v>
      </c>
      <c r="AP49" s="66">
        <f t="shared" ref="AP49:AP83" si="117">IF(AND(AK49&gt;=4, AL49&gt;=4), (AK49+AL49)/AF49)</f>
        <v>0.5714285714285714</v>
      </c>
      <c r="AQ49" s="66">
        <f t="shared" ref="AQ49:AQ83" si="118">IF(AND(AK49&gt;=4, AL49&gt;=4, AM49&gt;=4), (AK49+AL49+AM49)/AF49, IF(AM49&lt;2,  AM49/AF49, 0))</f>
        <v>0</v>
      </c>
      <c r="AR49" s="78">
        <f t="shared" ref="AR49:AR83" si="119">IF(AND(AK49&gt;=4, AL49&gt;=4, AM49&gt;=4, AN49&gt;=4), (AK49+AL49+AM49+AN49)/AF49, IF(AN49&lt;2,  AN49/AF49, 0))</f>
        <v>0</v>
      </c>
      <c r="AS49" s="66">
        <f t="shared" ref="AS49:AS83" si="120">IF(AND(AK49&gt;=4, AL49&gt;=4, AM49&gt;=4, AN49&gt;=4, AO49&gt;=4), (AK49+AL49+AM49+AN49+AO49)/AF49, IF(AM49&lt;2,  AM49/AF49, 0))</f>
        <v>0</v>
      </c>
      <c r="AT49" s="66"/>
      <c r="AU49" s="72"/>
      <c r="AV49" s="72"/>
      <c r="AW49" s="72"/>
      <c r="AX49" s="72"/>
      <c r="AY49" s="72"/>
      <c r="AZ49" s="72"/>
      <c r="BA49" s="72"/>
      <c r="BB49" s="72"/>
      <c r="BC49" s="72"/>
      <c r="BD49" s="66"/>
      <c r="BE49" s="66"/>
    </row>
    <row r="50" spans="6:57" ht="15.75" customHeight="1" x14ac:dyDescent="0.2">
      <c r="F50" s="5"/>
      <c r="G50" s="101" t="s">
        <v>118</v>
      </c>
      <c r="H50" s="101"/>
      <c r="I50" s="101"/>
      <c r="J50" s="9">
        <v>0</v>
      </c>
      <c r="K50" s="9">
        <v>0</v>
      </c>
      <c r="L50" s="11">
        <v>3</v>
      </c>
      <c r="M50" s="11">
        <v>2</v>
      </c>
      <c r="N50" s="11">
        <v>3</v>
      </c>
      <c r="P50" s="6">
        <f t="shared" si="102"/>
        <v>3</v>
      </c>
      <c r="Q50" s="6">
        <f t="shared" si="103"/>
        <v>3</v>
      </c>
      <c r="R50" s="6">
        <f t="shared" si="104"/>
        <v>2</v>
      </c>
      <c r="S50" s="74"/>
      <c r="T50" s="102"/>
      <c r="U50" s="49"/>
      <c r="V50" s="102">
        <f t="shared" si="105"/>
        <v>8</v>
      </c>
      <c r="W50" s="66">
        <f t="shared" si="106"/>
        <v>0.25</v>
      </c>
      <c r="Z50" s="66"/>
      <c r="AB50" s="6">
        <f t="shared" si="107"/>
        <v>8</v>
      </c>
      <c r="AC50" s="66">
        <f t="shared" si="108"/>
        <v>0.34375</v>
      </c>
      <c r="AD50" s="103"/>
      <c r="AE50" s="66"/>
      <c r="AF50" s="6">
        <f t="shared" si="109"/>
        <v>14</v>
      </c>
      <c r="AG50" s="66">
        <f t="shared" si="110"/>
        <v>0.21428571428571425</v>
      </c>
      <c r="AH50" s="66"/>
      <c r="AI50" s="104">
        <f t="shared" si="111"/>
        <v>0.12946428571428575</v>
      </c>
      <c r="AK50" s="6">
        <f t="shared" si="112"/>
        <v>4</v>
      </c>
      <c r="AL50" s="6">
        <f t="shared" si="113"/>
        <v>3</v>
      </c>
      <c r="AM50" s="6">
        <f t="shared" si="114"/>
        <v>3</v>
      </c>
      <c r="AN50" s="6">
        <f t="shared" si="115"/>
        <v>2</v>
      </c>
      <c r="AO50" s="74">
        <f t="shared" si="116"/>
        <v>2</v>
      </c>
      <c r="AP50" s="66" t="b">
        <f t="shared" si="117"/>
        <v>0</v>
      </c>
      <c r="AQ50" s="66">
        <f t="shared" si="118"/>
        <v>0</v>
      </c>
      <c r="AR50" s="78">
        <f t="shared" si="119"/>
        <v>0</v>
      </c>
      <c r="AS50" s="66">
        <f t="shared" si="120"/>
        <v>0</v>
      </c>
      <c r="AT50" s="66"/>
      <c r="AU50" s="72"/>
      <c r="AV50" s="72"/>
      <c r="AW50" s="72"/>
      <c r="AX50" s="72"/>
      <c r="AY50" s="72"/>
      <c r="AZ50" s="72"/>
      <c r="BA50" s="72"/>
      <c r="BB50" s="72"/>
      <c r="BC50" s="72"/>
      <c r="BD50" s="66"/>
      <c r="BE50" s="66"/>
    </row>
    <row r="51" spans="6:57" ht="15.75" customHeight="1" x14ac:dyDescent="0.2">
      <c r="F51" s="300" t="s">
        <v>8</v>
      </c>
      <c r="G51" s="18" t="s">
        <v>9</v>
      </c>
      <c r="H51" s="18">
        <v>1952</v>
      </c>
      <c r="I51" s="18" t="s">
        <v>10</v>
      </c>
      <c r="J51" s="105">
        <v>0</v>
      </c>
      <c r="K51" s="105">
        <v>0</v>
      </c>
      <c r="L51" s="105">
        <v>0</v>
      </c>
      <c r="M51" s="105">
        <v>0</v>
      </c>
      <c r="N51" s="105">
        <v>4</v>
      </c>
      <c r="P51" s="74">
        <f t="shared" si="102"/>
        <v>4</v>
      </c>
      <c r="Q51" s="6">
        <f t="shared" si="103"/>
        <v>0</v>
      </c>
      <c r="R51" s="6">
        <f t="shared" si="104"/>
        <v>0</v>
      </c>
      <c r="S51" s="74">
        <f t="shared" ref="S51:S55" si="121">(SUM(J51:N51)-P51-Q51)/3</f>
        <v>0</v>
      </c>
      <c r="T51" s="102">
        <f t="shared" ref="T51:T55" si="122">(P51+Q51)/2 -S51</f>
        <v>2</v>
      </c>
      <c r="U51" s="49"/>
      <c r="V51" s="102">
        <f t="shared" si="105"/>
        <v>4</v>
      </c>
      <c r="W51" s="66">
        <f t="shared" si="106"/>
        <v>0.375</v>
      </c>
      <c r="Y51" s="6">
        <f t="shared" ref="Y51:Y55" si="123">SUM(U6:Y6)</f>
        <v>9</v>
      </c>
      <c r="Z51" s="66">
        <f t="shared" ref="Z51:Z55" si="124">IF(Y51=0,0, (U6/Y51)^2 + (V6/Y51)^2 + (W6/Y51)^2 + (X6/Y51)^2 + (Y6/Y51)^2)</f>
        <v>0.40740740740740738</v>
      </c>
      <c r="AA51" s="66">
        <f t="shared" ref="AA51:AA55" si="125">AC51-Z51</f>
        <v>0.59259259259259256</v>
      </c>
      <c r="AB51" s="74">
        <f t="shared" si="107"/>
        <v>4</v>
      </c>
      <c r="AC51" s="66">
        <f t="shared" si="108"/>
        <v>1</v>
      </c>
      <c r="AD51" s="103"/>
      <c r="AE51" s="66">
        <f t="shared" ref="AE51:AE55" si="126">IF(AND(P51&gt;=3, Q51&gt;=3), (P51+Q51)/AB51, IF(Q51&gt;=3, Q51/AB51, 0))</f>
        <v>0</v>
      </c>
      <c r="AF51" s="6">
        <f t="shared" si="109"/>
        <v>15</v>
      </c>
      <c r="AG51" s="66">
        <f t="shared" si="110"/>
        <v>0.21777777777777779</v>
      </c>
      <c r="AH51" s="66"/>
      <c r="AI51" s="104">
        <f t="shared" si="111"/>
        <v>0.78222222222222215</v>
      </c>
      <c r="AK51" s="6">
        <f t="shared" si="112"/>
        <v>4</v>
      </c>
      <c r="AL51" s="6">
        <f t="shared" si="113"/>
        <v>4</v>
      </c>
      <c r="AM51" s="6">
        <f t="shared" si="114"/>
        <v>3</v>
      </c>
      <c r="AN51" s="6">
        <f t="shared" si="115"/>
        <v>2</v>
      </c>
      <c r="AO51" s="74">
        <f t="shared" si="116"/>
        <v>2</v>
      </c>
      <c r="AP51" s="66">
        <f t="shared" si="117"/>
        <v>0.53333333333333333</v>
      </c>
      <c r="AQ51" s="66">
        <f t="shared" si="118"/>
        <v>0</v>
      </c>
      <c r="AR51" s="78">
        <f t="shared" si="119"/>
        <v>0</v>
      </c>
      <c r="AS51" s="66">
        <f t="shared" si="120"/>
        <v>0</v>
      </c>
      <c r="AT51" s="66"/>
      <c r="AU51" s="72"/>
      <c r="AV51" s="72"/>
      <c r="AW51" s="72"/>
      <c r="AX51" s="72"/>
      <c r="AY51" s="72"/>
      <c r="AZ51" s="72"/>
      <c r="BA51" s="72"/>
      <c r="BB51" s="72"/>
      <c r="BC51" s="72"/>
      <c r="BD51" s="66"/>
      <c r="BE51" s="66"/>
    </row>
    <row r="52" spans="6:57" ht="15.75" customHeight="1" x14ac:dyDescent="0.2">
      <c r="F52" s="301"/>
      <c r="G52" s="18" t="s">
        <v>11</v>
      </c>
      <c r="H52" s="18">
        <v>1945</v>
      </c>
      <c r="I52" s="18" t="s">
        <v>12</v>
      </c>
      <c r="J52" s="105">
        <v>0</v>
      </c>
      <c r="K52" s="105">
        <v>2</v>
      </c>
      <c r="L52" s="105">
        <v>0</v>
      </c>
      <c r="M52" s="105">
        <v>4</v>
      </c>
      <c r="N52" s="105">
        <v>3</v>
      </c>
      <c r="P52" s="74">
        <f t="shared" si="102"/>
        <v>4</v>
      </c>
      <c r="Q52" s="6">
        <f t="shared" si="103"/>
        <v>3</v>
      </c>
      <c r="R52" s="6">
        <f t="shared" si="104"/>
        <v>2</v>
      </c>
      <c r="S52" s="74">
        <f t="shared" si="121"/>
        <v>0.66666666666666663</v>
      </c>
      <c r="T52" s="102">
        <f t="shared" si="122"/>
        <v>2.8333333333333335</v>
      </c>
      <c r="U52" s="49"/>
      <c r="V52" s="102">
        <f t="shared" si="105"/>
        <v>12</v>
      </c>
      <c r="W52" s="66">
        <f t="shared" si="106"/>
        <v>0.29166666666666663</v>
      </c>
      <c r="Y52" s="6">
        <f t="shared" si="123"/>
        <v>12</v>
      </c>
      <c r="Z52" s="66">
        <f t="shared" si="124"/>
        <v>0.27777777777777779</v>
      </c>
      <c r="AA52" s="66">
        <f t="shared" si="125"/>
        <v>8.0246913580246881E-2</v>
      </c>
      <c r="AB52" s="74">
        <f t="shared" si="107"/>
        <v>9</v>
      </c>
      <c r="AC52" s="66">
        <f t="shared" si="108"/>
        <v>0.35802469135802467</v>
      </c>
      <c r="AD52" s="103"/>
      <c r="AE52" s="66">
        <f t="shared" si="126"/>
        <v>0.77777777777777779</v>
      </c>
      <c r="AF52" s="6">
        <f t="shared" si="109"/>
        <v>18</v>
      </c>
      <c r="AG52" s="66">
        <f t="shared" si="110"/>
        <v>0.20370370370370369</v>
      </c>
      <c r="AH52" s="66"/>
      <c r="AI52" s="104">
        <f t="shared" si="111"/>
        <v>0.15432098765432098</v>
      </c>
      <c r="AK52" s="6">
        <f t="shared" si="112"/>
        <v>4</v>
      </c>
      <c r="AL52" s="6">
        <f t="shared" si="113"/>
        <v>4</v>
      </c>
      <c r="AM52" s="6">
        <f t="shared" si="114"/>
        <v>4</v>
      </c>
      <c r="AN52" s="6">
        <f t="shared" si="115"/>
        <v>3</v>
      </c>
      <c r="AO52" s="74">
        <f t="shared" si="116"/>
        <v>3</v>
      </c>
      <c r="AP52" s="66">
        <f t="shared" si="117"/>
        <v>0.44444444444444442</v>
      </c>
      <c r="AQ52" s="66">
        <f t="shared" si="118"/>
        <v>0.66666666666666663</v>
      </c>
      <c r="AR52" s="78">
        <f t="shared" si="119"/>
        <v>0</v>
      </c>
      <c r="AS52" s="66">
        <f t="shared" si="120"/>
        <v>0</v>
      </c>
      <c r="AT52" s="66"/>
      <c r="AU52" s="72"/>
      <c r="AV52" s="72"/>
      <c r="AW52" s="72"/>
      <c r="AX52" s="72"/>
      <c r="AY52" s="72"/>
      <c r="AZ52" s="72"/>
      <c r="BA52" s="72"/>
      <c r="BB52" s="72"/>
      <c r="BC52" s="72"/>
      <c r="BD52" s="66"/>
      <c r="BE52" s="66"/>
    </row>
    <row r="53" spans="6:57" ht="15.75" customHeight="1" x14ac:dyDescent="0.2">
      <c r="F53" s="301"/>
      <c r="G53" s="18" t="s">
        <v>13</v>
      </c>
      <c r="H53" s="18">
        <v>1891</v>
      </c>
      <c r="I53" s="18" t="s">
        <v>14</v>
      </c>
      <c r="J53" s="105">
        <v>0</v>
      </c>
      <c r="K53" s="105">
        <v>3</v>
      </c>
      <c r="L53" s="105">
        <v>2</v>
      </c>
      <c r="M53" s="105">
        <v>2</v>
      </c>
      <c r="N53" s="105">
        <v>4</v>
      </c>
      <c r="P53" s="74">
        <f t="shared" si="102"/>
        <v>4</v>
      </c>
      <c r="Q53" s="6">
        <f t="shared" si="103"/>
        <v>3</v>
      </c>
      <c r="R53" s="6">
        <f t="shared" si="104"/>
        <v>2</v>
      </c>
      <c r="S53" s="74">
        <f t="shared" si="121"/>
        <v>1.3333333333333333</v>
      </c>
      <c r="T53" s="102">
        <f t="shared" si="122"/>
        <v>2.166666666666667</v>
      </c>
      <c r="U53" s="49"/>
      <c r="V53" s="102">
        <f t="shared" si="105"/>
        <v>11</v>
      </c>
      <c r="W53" s="66">
        <f t="shared" si="106"/>
        <v>0.256198347107438</v>
      </c>
      <c r="Y53" s="6">
        <f t="shared" si="123"/>
        <v>12</v>
      </c>
      <c r="Z53" s="66">
        <f t="shared" si="124"/>
        <v>0.29166666666666663</v>
      </c>
      <c r="AA53" s="66">
        <f t="shared" si="125"/>
        <v>-1.8939393939393923E-2</v>
      </c>
      <c r="AB53" s="74">
        <f t="shared" si="107"/>
        <v>11</v>
      </c>
      <c r="AC53" s="66">
        <f t="shared" si="108"/>
        <v>0.27272727272727271</v>
      </c>
      <c r="AD53" s="103"/>
      <c r="AE53" s="66">
        <f t="shared" si="126"/>
        <v>0.63636363636363635</v>
      </c>
      <c r="AF53" s="6">
        <f t="shared" si="109"/>
        <v>17</v>
      </c>
      <c r="AG53" s="66">
        <f t="shared" si="110"/>
        <v>0.21107266435986161</v>
      </c>
      <c r="AH53" s="66"/>
      <c r="AI53" s="104">
        <f t="shared" si="111"/>
        <v>6.1654608367411101E-2</v>
      </c>
      <c r="AK53" s="6">
        <f t="shared" si="112"/>
        <v>4</v>
      </c>
      <c r="AL53" s="6">
        <f t="shared" si="113"/>
        <v>4</v>
      </c>
      <c r="AM53" s="6">
        <f t="shared" si="114"/>
        <v>4</v>
      </c>
      <c r="AN53" s="6">
        <f t="shared" si="115"/>
        <v>3</v>
      </c>
      <c r="AO53" s="74">
        <f t="shared" si="116"/>
        <v>2</v>
      </c>
      <c r="AP53" s="66">
        <f t="shared" si="117"/>
        <v>0.47058823529411764</v>
      </c>
      <c r="AQ53" s="66">
        <f t="shared" si="118"/>
        <v>0.70588235294117652</v>
      </c>
      <c r="AR53" s="78">
        <f t="shared" si="119"/>
        <v>0</v>
      </c>
      <c r="AS53" s="66">
        <f t="shared" si="120"/>
        <v>0</v>
      </c>
      <c r="AT53" s="66"/>
      <c r="AU53" s="72"/>
      <c r="AV53" s="72"/>
      <c r="AW53" s="72"/>
      <c r="AX53" s="72"/>
      <c r="AY53" s="72"/>
      <c r="AZ53" s="72"/>
      <c r="BA53" s="72"/>
      <c r="BB53" s="72"/>
      <c r="BC53" s="72"/>
      <c r="BD53" s="66"/>
      <c r="BE53" s="66"/>
    </row>
    <row r="54" spans="6:57" ht="15.75" customHeight="1" x14ac:dyDescent="0.2">
      <c r="F54" s="301"/>
      <c r="G54" s="18" t="s">
        <v>15</v>
      </c>
      <c r="H54" s="18">
        <v>1954</v>
      </c>
      <c r="I54" s="18" t="s">
        <v>16</v>
      </c>
      <c r="J54" s="105">
        <v>1</v>
      </c>
      <c r="K54" s="105">
        <v>1</v>
      </c>
      <c r="L54" s="105">
        <v>0</v>
      </c>
      <c r="M54" s="105">
        <v>3</v>
      </c>
      <c r="N54" s="105">
        <v>4</v>
      </c>
      <c r="P54" s="74">
        <f t="shared" si="102"/>
        <v>4</v>
      </c>
      <c r="Q54" s="6">
        <f t="shared" si="103"/>
        <v>3</v>
      </c>
      <c r="R54" s="6">
        <f t="shared" si="104"/>
        <v>1</v>
      </c>
      <c r="S54" s="74">
        <f t="shared" si="121"/>
        <v>0.66666666666666663</v>
      </c>
      <c r="T54" s="102">
        <f t="shared" si="122"/>
        <v>2.8333333333333335</v>
      </c>
      <c r="U54" s="49"/>
      <c r="V54" s="102">
        <f t="shared" si="105"/>
        <v>15</v>
      </c>
      <c r="W54" s="66">
        <f t="shared" si="106"/>
        <v>0.23555555555555557</v>
      </c>
      <c r="Y54" s="6">
        <f t="shared" si="123"/>
        <v>15</v>
      </c>
      <c r="Z54" s="66">
        <f t="shared" si="124"/>
        <v>0.22666666666666668</v>
      </c>
      <c r="AA54" s="66">
        <f t="shared" si="125"/>
        <v>0.10666666666666663</v>
      </c>
      <c r="AB54" s="74">
        <f t="shared" si="107"/>
        <v>9</v>
      </c>
      <c r="AC54" s="66">
        <f t="shared" si="108"/>
        <v>0.33333333333333331</v>
      </c>
      <c r="AD54" s="103"/>
      <c r="AE54" s="66">
        <f t="shared" si="126"/>
        <v>0.77777777777777779</v>
      </c>
      <c r="AF54" s="6">
        <f t="shared" si="109"/>
        <v>18</v>
      </c>
      <c r="AG54" s="66">
        <f t="shared" si="110"/>
        <v>0.20370370370370369</v>
      </c>
      <c r="AH54" s="66"/>
      <c r="AI54" s="104">
        <f t="shared" si="111"/>
        <v>0.12962962962962962</v>
      </c>
      <c r="AK54" s="6">
        <f t="shared" si="112"/>
        <v>4</v>
      </c>
      <c r="AL54" s="6">
        <f t="shared" si="113"/>
        <v>4</v>
      </c>
      <c r="AM54" s="6">
        <f t="shared" si="114"/>
        <v>4</v>
      </c>
      <c r="AN54" s="6">
        <f t="shared" si="115"/>
        <v>3</v>
      </c>
      <c r="AO54" s="74">
        <f t="shared" si="116"/>
        <v>3</v>
      </c>
      <c r="AP54" s="66">
        <f t="shared" si="117"/>
        <v>0.44444444444444442</v>
      </c>
      <c r="AQ54" s="66">
        <f t="shared" si="118"/>
        <v>0.66666666666666663</v>
      </c>
      <c r="AR54" s="78">
        <f t="shared" si="119"/>
        <v>0</v>
      </c>
      <c r="AS54" s="66">
        <f t="shared" si="120"/>
        <v>0</v>
      </c>
      <c r="AT54" s="66"/>
      <c r="AU54" s="72"/>
      <c r="AV54" s="72"/>
      <c r="AW54" s="72"/>
      <c r="AX54" s="72"/>
      <c r="AY54" s="72"/>
      <c r="AZ54" s="72"/>
      <c r="BA54" s="72"/>
      <c r="BB54" s="72"/>
      <c r="BC54" s="72"/>
      <c r="BD54" s="66"/>
      <c r="BE54" s="66"/>
    </row>
    <row r="55" spans="6:57" ht="15.75" customHeight="1" x14ac:dyDescent="0.2">
      <c r="F55" s="301"/>
      <c r="G55" s="18" t="s">
        <v>17</v>
      </c>
      <c r="H55" s="18">
        <v>1960</v>
      </c>
      <c r="I55" s="18" t="s">
        <v>18</v>
      </c>
      <c r="J55" s="105">
        <v>0</v>
      </c>
      <c r="K55" s="105">
        <v>1</v>
      </c>
      <c r="L55" s="105">
        <v>0</v>
      </c>
      <c r="M55" s="105">
        <v>3</v>
      </c>
      <c r="N55" s="105">
        <v>4</v>
      </c>
      <c r="P55" s="74">
        <f t="shared" si="102"/>
        <v>4</v>
      </c>
      <c r="Q55" s="6">
        <f t="shared" si="103"/>
        <v>3</v>
      </c>
      <c r="R55" s="6">
        <f t="shared" si="104"/>
        <v>1</v>
      </c>
      <c r="S55" s="74">
        <f t="shared" si="121"/>
        <v>0.33333333333333331</v>
      </c>
      <c r="T55" s="102">
        <f t="shared" si="122"/>
        <v>3.1666666666666665</v>
      </c>
      <c r="U55" s="49"/>
      <c r="V55" s="102">
        <f t="shared" si="105"/>
        <v>13</v>
      </c>
      <c r="W55" s="66">
        <f t="shared" si="106"/>
        <v>0.25443786982248529</v>
      </c>
      <c r="Y55" s="6">
        <f t="shared" si="123"/>
        <v>16</v>
      </c>
      <c r="Z55" s="66">
        <f t="shared" si="124"/>
        <v>0.2265625</v>
      </c>
      <c r="AA55" s="66">
        <f t="shared" si="125"/>
        <v>0.1796875</v>
      </c>
      <c r="AB55" s="74">
        <f t="shared" si="107"/>
        <v>8</v>
      </c>
      <c r="AC55" s="66">
        <f t="shared" si="108"/>
        <v>0.40625</v>
      </c>
      <c r="AD55" s="103"/>
      <c r="AE55" s="66">
        <f t="shared" si="126"/>
        <v>0.875</v>
      </c>
      <c r="AF55" s="6">
        <f t="shared" si="109"/>
        <v>12</v>
      </c>
      <c r="AG55" s="66">
        <f t="shared" si="110"/>
        <v>0.20833333333333331</v>
      </c>
      <c r="AH55" s="66"/>
      <c r="AI55" s="104">
        <f t="shared" si="111"/>
        <v>0.19791666666666669</v>
      </c>
      <c r="AK55" s="6">
        <f t="shared" si="112"/>
        <v>3</v>
      </c>
      <c r="AL55" s="6">
        <f t="shared" si="113"/>
        <v>3</v>
      </c>
      <c r="AM55" s="6">
        <f t="shared" si="114"/>
        <v>2</v>
      </c>
      <c r="AN55" s="6">
        <f t="shared" si="115"/>
        <v>2</v>
      </c>
      <c r="AO55" s="74">
        <f t="shared" si="116"/>
        <v>2</v>
      </c>
      <c r="AP55" s="66" t="b">
        <f t="shared" si="117"/>
        <v>0</v>
      </c>
      <c r="AQ55" s="66">
        <f t="shared" si="118"/>
        <v>0</v>
      </c>
      <c r="AR55" s="78">
        <f t="shared" si="119"/>
        <v>0</v>
      </c>
      <c r="AS55" s="66">
        <f t="shared" si="120"/>
        <v>0</v>
      </c>
      <c r="AT55" s="66"/>
      <c r="AU55" s="72"/>
      <c r="AV55" s="72"/>
      <c r="AW55" s="72"/>
      <c r="AX55" s="72"/>
      <c r="AY55" s="72"/>
      <c r="AZ55" s="72"/>
      <c r="BA55" s="72"/>
      <c r="BB55" s="72"/>
      <c r="BC55" s="72"/>
      <c r="BD55" s="66"/>
      <c r="BE55" s="66"/>
    </row>
    <row r="56" spans="6:57" ht="15.75" customHeight="1" x14ac:dyDescent="0.2">
      <c r="F56" s="5"/>
      <c r="G56" s="39" t="s">
        <v>119</v>
      </c>
      <c r="H56" s="39"/>
      <c r="I56" s="39"/>
      <c r="J56" s="106">
        <v>0</v>
      </c>
      <c r="K56" s="106">
        <v>0</v>
      </c>
      <c r="L56" s="105">
        <v>1</v>
      </c>
      <c r="M56" s="105">
        <v>1</v>
      </c>
      <c r="N56" s="105">
        <v>2</v>
      </c>
      <c r="P56" s="6">
        <f t="shared" si="102"/>
        <v>2</v>
      </c>
      <c r="Q56" s="6">
        <f t="shared" si="103"/>
        <v>1</v>
      </c>
      <c r="R56" s="6">
        <f t="shared" si="104"/>
        <v>1</v>
      </c>
      <c r="S56" s="74"/>
      <c r="T56" s="102"/>
      <c r="U56" s="49"/>
      <c r="V56" s="102">
        <f t="shared" si="105"/>
        <v>15</v>
      </c>
      <c r="W56" s="66">
        <f t="shared" si="106"/>
        <v>0.23555555555555557</v>
      </c>
      <c r="Z56" s="66"/>
      <c r="AB56" s="6">
        <f t="shared" si="107"/>
        <v>4</v>
      </c>
      <c r="AC56" s="66">
        <f t="shared" si="108"/>
        <v>0.375</v>
      </c>
      <c r="AD56" s="103"/>
      <c r="AE56" s="66"/>
      <c r="AF56" s="6">
        <f t="shared" si="109"/>
        <v>15</v>
      </c>
      <c r="AG56" s="66">
        <f t="shared" si="110"/>
        <v>0.21777777777777779</v>
      </c>
      <c r="AH56" s="66"/>
      <c r="AI56" s="104">
        <f t="shared" si="111"/>
        <v>0.15722222222222221</v>
      </c>
      <c r="AK56" s="6">
        <f t="shared" si="112"/>
        <v>4</v>
      </c>
      <c r="AL56" s="6">
        <f t="shared" si="113"/>
        <v>4</v>
      </c>
      <c r="AM56" s="6">
        <f t="shared" si="114"/>
        <v>3</v>
      </c>
      <c r="AN56" s="6">
        <f t="shared" si="115"/>
        <v>2</v>
      </c>
      <c r="AO56" s="74">
        <f t="shared" si="116"/>
        <v>2</v>
      </c>
      <c r="AP56" s="66">
        <f t="shared" si="117"/>
        <v>0.53333333333333333</v>
      </c>
      <c r="AQ56" s="66">
        <f t="shared" si="118"/>
        <v>0</v>
      </c>
      <c r="AR56" s="78">
        <f t="shared" si="119"/>
        <v>0</v>
      </c>
      <c r="AS56" s="66">
        <f t="shared" si="120"/>
        <v>0</v>
      </c>
      <c r="AT56" s="66"/>
      <c r="AU56" s="72"/>
      <c r="AV56" s="72"/>
      <c r="AW56" s="72"/>
      <c r="AX56" s="72"/>
      <c r="AY56" s="72"/>
      <c r="AZ56" s="72"/>
      <c r="BA56" s="72"/>
      <c r="BB56" s="72"/>
      <c r="BC56" s="72"/>
      <c r="BD56" s="66"/>
      <c r="BE56" s="66"/>
    </row>
    <row r="57" spans="6:57" ht="15.75" customHeight="1" x14ac:dyDescent="0.2">
      <c r="F57" s="5"/>
      <c r="G57" s="39" t="s">
        <v>120</v>
      </c>
      <c r="H57" s="39"/>
      <c r="I57" s="39"/>
      <c r="J57" s="106">
        <v>0</v>
      </c>
      <c r="K57" s="106">
        <v>0</v>
      </c>
      <c r="L57" s="105">
        <v>2</v>
      </c>
      <c r="M57" s="105">
        <v>2</v>
      </c>
      <c r="N57" s="105">
        <v>3</v>
      </c>
      <c r="P57" s="6">
        <f t="shared" si="102"/>
        <v>3</v>
      </c>
      <c r="Q57" s="6">
        <f t="shared" si="103"/>
        <v>2</v>
      </c>
      <c r="R57" s="6">
        <f t="shared" si="104"/>
        <v>2</v>
      </c>
      <c r="S57" s="74"/>
      <c r="T57" s="102"/>
      <c r="U57" s="49"/>
      <c r="V57" s="102">
        <f t="shared" si="105"/>
        <v>14</v>
      </c>
      <c r="W57" s="66">
        <f t="shared" si="106"/>
        <v>0.25510204081632654</v>
      </c>
      <c r="Z57" s="66"/>
      <c r="AB57" s="6">
        <f t="shared" si="107"/>
        <v>7</v>
      </c>
      <c r="AC57" s="66">
        <f t="shared" si="108"/>
        <v>0.34693877551020402</v>
      </c>
      <c r="AD57" s="103"/>
      <c r="AE57" s="66"/>
      <c r="AF57" s="6">
        <f t="shared" si="109"/>
        <v>14</v>
      </c>
      <c r="AG57" s="66">
        <f t="shared" si="110"/>
        <v>0.22448979591836732</v>
      </c>
      <c r="AH57" s="66"/>
      <c r="AI57" s="104">
        <f t="shared" si="111"/>
        <v>0.1224489795918367</v>
      </c>
      <c r="AK57" s="6">
        <f t="shared" si="112"/>
        <v>4</v>
      </c>
      <c r="AL57" s="6">
        <f t="shared" si="113"/>
        <v>4</v>
      </c>
      <c r="AM57" s="6">
        <f t="shared" si="114"/>
        <v>2</v>
      </c>
      <c r="AN57" s="6">
        <f t="shared" si="115"/>
        <v>2</v>
      </c>
      <c r="AO57" s="74">
        <f t="shared" si="116"/>
        <v>2</v>
      </c>
      <c r="AP57" s="66">
        <f t="shared" si="117"/>
        <v>0.5714285714285714</v>
      </c>
      <c r="AQ57" s="66">
        <f t="shared" si="118"/>
        <v>0</v>
      </c>
      <c r="AR57" s="78">
        <f t="shared" si="119"/>
        <v>0</v>
      </c>
      <c r="AS57" s="66">
        <f t="shared" si="120"/>
        <v>0</v>
      </c>
      <c r="AT57" s="66"/>
      <c r="AU57" s="72"/>
      <c r="AV57" s="72"/>
      <c r="AW57" s="72"/>
      <c r="AX57" s="72"/>
      <c r="AY57" s="72"/>
      <c r="AZ57" s="72"/>
      <c r="BA57" s="72"/>
      <c r="BB57" s="72"/>
      <c r="BC57" s="72"/>
      <c r="BD57" s="66"/>
      <c r="BE57" s="66"/>
    </row>
    <row r="58" spans="6:57" ht="15.75" customHeight="1" x14ac:dyDescent="0.2">
      <c r="F58" s="300" t="s">
        <v>19</v>
      </c>
      <c r="G58" s="39" t="s">
        <v>20</v>
      </c>
      <c r="H58" s="39">
        <v>1970</v>
      </c>
      <c r="I58" s="39" t="s">
        <v>21</v>
      </c>
      <c r="J58" s="105">
        <v>2</v>
      </c>
      <c r="K58" s="105">
        <v>0</v>
      </c>
      <c r="L58" s="105">
        <v>1</v>
      </c>
      <c r="M58" s="105">
        <v>4</v>
      </c>
      <c r="N58" s="105">
        <v>0</v>
      </c>
      <c r="P58" s="74">
        <f t="shared" si="102"/>
        <v>4</v>
      </c>
      <c r="Q58" s="6">
        <f t="shared" si="103"/>
        <v>2</v>
      </c>
      <c r="R58" s="6">
        <f t="shared" si="104"/>
        <v>1</v>
      </c>
      <c r="S58" s="74">
        <f t="shared" ref="S58:S62" si="127">(SUM(J58:N58)-P58-Q58)/3</f>
        <v>0.33333333333333331</v>
      </c>
      <c r="T58" s="102">
        <f t="shared" ref="T58:T62" si="128">(P58+Q58)/2 -S58</f>
        <v>2.6666666666666665</v>
      </c>
      <c r="U58" s="49"/>
      <c r="V58" s="102">
        <f t="shared" si="105"/>
        <v>8</v>
      </c>
      <c r="W58" s="66">
        <f t="shared" si="106"/>
        <v>0.28125</v>
      </c>
      <c r="Y58" s="6">
        <f t="shared" ref="Y58:Y62" si="129">SUM(U13:Y13)</f>
        <v>9</v>
      </c>
      <c r="Z58" s="66">
        <f t="shared" ref="Z58:Z62" si="130">IF(Y58=0,0, (U13/Y58)^2 + (V13/Y58)^2 + (W13/Y58)^2 + (X13/Y58)^2 + (Y13/Y58)^2)</f>
        <v>0.30864197530864196</v>
      </c>
      <c r="AA58" s="66">
        <f t="shared" ref="AA58:AA62" si="131">AC58-Z58</f>
        <v>0.11992945326278659</v>
      </c>
      <c r="AB58" s="74">
        <f t="shared" si="107"/>
        <v>7</v>
      </c>
      <c r="AC58" s="66">
        <f t="shared" si="108"/>
        <v>0.42857142857142855</v>
      </c>
      <c r="AD58" s="103"/>
      <c r="AE58" s="66">
        <f t="shared" ref="AE58:AE62" si="132">IF(AND(P58&gt;=3, Q58&gt;=3), (P58+Q58)/AB58, IF(Q58&gt;=3, Q58/AB58, 0))</f>
        <v>0</v>
      </c>
      <c r="AF58" s="6">
        <f t="shared" si="109"/>
        <v>12</v>
      </c>
      <c r="AG58" s="66">
        <f t="shared" si="110"/>
        <v>0.22222222222222221</v>
      </c>
      <c r="AH58" s="66"/>
      <c r="AI58" s="104">
        <f t="shared" si="111"/>
        <v>0.20634920634920634</v>
      </c>
      <c r="AK58" s="6">
        <f t="shared" si="112"/>
        <v>3</v>
      </c>
      <c r="AL58" s="6">
        <f t="shared" si="113"/>
        <v>3</v>
      </c>
      <c r="AM58" s="6">
        <f t="shared" si="114"/>
        <v>3</v>
      </c>
      <c r="AN58" s="6">
        <f t="shared" si="115"/>
        <v>2</v>
      </c>
      <c r="AO58" s="74">
        <f t="shared" si="116"/>
        <v>1</v>
      </c>
      <c r="AP58" s="66" t="b">
        <f t="shared" si="117"/>
        <v>0</v>
      </c>
      <c r="AQ58" s="66">
        <f t="shared" si="118"/>
        <v>0</v>
      </c>
      <c r="AR58" s="78">
        <f t="shared" si="119"/>
        <v>0</v>
      </c>
      <c r="AS58" s="66">
        <f t="shared" si="120"/>
        <v>0</v>
      </c>
      <c r="AT58" s="66"/>
      <c r="AU58" s="72"/>
      <c r="AV58" s="72"/>
      <c r="AW58" s="72"/>
      <c r="AX58" s="72"/>
      <c r="AY58" s="72"/>
      <c r="AZ58" s="72"/>
      <c r="BA58" s="72"/>
      <c r="BB58" s="72"/>
      <c r="BC58" s="72"/>
      <c r="BD58" s="66"/>
      <c r="BE58" s="66"/>
    </row>
    <row r="59" spans="6:57" ht="15.75" customHeight="1" x14ac:dyDescent="0.2">
      <c r="F59" s="301"/>
      <c r="G59" s="39" t="s">
        <v>22</v>
      </c>
      <c r="H59" s="39">
        <v>1950</v>
      </c>
      <c r="I59" s="39" t="s">
        <v>23</v>
      </c>
      <c r="J59" s="105">
        <v>3</v>
      </c>
      <c r="K59" s="105">
        <v>3</v>
      </c>
      <c r="L59" s="105">
        <v>2</v>
      </c>
      <c r="M59" s="105">
        <v>1</v>
      </c>
      <c r="N59" s="105">
        <v>1</v>
      </c>
      <c r="P59" s="74">
        <f t="shared" si="102"/>
        <v>3</v>
      </c>
      <c r="Q59" s="6">
        <f t="shared" si="103"/>
        <v>3</v>
      </c>
      <c r="R59" s="6">
        <f t="shared" si="104"/>
        <v>2</v>
      </c>
      <c r="S59" s="74">
        <f t="shared" si="127"/>
        <v>1.3333333333333333</v>
      </c>
      <c r="T59" s="102">
        <f t="shared" si="128"/>
        <v>1.6666666666666667</v>
      </c>
      <c r="U59" s="49"/>
      <c r="V59" s="102">
        <f t="shared" si="105"/>
        <v>8</v>
      </c>
      <c r="W59" s="66">
        <f t="shared" si="106"/>
        <v>0.21875</v>
      </c>
      <c r="Y59" s="6">
        <f t="shared" si="129"/>
        <v>11</v>
      </c>
      <c r="Z59" s="66">
        <f t="shared" si="130"/>
        <v>0.28925619834710736</v>
      </c>
      <c r="AA59" s="66">
        <f t="shared" si="131"/>
        <v>-4.9256198347107344E-2</v>
      </c>
      <c r="AB59" s="74">
        <f t="shared" si="107"/>
        <v>10</v>
      </c>
      <c r="AC59" s="66">
        <f t="shared" si="108"/>
        <v>0.24000000000000002</v>
      </c>
      <c r="AD59" s="103"/>
      <c r="AE59" s="66">
        <f t="shared" si="132"/>
        <v>0.6</v>
      </c>
      <c r="AF59" s="6">
        <f t="shared" si="109"/>
        <v>20</v>
      </c>
      <c r="AG59" s="66">
        <f t="shared" si="110"/>
        <v>0.20000000000000004</v>
      </c>
      <c r="AH59" s="66"/>
      <c r="AI59" s="104">
        <f t="shared" si="111"/>
        <v>3.999999999999998E-2</v>
      </c>
      <c r="AK59" s="6">
        <f t="shared" si="112"/>
        <v>4</v>
      </c>
      <c r="AL59" s="6">
        <f t="shared" si="113"/>
        <v>4</v>
      </c>
      <c r="AM59" s="6">
        <f t="shared" si="114"/>
        <v>4</v>
      </c>
      <c r="AN59" s="6">
        <f t="shared" si="115"/>
        <v>4</v>
      </c>
      <c r="AO59" s="74">
        <f t="shared" si="116"/>
        <v>4</v>
      </c>
      <c r="AP59" s="66">
        <f t="shared" si="117"/>
        <v>0.4</v>
      </c>
      <c r="AQ59" s="66">
        <f t="shared" si="118"/>
        <v>0.6</v>
      </c>
      <c r="AR59" s="78">
        <f t="shared" si="119"/>
        <v>0.8</v>
      </c>
      <c r="AS59" s="66">
        <f t="shared" si="120"/>
        <v>1</v>
      </c>
      <c r="AT59" s="66"/>
      <c r="AU59" s="72"/>
      <c r="AV59" s="72"/>
      <c r="AW59" s="72"/>
      <c r="AX59" s="72"/>
      <c r="AY59" s="72"/>
      <c r="AZ59" s="72"/>
      <c r="BA59" s="72"/>
      <c r="BB59" s="72"/>
      <c r="BC59" s="72"/>
      <c r="BD59" s="66"/>
      <c r="BE59" s="66"/>
    </row>
    <row r="60" spans="6:57" ht="15.75" customHeight="1" x14ac:dyDescent="0.2">
      <c r="F60" s="301"/>
      <c r="G60" s="39" t="s">
        <v>24</v>
      </c>
      <c r="H60" s="39">
        <v>1949</v>
      </c>
      <c r="I60" s="39" t="s">
        <v>25</v>
      </c>
      <c r="J60" s="105">
        <v>2</v>
      </c>
      <c r="K60" s="105">
        <v>1</v>
      </c>
      <c r="L60" s="105">
        <v>0</v>
      </c>
      <c r="M60" s="105">
        <v>2</v>
      </c>
      <c r="N60" s="105">
        <v>0</v>
      </c>
      <c r="P60" s="74">
        <f t="shared" si="102"/>
        <v>2</v>
      </c>
      <c r="Q60" s="6">
        <f t="shared" si="103"/>
        <v>2</v>
      </c>
      <c r="R60" s="6">
        <f t="shared" si="104"/>
        <v>1</v>
      </c>
      <c r="S60" s="74">
        <f t="shared" si="127"/>
        <v>0.33333333333333331</v>
      </c>
      <c r="T60" s="102">
        <f t="shared" si="128"/>
        <v>1.6666666666666667</v>
      </c>
      <c r="U60" s="49"/>
      <c r="V60" s="102">
        <f t="shared" si="105"/>
        <v>7</v>
      </c>
      <c r="W60" s="66">
        <f t="shared" si="106"/>
        <v>0.22448979591836732</v>
      </c>
      <c r="Y60" s="6">
        <f t="shared" si="129"/>
        <v>9</v>
      </c>
      <c r="Z60" s="66">
        <f t="shared" si="130"/>
        <v>0.40740740740740738</v>
      </c>
      <c r="AA60" s="66">
        <f t="shared" si="131"/>
        <v>-4.7407407407407287E-2</v>
      </c>
      <c r="AB60" s="74">
        <f t="shared" si="107"/>
        <v>5</v>
      </c>
      <c r="AC60" s="66">
        <f t="shared" si="108"/>
        <v>0.3600000000000001</v>
      </c>
      <c r="AD60" s="103"/>
      <c r="AE60" s="66">
        <f t="shared" si="132"/>
        <v>0</v>
      </c>
      <c r="AF60" s="6">
        <f t="shared" si="109"/>
        <v>19</v>
      </c>
      <c r="AG60" s="66">
        <f t="shared" si="110"/>
        <v>0.20221606648199444</v>
      </c>
      <c r="AH60" s="66"/>
      <c r="AI60" s="104">
        <f t="shared" si="111"/>
        <v>0.15778393351800565</v>
      </c>
      <c r="AK60" s="6">
        <f t="shared" si="112"/>
        <v>4</v>
      </c>
      <c r="AL60" s="6">
        <f t="shared" si="113"/>
        <v>4</v>
      </c>
      <c r="AM60" s="6">
        <f t="shared" si="114"/>
        <v>4</v>
      </c>
      <c r="AN60" s="6">
        <f t="shared" si="115"/>
        <v>4</v>
      </c>
      <c r="AO60" s="74">
        <f t="shared" si="116"/>
        <v>3</v>
      </c>
      <c r="AP60" s="66">
        <f t="shared" si="117"/>
        <v>0.42105263157894735</v>
      </c>
      <c r="AQ60" s="66">
        <f t="shared" si="118"/>
        <v>0.63157894736842102</v>
      </c>
      <c r="AR60" s="78">
        <f t="shared" si="119"/>
        <v>0.84210526315789469</v>
      </c>
      <c r="AS60" s="66">
        <f t="shared" si="120"/>
        <v>0</v>
      </c>
      <c r="AT60" s="66"/>
      <c r="AU60" s="72"/>
      <c r="AV60" s="72"/>
      <c r="AW60" s="72"/>
      <c r="AX60" s="72"/>
      <c r="AY60" s="72"/>
      <c r="AZ60" s="72"/>
      <c r="BA60" s="72"/>
      <c r="BB60" s="72"/>
      <c r="BC60" s="72"/>
      <c r="BD60" s="66"/>
      <c r="BE60" s="66"/>
    </row>
    <row r="61" spans="6:57" ht="15.75" customHeight="1" x14ac:dyDescent="0.2">
      <c r="F61" s="301"/>
      <c r="G61" s="39" t="s">
        <v>26</v>
      </c>
      <c r="H61" s="39">
        <v>1957</v>
      </c>
      <c r="I61" s="39" t="s">
        <v>23</v>
      </c>
      <c r="J61" s="107">
        <v>1</v>
      </c>
      <c r="K61" s="107">
        <v>0</v>
      </c>
      <c r="L61" s="107">
        <v>1</v>
      </c>
      <c r="M61" s="107">
        <v>3</v>
      </c>
      <c r="N61" s="107">
        <v>0</v>
      </c>
      <c r="P61" s="74">
        <f t="shared" si="102"/>
        <v>3</v>
      </c>
      <c r="Q61" s="6">
        <f t="shared" si="103"/>
        <v>1</v>
      </c>
      <c r="R61" s="6">
        <f t="shared" si="104"/>
        <v>1</v>
      </c>
      <c r="S61" s="74">
        <f t="shared" si="127"/>
        <v>0.33333333333333331</v>
      </c>
      <c r="T61" s="102">
        <f t="shared" si="128"/>
        <v>1.6666666666666667</v>
      </c>
      <c r="U61" s="49"/>
      <c r="V61" s="102">
        <f t="shared" si="105"/>
        <v>9</v>
      </c>
      <c r="W61" s="66">
        <f t="shared" si="106"/>
        <v>0.23456790123456789</v>
      </c>
      <c r="Y61" s="6">
        <f t="shared" si="129"/>
        <v>13</v>
      </c>
      <c r="Z61" s="66">
        <f t="shared" si="130"/>
        <v>0.25443786982248523</v>
      </c>
      <c r="AA61" s="66">
        <f t="shared" si="131"/>
        <v>0.18556213017751477</v>
      </c>
      <c r="AB61" s="74">
        <f t="shared" si="107"/>
        <v>5</v>
      </c>
      <c r="AC61" s="66">
        <f t="shared" si="108"/>
        <v>0.44</v>
      </c>
      <c r="AD61" s="103"/>
      <c r="AE61" s="66">
        <f t="shared" si="132"/>
        <v>0</v>
      </c>
      <c r="AF61" s="6">
        <f t="shared" si="109"/>
        <v>17</v>
      </c>
      <c r="AG61" s="66">
        <f t="shared" si="110"/>
        <v>0.20415224913494812</v>
      </c>
      <c r="AH61" s="66"/>
      <c r="AI61" s="104">
        <f t="shared" si="111"/>
        <v>0.23584775086505189</v>
      </c>
      <c r="AK61" s="6">
        <f t="shared" si="112"/>
        <v>4</v>
      </c>
      <c r="AL61" s="6">
        <f t="shared" si="113"/>
        <v>4</v>
      </c>
      <c r="AM61" s="6">
        <f t="shared" si="114"/>
        <v>3</v>
      </c>
      <c r="AN61" s="6">
        <f t="shared" si="115"/>
        <v>3</v>
      </c>
      <c r="AO61" s="74">
        <f t="shared" si="116"/>
        <v>3</v>
      </c>
      <c r="AP61" s="66">
        <f t="shared" si="117"/>
        <v>0.47058823529411764</v>
      </c>
      <c r="AQ61" s="66">
        <f t="shared" si="118"/>
        <v>0</v>
      </c>
      <c r="AR61" s="78">
        <f t="shared" si="119"/>
        <v>0</v>
      </c>
      <c r="AS61" s="66">
        <f t="shared" si="120"/>
        <v>0</v>
      </c>
      <c r="AT61" s="66"/>
      <c r="AU61" s="72"/>
      <c r="AV61" s="72"/>
      <c r="AW61" s="72"/>
      <c r="AX61" s="72"/>
      <c r="AY61" s="72"/>
      <c r="AZ61" s="72"/>
      <c r="BA61" s="72"/>
      <c r="BB61" s="72"/>
      <c r="BC61" s="72"/>
      <c r="BD61" s="66"/>
      <c r="BE61" s="66"/>
    </row>
    <row r="62" spans="6:57" ht="15.75" customHeight="1" x14ac:dyDescent="0.2">
      <c r="F62" s="301"/>
      <c r="G62" s="39" t="s">
        <v>27</v>
      </c>
      <c r="H62" s="39">
        <v>1980</v>
      </c>
      <c r="I62" s="108" t="s">
        <v>28</v>
      </c>
      <c r="J62" s="11">
        <v>1</v>
      </c>
      <c r="K62" s="11">
        <v>3</v>
      </c>
      <c r="L62" s="11">
        <v>0</v>
      </c>
      <c r="M62" s="11">
        <v>3</v>
      </c>
      <c r="N62" s="11">
        <v>1</v>
      </c>
      <c r="P62" s="74">
        <f t="shared" si="102"/>
        <v>3</v>
      </c>
      <c r="Q62" s="6">
        <f t="shared" si="103"/>
        <v>3</v>
      </c>
      <c r="R62" s="6">
        <f t="shared" si="104"/>
        <v>1</v>
      </c>
      <c r="S62" s="74">
        <f t="shared" si="127"/>
        <v>0.66666666666666663</v>
      </c>
      <c r="T62" s="102">
        <f t="shared" si="128"/>
        <v>2.3333333333333335</v>
      </c>
      <c r="U62" s="49"/>
      <c r="V62" s="102">
        <f t="shared" si="105"/>
        <v>6</v>
      </c>
      <c r="W62" s="66">
        <f t="shared" si="106"/>
        <v>0.33333333333333331</v>
      </c>
      <c r="Y62" s="6">
        <f t="shared" si="129"/>
        <v>10</v>
      </c>
      <c r="Z62" s="66">
        <f t="shared" si="130"/>
        <v>0.28000000000000003</v>
      </c>
      <c r="AA62" s="66">
        <f t="shared" si="131"/>
        <v>3.2499999999999973E-2</v>
      </c>
      <c r="AB62" s="74">
        <f t="shared" si="107"/>
        <v>8</v>
      </c>
      <c r="AC62" s="66">
        <f t="shared" si="108"/>
        <v>0.3125</v>
      </c>
      <c r="AD62" s="103"/>
      <c r="AE62" s="66">
        <f t="shared" si="132"/>
        <v>0.75</v>
      </c>
      <c r="AF62" s="6">
        <f t="shared" si="109"/>
        <v>18</v>
      </c>
      <c r="AG62" s="66">
        <f t="shared" si="110"/>
        <v>0.20370370370370369</v>
      </c>
      <c r="AH62" s="66"/>
      <c r="AI62" s="104">
        <f t="shared" si="111"/>
        <v>0.10879629629629631</v>
      </c>
      <c r="AK62" s="6">
        <f t="shared" si="112"/>
        <v>4</v>
      </c>
      <c r="AL62" s="6">
        <f t="shared" si="113"/>
        <v>4</v>
      </c>
      <c r="AM62" s="6">
        <f t="shared" si="114"/>
        <v>4</v>
      </c>
      <c r="AN62" s="6">
        <f t="shared" si="115"/>
        <v>3</v>
      </c>
      <c r="AO62" s="74">
        <f t="shared" si="116"/>
        <v>3</v>
      </c>
      <c r="AP62" s="66">
        <f t="shared" si="117"/>
        <v>0.44444444444444442</v>
      </c>
      <c r="AQ62" s="66">
        <f t="shared" si="118"/>
        <v>0.66666666666666663</v>
      </c>
      <c r="AR62" s="78">
        <f t="shared" si="119"/>
        <v>0</v>
      </c>
      <c r="AS62" s="66">
        <f t="shared" si="120"/>
        <v>0</v>
      </c>
      <c r="AT62" s="66"/>
      <c r="AU62" s="72"/>
      <c r="AV62" s="72"/>
      <c r="AW62" s="72"/>
      <c r="AX62" s="72"/>
      <c r="AY62" s="72"/>
      <c r="AZ62" s="72"/>
      <c r="BA62" s="72"/>
      <c r="BB62" s="72"/>
      <c r="BC62" s="72"/>
      <c r="BD62" s="66"/>
      <c r="BE62" s="66"/>
    </row>
    <row r="63" spans="6:57" ht="15.75" customHeight="1" x14ac:dyDescent="0.2">
      <c r="F63" s="5"/>
      <c r="G63" s="109" t="s">
        <v>121</v>
      </c>
      <c r="J63" s="110">
        <v>0</v>
      </c>
      <c r="K63" s="110">
        <v>0</v>
      </c>
      <c r="L63" s="110">
        <v>4</v>
      </c>
      <c r="M63" s="110">
        <v>1</v>
      </c>
      <c r="N63" s="111">
        <v>4</v>
      </c>
      <c r="P63" s="6">
        <f t="shared" si="102"/>
        <v>4</v>
      </c>
      <c r="Q63" s="6">
        <f t="shared" si="103"/>
        <v>4</v>
      </c>
      <c r="R63" s="6">
        <f t="shared" si="104"/>
        <v>1</v>
      </c>
      <c r="S63" s="74"/>
      <c r="T63" s="102"/>
      <c r="U63" s="49"/>
      <c r="V63" s="102">
        <f t="shared" si="105"/>
        <v>14</v>
      </c>
      <c r="W63" s="66">
        <f t="shared" si="106"/>
        <v>0.25510204081632654</v>
      </c>
      <c r="Z63" s="66"/>
      <c r="AB63" s="6">
        <f t="shared" si="107"/>
        <v>9</v>
      </c>
      <c r="AC63" s="66">
        <f t="shared" si="108"/>
        <v>0.40740740740740738</v>
      </c>
      <c r="AD63" s="103"/>
      <c r="AE63" s="66"/>
      <c r="AF63" s="6">
        <f t="shared" si="109"/>
        <v>15</v>
      </c>
      <c r="AG63" s="66">
        <f t="shared" si="110"/>
        <v>0.21777777777777779</v>
      </c>
      <c r="AH63" s="66"/>
      <c r="AI63" s="104">
        <f t="shared" si="111"/>
        <v>0.18962962962962959</v>
      </c>
      <c r="AK63" s="6">
        <f t="shared" si="112"/>
        <v>4</v>
      </c>
      <c r="AL63" s="6">
        <f t="shared" si="113"/>
        <v>4</v>
      </c>
      <c r="AM63" s="6">
        <f t="shared" si="114"/>
        <v>3</v>
      </c>
      <c r="AN63" s="6">
        <f t="shared" si="115"/>
        <v>2</v>
      </c>
      <c r="AO63" s="74">
        <f t="shared" si="116"/>
        <v>2</v>
      </c>
      <c r="AP63" s="66">
        <f t="shared" si="117"/>
        <v>0.53333333333333333</v>
      </c>
      <c r="AQ63" s="66">
        <f t="shared" si="118"/>
        <v>0</v>
      </c>
      <c r="AR63" s="78">
        <f t="shared" si="119"/>
        <v>0</v>
      </c>
      <c r="AS63" s="66">
        <f t="shared" si="120"/>
        <v>0</v>
      </c>
      <c r="AT63" s="66"/>
      <c r="AU63" s="72"/>
      <c r="AV63" s="72"/>
      <c r="AW63" s="72"/>
      <c r="AX63" s="72"/>
      <c r="AY63" s="72"/>
      <c r="AZ63" s="72"/>
      <c r="BA63" s="72"/>
      <c r="BB63" s="72"/>
      <c r="BC63" s="72"/>
      <c r="BD63" s="66"/>
      <c r="BE63" s="66"/>
    </row>
    <row r="64" spans="6:57" ht="15.75" customHeight="1" x14ac:dyDescent="0.2">
      <c r="F64" s="5"/>
      <c r="G64" s="109" t="s">
        <v>122</v>
      </c>
      <c r="J64" s="110">
        <v>0</v>
      </c>
      <c r="K64" s="110">
        <v>0</v>
      </c>
      <c r="L64" s="110">
        <v>4</v>
      </c>
      <c r="M64" s="110">
        <v>1</v>
      </c>
      <c r="N64" s="111">
        <v>3</v>
      </c>
      <c r="P64" s="6">
        <f t="shared" si="102"/>
        <v>4</v>
      </c>
      <c r="Q64" s="6">
        <f t="shared" si="103"/>
        <v>3</v>
      </c>
      <c r="R64" s="6">
        <f t="shared" si="104"/>
        <v>1</v>
      </c>
      <c r="S64" s="74"/>
      <c r="T64" s="102"/>
      <c r="U64" s="49"/>
      <c r="V64" s="102">
        <f t="shared" si="105"/>
        <v>11</v>
      </c>
      <c r="W64" s="66">
        <f t="shared" si="106"/>
        <v>0.30578512396694213</v>
      </c>
      <c r="Z64" s="66"/>
      <c r="AB64" s="6">
        <f t="shared" si="107"/>
        <v>8</v>
      </c>
      <c r="AC64" s="66">
        <f t="shared" si="108"/>
        <v>0.40625</v>
      </c>
      <c r="AD64" s="103"/>
      <c r="AE64" s="66"/>
      <c r="AF64" s="6">
        <f t="shared" si="109"/>
        <v>14</v>
      </c>
      <c r="AG64" s="66">
        <f t="shared" si="110"/>
        <v>0.23469387755102039</v>
      </c>
      <c r="AH64" s="66"/>
      <c r="AI64" s="104">
        <f t="shared" si="111"/>
        <v>0.17155612244897961</v>
      </c>
      <c r="AK64" s="6">
        <f t="shared" si="112"/>
        <v>4</v>
      </c>
      <c r="AL64" s="6">
        <f t="shared" si="113"/>
        <v>4</v>
      </c>
      <c r="AM64" s="6">
        <f t="shared" si="114"/>
        <v>3</v>
      </c>
      <c r="AN64" s="6">
        <f t="shared" si="115"/>
        <v>2</v>
      </c>
      <c r="AO64" s="74">
        <f t="shared" si="116"/>
        <v>1</v>
      </c>
      <c r="AP64" s="66">
        <f t="shared" si="117"/>
        <v>0.5714285714285714</v>
      </c>
      <c r="AQ64" s="66">
        <f t="shared" si="118"/>
        <v>0</v>
      </c>
      <c r="AR64" s="78">
        <f t="shared" si="119"/>
        <v>0</v>
      </c>
      <c r="AS64" s="66">
        <f t="shared" si="120"/>
        <v>0</v>
      </c>
      <c r="AT64" s="66"/>
      <c r="AU64" s="72"/>
      <c r="AV64" s="72"/>
      <c r="AW64" s="72"/>
      <c r="AX64" s="72"/>
      <c r="AY64" s="72"/>
      <c r="AZ64" s="72"/>
      <c r="BA64" s="72"/>
      <c r="BB64" s="72"/>
      <c r="BC64" s="72"/>
      <c r="BD64" s="66"/>
      <c r="BE64" s="66"/>
    </row>
    <row r="65" spans="6:57" ht="15.75" customHeight="1" x14ac:dyDescent="0.2">
      <c r="F65" s="300" t="s">
        <v>29</v>
      </c>
      <c r="G65" s="28" t="s">
        <v>30</v>
      </c>
      <c r="H65" s="28">
        <v>2012</v>
      </c>
      <c r="I65" s="28" t="s">
        <v>31</v>
      </c>
      <c r="J65" s="11">
        <v>1</v>
      </c>
      <c r="K65" s="11">
        <v>0</v>
      </c>
      <c r="L65" s="11">
        <v>4</v>
      </c>
      <c r="M65" s="11">
        <v>3</v>
      </c>
      <c r="N65" s="11">
        <v>1</v>
      </c>
      <c r="P65" s="74">
        <f t="shared" si="102"/>
        <v>4</v>
      </c>
      <c r="Q65" s="6">
        <f t="shared" si="103"/>
        <v>3</v>
      </c>
      <c r="R65" s="6">
        <f t="shared" si="104"/>
        <v>1</v>
      </c>
      <c r="S65" s="74">
        <f t="shared" ref="S65:S69" si="133">(SUM(J65:N65)-P65-Q65)/3</f>
        <v>0.66666666666666663</v>
      </c>
      <c r="T65" s="102">
        <f t="shared" ref="T65:T69" si="134">(P65+Q65)/2 -S65</f>
        <v>2.8333333333333335</v>
      </c>
      <c r="U65" s="49"/>
      <c r="V65" s="102">
        <f t="shared" si="105"/>
        <v>10</v>
      </c>
      <c r="W65" s="66">
        <f t="shared" si="106"/>
        <v>0.24000000000000002</v>
      </c>
      <c r="Y65" s="6">
        <f t="shared" ref="Y65:Y69" si="135">SUM(U20:Y20)</f>
        <v>10</v>
      </c>
      <c r="Z65" s="66">
        <f t="shared" ref="Z65:Z69" si="136">IF(Y65=0,0, (U20/Y65)^2 + (V20/Y65)^2 + (W20/Y65)^2 + (X20/Y65)^2 + (Y20/Y65)^2)</f>
        <v>0.30000000000000004</v>
      </c>
      <c r="AA65" s="66">
        <f t="shared" ref="AA65:AA69" si="137">AC65-Z65</f>
        <v>3.333333333333327E-2</v>
      </c>
      <c r="AB65" s="74">
        <f t="shared" si="107"/>
        <v>9</v>
      </c>
      <c r="AC65" s="66">
        <f t="shared" si="108"/>
        <v>0.33333333333333331</v>
      </c>
      <c r="AD65" s="103"/>
      <c r="AE65" s="66">
        <f t="shared" ref="AE65:AE69" si="138">IF(AND(P65&gt;=3, Q65&gt;=3), (P65+Q65)/AB65, IF(Q65&gt;=3, Q65/AB65, 0))</f>
        <v>0.77777777777777779</v>
      </c>
      <c r="AF65" s="6">
        <f t="shared" si="109"/>
        <v>19</v>
      </c>
      <c r="AG65" s="66">
        <f t="shared" si="110"/>
        <v>0.20221606648199444</v>
      </c>
      <c r="AH65" s="66"/>
      <c r="AI65" s="104">
        <f t="shared" si="111"/>
        <v>0.13111726685133887</v>
      </c>
      <c r="AK65" s="6">
        <f t="shared" si="112"/>
        <v>4</v>
      </c>
      <c r="AL65" s="6">
        <f t="shared" si="113"/>
        <v>4</v>
      </c>
      <c r="AM65" s="6">
        <f t="shared" si="114"/>
        <v>4</v>
      </c>
      <c r="AN65" s="6">
        <f t="shared" si="115"/>
        <v>4</v>
      </c>
      <c r="AO65" s="74">
        <f t="shared" si="116"/>
        <v>3</v>
      </c>
      <c r="AP65" s="66">
        <f t="shared" si="117"/>
        <v>0.42105263157894735</v>
      </c>
      <c r="AQ65" s="66">
        <f t="shared" si="118"/>
        <v>0.63157894736842102</v>
      </c>
      <c r="AR65" s="78">
        <f t="shared" si="119"/>
        <v>0.84210526315789469</v>
      </c>
      <c r="AS65" s="66">
        <f t="shared" si="120"/>
        <v>0</v>
      </c>
      <c r="AT65" s="66"/>
      <c r="AU65" s="72"/>
      <c r="AV65" s="72"/>
      <c r="AW65" s="72"/>
      <c r="AX65" s="72"/>
      <c r="AY65" s="72"/>
      <c r="AZ65" s="72"/>
      <c r="BA65" s="72"/>
      <c r="BB65" s="72"/>
      <c r="BC65" s="72"/>
      <c r="BD65" s="66"/>
      <c r="BE65" s="66"/>
    </row>
    <row r="66" spans="6:57" ht="15.75" customHeight="1" x14ac:dyDescent="0.2">
      <c r="F66" s="301"/>
      <c r="G66" s="28" t="s">
        <v>32</v>
      </c>
      <c r="H66" s="28">
        <v>2012</v>
      </c>
      <c r="I66" s="28" t="s">
        <v>33</v>
      </c>
      <c r="J66" s="11">
        <v>0</v>
      </c>
      <c r="K66" s="11">
        <v>0</v>
      </c>
      <c r="L66" s="11">
        <v>3</v>
      </c>
      <c r="M66" s="11">
        <v>0</v>
      </c>
      <c r="N66" s="11">
        <v>2</v>
      </c>
      <c r="P66" s="74">
        <f t="shared" si="102"/>
        <v>3</v>
      </c>
      <c r="Q66" s="6">
        <f t="shared" si="103"/>
        <v>2</v>
      </c>
      <c r="R66" s="6">
        <f t="shared" si="104"/>
        <v>0</v>
      </c>
      <c r="S66" s="74">
        <f t="shared" si="133"/>
        <v>0</v>
      </c>
      <c r="T66" s="102">
        <f t="shared" si="134"/>
        <v>2.5</v>
      </c>
      <c r="U66" s="49"/>
      <c r="V66" s="102">
        <f t="shared" si="105"/>
        <v>6</v>
      </c>
      <c r="W66" s="66">
        <f t="shared" si="106"/>
        <v>0.27777777777777779</v>
      </c>
      <c r="Y66" s="6">
        <f t="shared" si="135"/>
        <v>9</v>
      </c>
      <c r="Z66" s="66">
        <f t="shared" si="136"/>
        <v>0.33333333333333331</v>
      </c>
      <c r="AA66" s="66">
        <f t="shared" si="137"/>
        <v>0.1866666666666667</v>
      </c>
      <c r="AB66" s="74">
        <f t="shared" si="107"/>
        <v>5</v>
      </c>
      <c r="AC66" s="66">
        <f t="shared" si="108"/>
        <v>0.52</v>
      </c>
      <c r="AD66" s="103"/>
      <c r="AE66" s="66">
        <f t="shared" si="138"/>
        <v>0</v>
      </c>
      <c r="AF66" s="6">
        <f t="shared" si="109"/>
        <v>16</v>
      </c>
      <c r="AG66" s="66">
        <f t="shared" si="110"/>
        <v>0.21875</v>
      </c>
      <c r="AH66" s="66"/>
      <c r="AI66" s="104">
        <f t="shared" si="111"/>
        <v>0.30125000000000002</v>
      </c>
      <c r="AK66" s="6">
        <f t="shared" si="112"/>
        <v>4</v>
      </c>
      <c r="AL66" s="6">
        <f t="shared" si="113"/>
        <v>4</v>
      </c>
      <c r="AM66" s="6">
        <f t="shared" si="114"/>
        <v>4</v>
      </c>
      <c r="AN66" s="6">
        <f t="shared" si="115"/>
        <v>2</v>
      </c>
      <c r="AO66" s="74">
        <f t="shared" si="116"/>
        <v>2</v>
      </c>
      <c r="AP66" s="66">
        <f t="shared" si="117"/>
        <v>0.5</v>
      </c>
      <c r="AQ66" s="66">
        <f t="shared" si="118"/>
        <v>0.75</v>
      </c>
      <c r="AR66" s="78">
        <f t="shared" si="119"/>
        <v>0</v>
      </c>
      <c r="AS66" s="66">
        <f t="shared" si="120"/>
        <v>0</v>
      </c>
      <c r="AT66" s="66"/>
      <c r="AU66" s="72"/>
      <c r="AV66" s="72"/>
      <c r="AW66" s="72"/>
      <c r="AX66" s="72"/>
      <c r="AY66" s="72"/>
      <c r="AZ66" s="72"/>
      <c r="BA66" s="72"/>
      <c r="BB66" s="72"/>
      <c r="BC66" s="72"/>
      <c r="BD66" s="66"/>
      <c r="BE66" s="66"/>
    </row>
    <row r="67" spans="6:57" ht="15.75" customHeight="1" x14ac:dyDescent="0.2">
      <c r="F67" s="301"/>
      <c r="G67" s="28" t="s">
        <v>34</v>
      </c>
      <c r="H67" s="28">
        <v>2012</v>
      </c>
      <c r="I67" s="28" t="s">
        <v>35</v>
      </c>
      <c r="J67" s="11">
        <v>1</v>
      </c>
      <c r="K67" s="11">
        <v>3</v>
      </c>
      <c r="L67" s="11">
        <v>2</v>
      </c>
      <c r="M67" s="11">
        <v>1</v>
      </c>
      <c r="N67" s="11">
        <v>2</v>
      </c>
      <c r="P67" s="74">
        <f t="shared" si="102"/>
        <v>3</v>
      </c>
      <c r="Q67" s="6">
        <f t="shared" si="103"/>
        <v>2</v>
      </c>
      <c r="R67" s="6">
        <f t="shared" si="104"/>
        <v>2</v>
      </c>
      <c r="S67" s="74">
        <f t="shared" si="133"/>
        <v>1.3333333333333333</v>
      </c>
      <c r="T67" s="102">
        <f t="shared" si="134"/>
        <v>1.1666666666666667</v>
      </c>
      <c r="U67" s="49"/>
      <c r="V67" s="102">
        <f t="shared" si="105"/>
        <v>6</v>
      </c>
      <c r="W67" s="66">
        <f t="shared" si="106"/>
        <v>0.27777777777777779</v>
      </c>
      <c r="Y67" s="6">
        <f t="shared" si="135"/>
        <v>8</v>
      </c>
      <c r="Z67" s="66">
        <f t="shared" si="136"/>
        <v>0.28125</v>
      </c>
      <c r="AA67" s="66">
        <f t="shared" si="137"/>
        <v>-4.6682098765432112E-2</v>
      </c>
      <c r="AB67" s="74">
        <f t="shared" si="107"/>
        <v>9</v>
      </c>
      <c r="AC67" s="66">
        <f t="shared" si="108"/>
        <v>0.23456790123456789</v>
      </c>
      <c r="AD67" s="103"/>
      <c r="AE67" s="66">
        <f t="shared" si="138"/>
        <v>0</v>
      </c>
      <c r="AF67" s="6">
        <f t="shared" si="109"/>
        <v>16</v>
      </c>
      <c r="AG67" s="66">
        <f t="shared" si="110"/>
        <v>0.2109375</v>
      </c>
      <c r="AH67" s="66"/>
      <c r="AI67" s="104">
        <f t="shared" si="111"/>
        <v>2.3630401234567888E-2</v>
      </c>
      <c r="AK67" s="6">
        <f t="shared" si="112"/>
        <v>4</v>
      </c>
      <c r="AL67" s="6">
        <f t="shared" si="113"/>
        <v>4</v>
      </c>
      <c r="AM67" s="6">
        <f t="shared" si="114"/>
        <v>3</v>
      </c>
      <c r="AN67" s="6">
        <f t="shared" si="115"/>
        <v>3</v>
      </c>
      <c r="AO67" s="74">
        <f t="shared" si="116"/>
        <v>2</v>
      </c>
      <c r="AP67" s="66">
        <f t="shared" si="117"/>
        <v>0.5</v>
      </c>
      <c r="AQ67" s="66">
        <f t="shared" si="118"/>
        <v>0</v>
      </c>
      <c r="AR67" s="78">
        <f t="shared" si="119"/>
        <v>0</v>
      </c>
      <c r="AS67" s="66">
        <f t="shared" si="120"/>
        <v>0</v>
      </c>
      <c r="AT67" s="66"/>
      <c r="AU67" s="72"/>
      <c r="AV67" s="72"/>
      <c r="AW67" s="72"/>
      <c r="AX67" s="72"/>
      <c r="AY67" s="72"/>
      <c r="AZ67" s="72"/>
      <c r="BA67" s="72"/>
      <c r="BB67" s="72"/>
      <c r="BC67" s="72"/>
      <c r="BD67" s="66"/>
      <c r="BE67" s="66"/>
    </row>
    <row r="68" spans="6:57" ht="15.75" customHeight="1" x14ac:dyDescent="0.2">
      <c r="F68" s="301"/>
      <c r="G68" s="28" t="s">
        <v>36</v>
      </c>
      <c r="H68" s="28">
        <v>2012</v>
      </c>
      <c r="I68" s="28" t="s">
        <v>37</v>
      </c>
      <c r="J68" s="11">
        <v>1</v>
      </c>
      <c r="K68" s="11">
        <v>0</v>
      </c>
      <c r="L68" s="11">
        <v>3</v>
      </c>
      <c r="M68" s="11">
        <v>1</v>
      </c>
      <c r="N68" s="11">
        <v>1</v>
      </c>
      <c r="P68" s="74">
        <f t="shared" si="102"/>
        <v>3</v>
      </c>
      <c r="Q68" s="6">
        <f t="shared" si="103"/>
        <v>1</v>
      </c>
      <c r="R68" s="6">
        <f t="shared" si="104"/>
        <v>1</v>
      </c>
      <c r="S68" s="74">
        <f t="shared" si="133"/>
        <v>0.66666666666666663</v>
      </c>
      <c r="T68" s="102">
        <f t="shared" si="134"/>
        <v>1.3333333333333335</v>
      </c>
      <c r="U68" s="49"/>
      <c r="V68" s="102">
        <f t="shared" si="105"/>
        <v>6</v>
      </c>
      <c r="W68" s="66">
        <f t="shared" si="106"/>
        <v>0.27777777777777779</v>
      </c>
      <c r="Y68" s="6">
        <f t="shared" si="135"/>
        <v>10</v>
      </c>
      <c r="Z68" s="66">
        <f t="shared" si="136"/>
        <v>0.34000000000000008</v>
      </c>
      <c r="AA68" s="66">
        <f t="shared" si="137"/>
        <v>-6.6666666666667096E-3</v>
      </c>
      <c r="AB68" s="74">
        <f t="shared" si="107"/>
        <v>6</v>
      </c>
      <c r="AC68" s="66">
        <f t="shared" si="108"/>
        <v>0.33333333333333337</v>
      </c>
      <c r="AD68" s="103"/>
      <c r="AE68" s="66">
        <f t="shared" si="138"/>
        <v>0</v>
      </c>
      <c r="AF68" s="6">
        <f t="shared" si="109"/>
        <v>19</v>
      </c>
      <c r="AG68" s="66">
        <f t="shared" si="110"/>
        <v>0.20221606648199444</v>
      </c>
      <c r="AH68" s="66"/>
      <c r="AI68" s="104">
        <f t="shared" si="111"/>
        <v>0.13111726685133893</v>
      </c>
      <c r="AK68" s="6">
        <f t="shared" si="112"/>
        <v>4</v>
      </c>
      <c r="AL68" s="6">
        <f t="shared" si="113"/>
        <v>4</v>
      </c>
      <c r="AM68" s="6">
        <f t="shared" si="114"/>
        <v>4</v>
      </c>
      <c r="AN68" s="6">
        <f t="shared" si="115"/>
        <v>4</v>
      </c>
      <c r="AO68" s="74">
        <f t="shared" si="116"/>
        <v>3</v>
      </c>
      <c r="AP68" s="66">
        <f t="shared" si="117"/>
        <v>0.42105263157894735</v>
      </c>
      <c r="AQ68" s="66">
        <f t="shared" si="118"/>
        <v>0.63157894736842102</v>
      </c>
      <c r="AR68" s="78">
        <f t="shared" si="119"/>
        <v>0.84210526315789469</v>
      </c>
      <c r="AS68" s="66">
        <f t="shared" si="120"/>
        <v>0</v>
      </c>
      <c r="AT68" s="66"/>
      <c r="AU68" s="72"/>
      <c r="AV68" s="72"/>
      <c r="AW68" s="72"/>
      <c r="AX68" s="72"/>
      <c r="AY68" s="72"/>
      <c r="AZ68" s="72"/>
      <c r="BA68" s="72"/>
      <c r="BB68" s="72"/>
      <c r="BC68" s="72"/>
      <c r="BD68" s="66"/>
      <c r="BE68" s="66"/>
    </row>
    <row r="69" spans="6:57" ht="15.75" customHeight="1" x14ac:dyDescent="0.2">
      <c r="F69" s="301"/>
      <c r="G69" s="112" t="s">
        <v>38</v>
      </c>
      <c r="H69" s="28">
        <v>2018</v>
      </c>
      <c r="I69" s="28" t="s">
        <v>39</v>
      </c>
      <c r="J69" s="11">
        <v>1</v>
      </c>
      <c r="K69" s="11">
        <v>2</v>
      </c>
      <c r="L69" s="11">
        <v>4</v>
      </c>
      <c r="M69" s="11">
        <v>1</v>
      </c>
      <c r="N69" s="11">
        <v>1</v>
      </c>
      <c r="P69" s="74">
        <f t="shared" si="102"/>
        <v>4</v>
      </c>
      <c r="Q69" s="6">
        <f t="shared" si="103"/>
        <v>2</v>
      </c>
      <c r="R69" s="6">
        <f t="shared" si="104"/>
        <v>1</v>
      </c>
      <c r="S69" s="74">
        <f t="shared" si="133"/>
        <v>1</v>
      </c>
      <c r="T69" s="102">
        <f t="shared" si="134"/>
        <v>2</v>
      </c>
      <c r="U69" s="49"/>
      <c r="V69" s="102">
        <f t="shared" si="105"/>
        <v>8</v>
      </c>
      <c r="W69" s="66">
        <f t="shared" si="106"/>
        <v>0.21875</v>
      </c>
      <c r="Y69" s="6">
        <f t="shared" si="135"/>
        <v>10</v>
      </c>
      <c r="Z69" s="66">
        <f t="shared" si="136"/>
        <v>0.28000000000000003</v>
      </c>
      <c r="AA69" s="66">
        <f t="shared" si="137"/>
        <v>3.9506172839505749E-3</v>
      </c>
      <c r="AB69" s="74">
        <f t="shared" si="107"/>
        <v>9</v>
      </c>
      <c r="AC69" s="66">
        <f t="shared" si="108"/>
        <v>0.2839506172839506</v>
      </c>
      <c r="AD69" s="103"/>
      <c r="AE69" s="66">
        <f t="shared" si="138"/>
        <v>0</v>
      </c>
      <c r="AF69" s="6">
        <f t="shared" si="109"/>
        <v>18</v>
      </c>
      <c r="AG69" s="66">
        <f t="shared" si="110"/>
        <v>0.20370370370370369</v>
      </c>
      <c r="AH69" s="66"/>
      <c r="AI69" s="104">
        <f t="shared" si="111"/>
        <v>8.0246913580246909E-2</v>
      </c>
      <c r="AK69" s="6">
        <f t="shared" si="112"/>
        <v>4</v>
      </c>
      <c r="AL69" s="6">
        <f t="shared" si="113"/>
        <v>4</v>
      </c>
      <c r="AM69" s="6">
        <f t="shared" si="114"/>
        <v>4</v>
      </c>
      <c r="AN69" s="6">
        <f t="shared" si="115"/>
        <v>3</v>
      </c>
      <c r="AO69" s="74">
        <f t="shared" si="116"/>
        <v>3</v>
      </c>
      <c r="AP69" s="66">
        <f t="shared" si="117"/>
        <v>0.44444444444444442</v>
      </c>
      <c r="AQ69" s="66">
        <f t="shared" si="118"/>
        <v>0.66666666666666663</v>
      </c>
      <c r="AR69" s="78">
        <f t="shared" si="119"/>
        <v>0</v>
      </c>
      <c r="AS69" s="66">
        <f t="shared" si="120"/>
        <v>0</v>
      </c>
      <c r="AT69" s="66"/>
      <c r="AU69" s="72"/>
      <c r="AV69" s="72"/>
      <c r="AW69" s="72"/>
      <c r="AX69" s="72"/>
      <c r="AY69" s="72"/>
      <c r="AZ69" s="72"/>
      <c r="BA69" s="72"/>
      <c r="BB69" s="72"/>
      <c r="BC69" s="72"/>
      <c r="BD69" s="66"/>
      <c r="BE69" s="66"/>
    </row>
    <row r="70" spans="6:57" ht="15.75" customHeight="1" x14ac:dyDescent="0.2">
      <c r="F70" s="5"/>
      <c r="G70" s="113" t="s">
        <v>123</v>
      </c>
      <c r="J70" s="110">
        <v>1</v>
      </c>
      <c r="K70" s="110">
        <v>4</v>
      </c>
      <c r="L70" s="111">
        <v>1</v>
      </c>
      <c r="M70" s="111">
        <v>1</v>
      </c>
      <c r="N70" s="111">
        <v>1</v>
      </c>
      <c r="P70" s="6">
        <f t="shared" si="102"/>
        <v>4</v>
      </c>
      <c r="Q70" s="6">
        <f t="shared" si="103"/>
        <v>1</v>
      </c>
      <c r="R70" s="6">
        <f t="shared" si="104"/>
        <v>1</v>
      </c>
      <c r="S70" s="74"/>
      <c r="T70" s="102"/>
      <c r="U70" s="49"/>
      <c r="V70" s="102">
        <f t="shared" si="105"/>
        <v>15</v>
      </c>
      <c r="W70" s="66">
        <f t="shared" si="106"/>
        <v>0.23555555555555557</v>
      </c>
      <c r="Z70" s="66"/>
      <c r="AB70" s="6">
        <f t="shared" si="107"/>
        <v>8</v>
      </c>
      <c r="AC70" s="66">
        <f t="shared" si="108"/>
        <v>0.3125</v>
      </c>
      <c r="AD70" s="103"/>
      <c r="AE70" s="66"/>
      <c r="AF70" s="6">
        <f t="shared" si="109"/>
        <v>18</v>
      </c>
      <c r="AG70" s="66">
        <f t="shared" si="110"/>
        <v>0.20370370370370369</v>
      </c>
      <c r="AH70" s="66"/>
      <c r="AI70" s="104">
        <f t="shared" si="111"/>
        <v>0.10879629629629631</v>
      </c>
      <c r="AK70" s="6">
        <f t="shared" si="112"/>
        <v>4</v>
      </c>
      <c r="AL70" s="6">
        <f t="shared" si="113"/>
        <v>4</v>
      </c>
      <c r="AM70" s="6">
        <f t="shared" si="114"/>
        <v>4</v>
      </c>
      <c r="AN70" s="6">
        <f t="shared" si="115"/>
        <v>3</v>
      </c>
      <c r="AO70" s="74">
        <f t="shared" si="116"/>
        <v>3</v>
      </c>
      <c r="AP70" s="66">
        <f t="shared" si="117"/>
        <v>0.44444444444444442</v>
      </c>
      <c r="AQ70" s="66">
        <f t="shared" si="118"/>
        <v>0.66666666666666663</v>
      </c>
      <c r="AR70" s="78">
        <f t="shared" si="119"/>
        <v>0</v>
      </c>
      <c r="AS70" s="66">
        <f t="shared" si="120"/>
        <v>0</v>
      </c>
      <c r="AT70" s="66"/>
      <c r="AU70" s="72"/>
      <c r="AV70" s="72"/>
      <c r="AW70" s="72"/>
      <c r="AX70" s="72"/>
      <c r="AY70" s="72"/>
      <c r="AZ70" s="72"/>
      <c r="BA70" s="72"/>
      <c r="BB70" s="72"/>
      <c r="BC70" s="72"/>
      <c r="BD70" s="66"/>
      <c r="BE70" s="66"/>
    </row>
    <row r="71" spans="6:57" ht="15.75" customHeight="1" x14ac:dyDescent="0.2">
      <c r="F71" s="5"/>
      <c r="G71" s="113" t="s">
        <v>124</v>
      </c>
      <c r="J71" s="110">
        <v>0</v>
      </c>
      <c r="K71" s="110">
        <v>4</v>
      </c>
      <c r="L71" s="111">
        <v>1</v>
      </c>
      <c r="M71" s="111">
        <v>0</v>
      </c>
      <c r="N71" s="111">
        <v>1</v>
      </c>
      <c r="P71" s="6">
        <f t="shared" si="102"/>
        <v>4</v>
      </c>
      <c r="Q71" s="6">
        <f t="shared" si="103"/>
        <v>1</v>
      </c>
      <c r="R71" s="6">
        <f t="shared" si="104"/>
        <v>1</v>
      </c>
      <c r="S71" s="74"/>
      <c r="T71" s="102"/>
      <c r="U71" s="49"/>
      <c r="V71" s="102">
        <f t="shared" si="105"/>
        <v>16</v>
      </c>
      <c r="W71" s="66">
        <f t="shared" si="106"/>
        <v>0.2265625</v>
      </c>
      <c r="Z71" s="66"/>
      <c r="AB71" s="6">
        <f t="shared" si="107"/>
        <v>6</v>
      </c>
      <c r="AC71" s="66">
        <f t="shared" si="108"/>
        <v>0.5</v>
      </c>
      <c r="AD71" s="103"/>
      <c r="AE71" s="66"/>
      <c r="AF71" s="6">
        <f t="shared" si="109"/>
        <v>16</v>
      </c>
      <c r="AG71" s="66">
        <f t="shared" si="110"/>
        <v>0.2109375</v>
      </c>
      <c r="AH71" s="66"/>
      <c r="AI71" s="104">
        <f t="shared" si="111"/>
        <v>0.2890625</v>
      </c>
      <c r="AK71" s="6">
        <f t="shared" si="112"/>
        <v>4</v>
      </c>
      <c r="AL71" s="6">
        <f t="shared" si="113"/>
        <v>4</v>
      </c>
      <c r="AM71" s="6">
        <f t="shared" si="114"/>
        <v>3</v>
      </c>
      <c r="AN71" s="6">
        <f t="shared" si="115"/>
        <v>3</v>
      </c>
      <c r="AO71" s="74">
        <f t="shared" si="116"/>
        <v>2</v>
      </c>
      <c r="AP71" s="66">
        <f t="shared" si="117"/>
        <v>0.5</v>
      </c>
      <c r="AQ71" s="66">
        <f t="shared" si="118"/>
        <v>0</v>
      </c>
      <c r="AR71" s="78">
        <f t="shared" si="119"/>
        <v>0</v>
      </c>
      <c r="AS71" s="66">
        <f t="shared" si="120"/>
        <v>0</v>
      </c>
      <c r="AT71" s="66"/>
      <c r="AU71" s="72"/>
      <c r="AV71" s="72"/>
      <c r="AW71" s="72"/>
      <c r="AX71" s="72"/>
      <c r="AY71" s="72"/>
      <c r="AZ71" s="72"/>
      <c r="BA71" s="72"/>
      <c r="BB71" s="72"/>
      <c r="BC71" s="72"/>
      <c r="BD71" s="66"/>
      <c r="BE71" s="66"/>
    </row>
    <row r="72" spans="6:57" ht="15.75" customHeight="1" x14ac:dyDescent="0.2">
      <c r="F72" s="300" t="s">
        <v>40</v>
      </c>
      <c r="G72" s="31" t="s">
        <v>41</v>
      </c>
      <c r="H72" s="31">
        <v>1898</v>
      </c>
      <c r="I72" s="31" t="s">
        <v>42</v>
      </c>
      <c r="J72" s="11">
        <v>0</v>
      </c>
      <c r="K72" s="11">
        <v>4</v>
      </c>
      <c r="L72" s="11">
        <v>0</v>
      </c>
      <c r="M72" s="11">
        <v>0</v>
      </c>
      <c r="N72" s="11">
        <v>4</v>
      </c>
      <c r="P72" s="74">
        <f t="shared" si="102"/>
        <v>4</v>
      </c>
      <c r="Q72" s="6">
        <f t="shared" si="103"/>
        <v>4</v>
      </c>
      <c r="R72" s="6">
        <f t="shared" si="104"/>
        <v>0</v>
      </c>
      <c r="S72" s="74">
        <f t="shared" ref="S72:S76" si="139">(SUM(J72:N72)-P72-Q72)/3</f>
        <v>0</v>
      </c>
      <c r="T72" s="102">
        <f t="shared" ref="T72:T76" si="140">(P72+Q72)/2 -S72</f>
        <v>4</v>
      </c>
      <c r="U72" s="49"/>
      <c r="V72" s="102">
        <f t="shared" si="105"/>
        <v>16</v>
      </c>
      <c r="W72" s="66">
        <f t="shared" si="106"/>
        <v>0.2265625</v>
      </c>
      <c r="Y72" s="6">
        <f t="shared" ref="Y72:Y76" si="141">SUM(U27:Y27)</f>
        <v>12</v>
      </c>
      <c r="Z72" s="66">
        <f t="shared" ref="Z72:Z76" si="142">IF(Y72=0,0, (U27/Y72)^2 + (V27/Y72)^2 + (W27/Y72)^2 + (X27/Y72)^2 + (Y27/Y72)^2)</f>
        <v>0.2361111111111111</v>
      </c>
      <c r="AA72" s="66">
        <f t="shared" ref="AA72:AA76" si="143">AC72-Z72</f>
        <v>0.2638888888888889</v>
      </c>
      <c r="AB72" s="74">
        <f t="shared" si="107"/>
        <v>8</v>
      </c>
      <c r="AC72" s="66">
        <f t="shared" si="108"/>
        <v>0.5</v>
      </c>
      <c r="AD72" s="103"/>
      <c r="AE72" s="66">
        <f t="shared" ref="AE72:AE76" si="144">IF(AND(P72&gt;=3, Q72&gt;=3), (P72+Q72)/AB72, IF(Q72&gt;=3, Q72/AB72, 0))</f>
        <v>1</v>
      </c>
      <c r="AF72" s="6">
        <f t="shared" si="109"/>
        <v>15</v>
      </c>
      <c r="AG72" s="66">
        <f t="shared" si="110"/>
        <v>0.2088888888888889</v>
      </c>
      <c r="AH72" s="66"/>
      <c r="AI72" s="104">
        <f t="shared" si="111"/>
        <v>0.2911111111111111</v>
      </c>
      <c r="AK72" s="6">
        <f t="shared" si="112"/>
        <v>4</v>
      </c>
      <c r="AL72" s="6">
        <f t="shared" si="113"/>
        <v>3</v>
      </c>
      <c r="AM72" s="6">
        <f t="shared" si="114"/>
        <v>3</v>
      </c>
      <c r="AN72" s="6">
        <f t="shared" si="115"/>
        <v>3</v>
      </c>
      <c r="AO72" s="74">
        <f t="shared" si="116"/>
        <v>2</v>
      </c>
      <c r="AP72" s="66" t="b">
        <f t="shared" si="117"/>
        <v>0</v>
      </c>
      <c r="AQ72" s="66">
        <f t="shared" si="118"/>
        <v>0</v>
      </c>
      <c r="AR72" s="78">
        <f t="shared" si="119"/>
        <v>0</v>
      </c>
      <c r="AS72" s="66">
        <f t="shared" si="120"/>
        <v>0</v>
      </c>
      <c r="AT72" s="66"/>
      <c r="AU72" s="72"/>
      <c r="AV72" s="72"/>
      <c r="AW72" s="72"/>
      <c r="AX72" s="72"/>
      <c r="AY72" s="72"/>
      <c r="AZ72" s="72"/>
      <c r="BA72" s="72"/>
      <c r="BB72" s="72"/>
      <c r="BC72" s="72"/>
      <c r="BD72" s="66"/>
      <c r="BE72" s="66"/>
    </row>
    <row r="73" spans="6:57" ht="15.75" customHeight="1" x14ac:dyDescent="0.2">
      <c r="F73" s="301"/>
      <c r="G73" s="31" t="s">
        <v>43</v>
      </c>
      <c r="H73" s="31">
        <v>2016</v>
      </c>
      <c r="I73" s="31" t="s">
        <v>44</v>
      </c>
      <c r="J73" s="11">
        <v>1</v>
      </c>
      <c r="K73" s="11">
        <v>4</v>
      </c>
      <c r="L73" s="11">
        <v>1</v>
      </c>
      <c r="M73" s="11">
        <v>1</v>
      </c>
      <c r="N73" s="11">
        <v>3</v>
      </c>
      <c r="P73" s="74">
        <f t="shared" si="102"/>
        <v>4</v>
      </c>
      <c r="Q73" s="6">
        <f t="shared" si="103"/>
        <v>3</v>
      </c>
      <c r="R73" s="6">
        <f t="shared" si="104"/>
        <v>1</v>
      </c>
      <c r="S73" s="74">
        <f t="shared" si="139"/>
        <v>1</v>
      </c>
      <c r="T73" s="102">
        <f t="shared" si="140"/>
        <v>2.5</v>
      </c>
      <c r="U73" s="49"/>
      <c r="V73" s="102">
        <f t="shared" si="105"/>
        <v>14</v>
      </c>
      <c r="W73" s="66">
        <f t="shared" si="106"/>
        <v>0.22448979591836732</v>
      </c>
      <c r="Y73" s="6">
        <f t="shared" si="141"/>
        <v>14</v>
      </c>
      <c r="Z73" s="66">
        <f t="shared" si="142"/>
        <v>0.25510204081632648</v>
      </c>
      <c r="AA73" s="66">
        <f t="shared" si="143"/>
        <v>2.4897959183673546E-2</v>
      </c>
      <c r="AB73" s="74">
        <f t="shared" si="107"/>
        <v>10</v>
      </c>
      <c r="AC73" s="66">
        <f t="shared" si="108"/>
        <v>0.28000000000000003</v>
      </c>
      <c r="AD73" s="103"/>
      <c r="AE73" s="66">
        <f t="shared" si="144"/>
        <v>0.7</v>
      </c>
      <c r="AF73" s="6">
        <f t="shared" si="109"/>
        <v>18</v>
      </c>
      <c r="AG73" s="66">
        <f t="shared" si="110"/>
        <v>0.20370370370370372</v>
      </c>
      <c r="AH73" s="66"/>
      <c r="AI73" s="104">
        <f t="shared" si="111"/>
        <v>7.6296296296296306E-2</v>
      </c>
      <c r="AK73" s="6">
        <f t="shared" si="112"/>
        <v>4</v>
      </c>
      <c r="AL73" s="6">
        <f t="shared" si="113"/>
        <v>4</v>
      </c>
      <c r="AM73" s="6">
        <f t="shared" si="114"/>
        <v>4</v>
      </c>
      <c r="AN73" s="6">
        <f t="shared" si="115"/>
        <v>3</v>
      </c>
      <c r="AO73" s="74">
        <f t="shared" si="116"/>
        <v>3</v>
      </c>
      <c r="AP73" s="66">
        <f t="shared" si="117"/>
        <v>0.44444444444444442</v>
      </c>
      <c r="AQ73" s="66">
        <f t="shared" si="118"/>
        <v>0.66666666666666663</v>
      </c>
      <c r="AR73" s="78">
        <f t="shared" si="119"/>
        <v>0</v>
      </c>
      <c r="AS73" s="66">
        <f t="shared" si="120"/>
        <v>0</v>
      </c>
      <c r="AT73" s="66"/>
      <c r="AU73" s="72"/>
      <c r="AV73" s="72"/>
      <c r="AW73" s="72"/>
      <c r="AX73" s="72"/>
      <c r="AY73" s="72"/>
      <c r="AZ73" s="72"/>
      <c r="BA73" s="72"/>
      <c r="BB73" s="72"/>
      <c r="BC73" s="72"/>
      <c r="BD73" s="66"/>
      <c r="BE73" s="66"/>
    </row>
    <row r="74" spans="6:57" ht="15.75" customHeight="1" x14ac:dyDescent="0.2">
      <c r="F74" s="301"/>
      <c r="G74" s="31" t="s">
        <v>45</v>
      </c>
      <c r="H74" s="31">
        <v>1896</v>
      </c>
      <c r="I74" s="31" t="s">
        <v>46</v>
      </c>
      <c r="J74" s="11">
        <v>1</v>
      </c>
      <c r="K74" s="11">
        <v>3</v>
      </c>
      <c r="L74" s="11">
        <v>1</v>
      </c>
      <c r="M74" s="11">
        <v>0</v>
      </c>
      <c r="N74" s="11">
        <v>1</v>
      </c>
      <c r="P74" s="74">
        <f t="shared" si="102"/>
        <v>3</v>
      </c>
      <c r="Q74" s="6">
        <f t="shared" si="103"/>
        <v>1</v>
      </c>
      <c r="R74" s="6">
        <f t="shared" si="104"/>
        <v>1</v>
      </c>
      <c r="S74" s="74">
        <f t="shared" si="139"/>
        <v>0.66666666666666663</v>
      </c>
      <c r="T74" s="102">
        <f t="shared" si="140"/>
        <v>1.3333333333333335</v>
      </c>
      <c r="U74" s="49"/>
      <c r="V74" s="102">
        <f t="shared" si="105"/>
        <v>12</v>
      </c>
      <c r="W74" s="66">
        <f t="shared" si="106"/>
        <v>0.25</v>
      </c>
      <c r="Y74" s="6">
        <f t="shared" si="141"/>
        <v>9</v>
      </c>
      <c r="Z74" s="66">
        <f t="shared" si="142"/>
        <v>0.25925925925925924</v>
      </c>
      <c r="AA74" s="66">
        <f t="shared" si="143"/>
        <v>7.4074074074074125E-2</v>
      </c>
      <c r="AB74" s="74">
        <f t="shared" si="107"/>
        <v>6</v>
      </c>
      <c r="AC74" s="66">
        <f t="shared" si="108"/>
        <v>0.33333333333333337</v>
      </c>
      <c r="AD74" s="103"/>
      <c r="AE74" s="66">
        <f t="shared" si="144"/>
        <v>0</v>
      </c>
      <c r="AF74" s="6">
        <f t="shared" si="109"/>
        <v>15</v>
      </c>
      <c r="AG74" s="66">
        <f t="shared" si="110"/>
        <v>0.2088888888888889</v>
      </c>
      <c r="AH74" s="66"/>
      <c r="AI74" s="104">
        <f t="shared" si="111"/>
        <v>0.12444444444444447</v>
      </c>
      <c r="AK74" s="6">
        <f t="shared" si="112"/>
        <v>4</v>
      </c>
      <c r="AL74" s="6">
        <f t="shared" si="113"/>
        <v>3</v>
      </c>
      <c r="AM74" s="6">
        <f t="shared" si="114"/>
        <v>3</v>
      </c>
      <c r="AN74" s="6">
        <f t="shared" si="115"/>
        <v>3</v>
      </c>
      <c r="AO74" s="74">
        <f t="shared" si="116"/>
        <v>2</v>
      </c>
      <c r="AP74" s="66" t="b">
        <f t="shared" si="117"/>
        <v>0</v>
      </c>
      <c r="AQ74" s="66">
        <f t="shared" si="118"/>
        <v>0</v>
      </c>
      <c r="AR74" s="78">
        <f t="shared" si="119"/>
        <v>0</v>
      </c>
      <c r="AS74" s="66">
        <f t="shared" si="120"/>
        <v>0</v>
      </c>
      <c r="AT74" s="66"/>
      <c r="AU74" s="72"/>
      <c r="AV74" s="72"/>
      <c r="AW74" s="72"/>
      <c r="AX74" s="72"/>
      <c r="AY74" s="72"/>
      <c r="AZ74" s="72"/>
      <c r="BA74" s="72"/>
      <c r="BB74" s="72"/>
      <c r="BC74" s="72"/>
      <c r="BD74" s="66"/>
      <c r="BE74" s="66"/>
    </row>
    <row r="75" spans="6:57" ht="15.75" customHeight="1" x14ac:dyDescent="0.2">
      <c r="F75" s="301"/>
      <c r="G75" s="31" t="s">
        <v>47</v>
      </c>
      <c r="H75" s="31">
        <v>2003</v>
      </c>
      <c r="I75" s="31" t="s">
        <v>48</v>
      </c>
      <c r="J75" s="11">
        <v>1</v>
      </c>
      <c r="K75" s="11">
        <v>4</v>
      </c>
      <c r="L75" s="11">
        <v>1</v>
      </c>
      <c r="M75" s="11">
        <v>0</v>
      </c>
      <c r="N75" s="11">
        <v>1</v>
      </c>
      <c r="P75" s="74">
        <f t="shared" si="102"/>
        <v>4</v>
      </c>
      <c r="Q75" s="6">
        <f t="shared" si="103"/>
        <v>1</v>
      </c>
      <c r="R75" s="6">
        <f t="shared" si="104"/>
        <v>1</v>
      </c>
      <c r="S75" s="74">
        <f t="shared" si="139"/>
        <v>0.66666666666666663</v>
      </c>
      <c r="T75" s="102">
        <f t="shared" si="140"/>
        <v>1.8333333333333335</v>
      </c>
      <c r="U75" s="49"/>
      <c r="V75" s="102">
        <f t="shared" si="105"/>
        <v>12</v>
      </c>
      <c r="W75" s="66">
        <f t="shared" si="106"/>
        <v>0.22222222222222221</v>
      </c>
      <c r="Y75" s="6">
        <f t="shared" si="141"/>
        <v>11</v>
      </c>
      <c r="Z75" s="66">
        <f t="shared" si="142"/>
        <v>0.28925619834710736</v>
      </c>
      <c r="AA75" s="66">
        <f t="shared" si="143"/>
        <v>9.8498903693709006E-2</v>
      </c>
      <c r="AB75" s="74">
        <f t="shared" si="107"/>
        <v>7</v>
      </c>
      <c r="AC75" s="66">
        <f t="shared" si="108"/>
        <v>0.38775510204081637</v>
      </c>
      <c r="AD75" s="103"/>
      <c r="AE75" s="66">
        <f t="shared" si="144"/>
        <v>0</v>
      </c>
      <c r="AF75" s="6">
        <f t="shared" si="109"/>
        <v>17</v>
      </c>
      <c r="AG75" s="66">
        <f t="shared" si="110"/>
        <v>0.20415224913494812</v>
      </c>
      <c r="AH75" s="66"/>
      <c r="AI75" s="104">
        <f t="shared" si="111"/>
        <v>0.18360285290586825</v>
      </c>
      <c r="AK75" s="6">
        <f t="shared" si="112"/>
        <v>4</v>
      </c>
      <c r="AL75" s="6">
        <f t="shared" si="113"/>
        <v>4</v>
      </c>
      <c r="AM75" s="6">
        <f t="shared" si="114"/>
        <v>3</v>
      </c>
      <c r="AN75" s="6">
        <f t="shared" si="115"/>
        <v>3</v>
      </c>
      <c r="AO75" s="74">
        <f t="shared" si="116"/>
        <v>3</v>
      </c>
      <c r="AP75" s="66">
        <f t="shared" si="117"/>
        <v>0.47058823529411764</v>
      </c>
      <c r="AQ75" s="66">
        <f t="shared" si="118"/>
        <v>0</v>
      </c>
      <c r="AR75" s="78">
        <f t="shared" si="119"/>
        <v>0</v>
      </c>
      <c r="AS75" s="66">
        <f t="shared" si="120"/>
        <v>0</v>
      </c>
      <c r="AT75" s="66"/>
      <c r="AU75" s="72"/>
      <c r="AV75" s="72"/>
      <c r="AW75" s="72"/>
      <c r="AX75" s="72"/>
      <c r="AY75" s="72"/>
      <c r="AZ75" s="72"/>
      <c r="BA75" s="72"/>
      <c r="BB75" s="72"/>
      <c r="BC75" s="72"/>
      <c r="BD75" s="66"/>
      <c r="BE75" s="66"/>
    </row>
    <row r="76" spans="6:57" ht="15.75" customHeight="1" x14ac:dyDescent="0.2">
      <c r="F76" s="301"/>
      <c r="G76" s="31" t="s">
        <v>49</v>
      </c>
      <c r="H76" s="31">
        <v>2016</v>
      </c>
      <c r="I76" s="31" t="s">
        <v>50</v>
      </c>
      <c r="J76" s="11">
        <v>0</v>
      </c>
      <c r="K76" s="11">
        <v>4</v>
      </c>
      <c r="L76" s="11">
        <v>0</v>
      </c>
      <c r="M76" s="11">
        <v>1</v>
      </c>
      <c r="N76" s="11">
        <v>4</v>
      </c>
      <c r="P76" s="74">
        <f t="shared" si="102"/>
        <v>4</v>
      </c>
      <c r="Q76" s="6">
        <f t="shared" si="103"/>
        <v>4</v>
      </c>
      <c r="R76" s="6">
        <f t="shared" si="104"/>
        <v>1</v>
      </c>
      <c r="S76" s="74">
        <f t="shared" si="139"/>
        <v>0.33333333333333331</v>
      </c>
      <c r="T76" s="102">
        <f t="shared" si="140"/>
        <v>3.6666666666666665</v>
      </c>
      <c r="U76" s="49"/>
      <c r="V76" s="102">
        <f t="shared" si="105"/>
        <v>17</v>
      </c>
      <c r="W76" s="66">
        <f t="shared" si="106"/>
        <v>0.21107266435986161</v>
      </c>
      <c r="Y76" s="6">
        <f t="shared" si="141"/>
        <v>15</v>
      </c>
      <c r="Z76" s="66">
        <f t="shared" si="142"/>
        <v>0.2088888888888889</v>
      </c>
      <c r="AA76" s="66">
        <f t="shared" si="143"/>
        <v>0.19851851851851848</v>
      </c>
      <c r="AB76" s="74">
        <f t="shared" si="107"/>
        <v>9</v>
      </c>
      <c r="AC76" s="66">
        <f t="shared" si="108"/>
        <v>0.40740740740740738</v>
      </c>
      <c r="AD76" s="103"/>
      <c r="AE76" s="66">
        <f t="shared" si="144"/>
        <v>0.88888888888888884</v>
      </c>
      <c r="AF76" s="6">
        <f t="shared" si="109"/>
        <v>16</v>
      </c>
      <c r="AG76" s="66">
        <f t="shared" si="110"/>
        <v>0.2109375</v>
      </c>
      <c r="AH76" s="66"/>
      <c r="AI76" s="104">
        <f t="shared" si="111"/>
        <v>0.19646990740740738</v>
      </c>
      <c r="AK76" s="6">
        <f t="shared" si="112"/>
        <v>4</v>
      </c>
      <c r="AL76" s="6">
        <f t="shared" si="113"/>
        <v>4</v>
      </c>
      <c r="AM76" s="6">
        <f t="shared" si="114"/>
        <v>3</v>
      </c>
      <c r="AN76" s="6">
        <f t="shared" si="115"/>
        <v>3</v>
      </c>
      <c r="AO76" s="74">
        <f t="shared" si="116"/>
        <v>2</v>
      </c>
      <c r="AP76" s="66">
        <f t="shared" si="117"/>
        <v>0.5</v>
      </c>
      <c r="AQ76" s="66">
        <f t="shared" si="118"/>
        <v>0</v>
      </c>
      <c r="AR76" s="78">
        <f t="shared" si="119"/>
        <v>0</v>
      </c>
      <c r="AS76" s="66">
        <f t="shared" si="120"/>
        <v>0</v>
      </c>
      <c r="AT76" s="66"/>
      <c r="AU76" s="72"/>
      <c r="AV76" s="72"/>
      <c r="AW76" s="72"/>
      <c r="AX76" s="72"/>
      <c r="AY76" s="72"/>
      <c r="AZ76" s="72"/>
      <c r="BA76" s="72"/>
      <c r="BB76" s="72"/>
      <c r="BC76" s="72"/>
      <c r="BD76" s="66"/>
      <c r="BE76" s="66"/>
    </row>
    <row r="77" spans="6:57" ht="15.75" customHeight="1" x14ac:dyDescent="0.2">
      <c r="F77" s="5"/>
      <c r="G77" s="114" t="s">
        <v>125</v>
      </c>
      <c r="J77" s="110">
        <v>1</v>
      </c>
      <c r="K77" s="110">
        <v>1</v>
      </c>
      <c r="L77" s="111">
        <v>1</v>
      </c>
      <c r="M77" s="111">
        <v>2</v>
      </c>
      <c r="N77" s="111">
        <v>2</v>
      </c>
      <c r="P77" s="6">
        <f t="shared" si="102"/>
        <v>2</v>
      </c>
      <c r="Q77" s="6">
        <f t="shared" si="103"/>
        <v>2</v>
      </c>
      <c r="R77" s="6">
        <f t="shared" si="104"/>
        <v>1</v>
      </c>
      <c r="S77" s="74"/>
      <c r="T77" s="102"/>
      <c r="U77" s="49"/>
      <c r="V77" s="102">
        <f t="shared" si="105"/>
        <v>11</v>
      </c>
      <c r="W77" s="66">
        <f t="shared" si="106"/>
        <v>0.23966942148760328</v>
      </c>
      <c r="Z77" s="66"/>
      <c r="AB77" s="6">
        <f t="shared" si="107"/>
        <v>7</v>
      </c>
      <c r="AC77" s="66">
        <f t="shared" si="108"/>
        <v>0.22448979591836732</v>
      </c>
      <c r="AD77" s="103"/>
      <c r="AE77" s="66"/>
      <c r="AF77" s="6">
        <f t="shared" si="109"/>
        <v>15</v>
      </c>
      <c r="AG77" s="66">
        <f t="shared" si="110"/>
        <v>0.21777777777777779</v>
      </c>
      <c r="AH77" s="66"/>
      <c r="AI77" s="104">
        <f t="shared" si="111"/>
        <v>6.7120181405895263E-3</v>
      </c>
      <c r="AK77" s="6">
        <f t="shared" si="112"/>
        <v>4</v>
      </c>
      <c r="AL77" s="6">
        <f t="shared" si="113"/>
        <v>4</v>
      </c>
      <c r="AM77" s="6">
        <f t="shared" si="114"/>
        <v>3</v>
      </c>
      <c r="AN77" s="6">
        <f t="shared" si="115"/>
        <v>2</v>
      </c>
      <c r="AO77" s="74">
        <f t="shared" si="116"/>
        <v>2</v>
      </c>
      <c r="AP77" s="66">
        <f t="shared" si="117"/>
        <v>0.53333333333333333</v>
      </c>
      <c r="AQ77" s="66">
        <f t="shared" si="118"/>
        <v>0</v>
      </c>
      <c r="AR77" s="78">
        <f t="shared" si="119"/>
        <v>0</v>
      </c>
      <c r="AS77" s="66">
        <f t="shared" si="120"/>
        <v>0</v>
      </c>
      <c r="AT77" s="66"/>
      <c r="AU77" s="72"/>
      <c r="AV77" s="72"/>
      <c r="AW77" s="72"/>
      <c r="AX77" s="72"/>
      <c r="AY77" s="72"/>
      <c r="AZ77" s="72"/>
      <c r="BA77" s="72"/>
      <c r="BB77" s="72"/>
      <c r="BC77" s="72"/>
      <c r="BD77" s="66"/>
      <c r="BE77" s="66"/>
    </row>
    <row r="78" spans="6:57" ht="15.75" customHeight="1" x14ac:dyDescent="0.2">
      <c r="F78" s="5"/>
      <c r="G78" s="114" t="s">
        <v>126</v>
      </c>
      <c r="J78" s="110">
        <v>2</v>
      </c>
      <c r="K78" s="110">
        <v>0</v>
      </c>
      <c r="L78" s="111">
        <v>3</v>
      </c>
      <c r="M78" s="111">
        <v>1</v>
      </c>
      <c r="N78" s="111">
        <v>0</v>
      </c>
      <c r="P78" s="6">
        <f t="shared" si="102"/>
        <v>3</v>
      </c>
      <c r="Q78" s="6">
        <f t="shared" si="103"/>
        <v>2</v>
      </c>
      <c r="R78" s="6">
        <f t="shared" si="104"/>
        <v>1</v>
      </c>
      <c r="S78" s="74"/>
      <c r="T78" s="102"/>
      <c r="U78" s="49"/>
      <c r="V78" s="102">
        <f t="shared" si="105"/>
        <v>10</v>
      </c>
      <c r="W78" s="66">
        <f t="shared" si="106"/>
        <v>0.24000000000000002</v>
      </c>
      <c r="Z78" s="66"/>
      <c r="AB78" s="6">
        <f t="shared" si="107"/>
        <v>6</v>
      </c>
      <c r="AC78" s="66">
        <f t="shared" si="108"/>
        <v>0.3888888888888889</v>
      </c>
      <c r="AD78" s="103"/>
      <c r="AE78" s="66"/>
      <c r="AF78" s="6">
        <f t="shared" si="109"/>
        <v>14</v>
      </c>
      <c r="AG78" s="66">
        <f t="shared" si="110"/>
        <v>0.21428571428571425</v>
      </c>
      <c r="AH78" s="66"/>
      <c r="AI78" s="104">
        <f t="shared" si="111"/>
        <v>0.17460317460317465</v>
      </c>
      <c r="AK78" s="6">
        <f t="shared" si="112"/>
        <v>4</v>
      </c>
      <c r="AL78" s="6">
        <f t="shared" si="113"/>
        <v>3</v>
      </c>
      <c r="AM78" s="6">
        <f t="shared" si="114"/>
        <v>3</v>
      </c>
      <c r="AN78" s="6">
        <f t="shared" si="115"/>
        <v>2</v>
      </c>
      <c r="AO78" s="74">
        <f t="shared" si="116"/>
        <v>2</v>
      </c>
      <c r="AP78" s="66" t="b">
        <f t="shared" si="117"/>
        <v>0</v>
      </c>
      <c r="AQ78" s="66">
        <f t="shared" si="118"/>
        <v>0</v>
      </c>
      <c r="AR78" s="78">
        <f t="shared" si="119"/>
        <v>0</v>
      </c>
      <c r="AS78" s="66">
        <f t="shared" si="120"/>
        <v>0</v>
      </c>
      <c r="AT78" s="66"/>
      <c r="AU78" s="72"/>
      <c r="AV78" s="72"/>
      <c r="AW78" s="72"/>
      <c r="AX78" s="72"/>
      <c r="AY78" s="72"/>
      <c r="AZ78" s="72"/>
      <c r="BA78" s="72"/>
      <c r="BB78" s="72"/>
      <c r="BC78" s="72"/>
      <c r="BD78" s="66"/>
      <c r="BE78" s="66"/>
    </row>
    <row r="79" spans="6:57" ht="15.75" customHeight="1" x14ac:dyDescent="0.2">
      <c r="F79" s="300" t="s">
        <v>51</v>
      </c>
      <c r="G79" s="34" t="s">
        <v>52</v>
      </c>
      <c r="H79" s="34">
        <v>1887</v>
      </c>
      <c r="I79" s="34" t="s">
        <v>14</v>
      </c>
      <c r="J79" s="11">
        <v>3</v>
      </c>
      <c r="K79" s="11">
        <v>3</v>
      </c>
      <c r="L79" s="11">
        <v>1</v>
      </c>
      <c r="M79" s="11">
        <v>1</v>
      </c>
      <c r="N79" s="11">
        <v>1</v>
      </c>
      <c r="P79" s="74">
        <f t="shared" si="102"/>
        <v>3</v>
      </c>
      <c r="Q79" s="6">
        <f t="shared" si="103"/>
        <v>3</v>
      </c>
      <c r="R79" s="6">
        <f t="shared" si="104"/>
        <v>1</v>
      </c>
      <c r="S79" s="74">
        <f t="shared" ref="S79:S83" si="145">(SUM(J79:N79)-P79-Q79)/3</f>
        <v>1</v>
      </c>
      <c r="T79" s="102">
        <f t="shared" ref="T79:T83" si="146">(P79+Q79)/2 -S79</f>
        <v>2</v>
      </c>
      <c r="U79" s="49"/>
      <c r="V79" s="102">
        <f t="shared" si="105"/>
        <v>10</v>
      </c>
      <c r="W79" s="66">
        <f t="shared" si="106"/>
        <v>0.24000000000000002</v>
      </c>
      <c r="Y79" s="6">
        <f t="shared" ref="Y79:Y83" si="147">SUM(U34:Y34)</f>
        <v>11</v>
      </c>
      <c r="Z79" s="66">
        <f t="shared" ref="Z79:Z83" si="148">IF(Y79=0,0, (U34/Y79)^2 + (V34/Y79)^2 + (W34/Y79)^2 + (X34/Y79)^2 + (Y34/Y79)^2)</f>
        <v>0.30578512396694213</v>
      </c>
      <c r="AA79" s="66">
        <f t="shared" ref="AA79:AA83" si="149">AC79-Z79</f>
        <v>-4.6525864707682885E-2</v>
      </c>
      <c r="AB79" s="74">
        <f t="shared" si="107"/>
        <v>9</v>
      </c>
      <c r="AC79" s="66">
        <f t="shared" si="108"/>
        <v>0.25925925925925924</v>
      </c>
      <c r="AD79" s="103"/>
      <c r="AE79" s="66">
        <f t="shared" ref="AE79:AE83" si="150">IF(AND(P79&gt;=3, Q79&gt;=3), (P79+Q79)/AB79, IF(Q79&gt;=3, Q79/AB79, 0))</f>
        <v>0.66666666666666663</v>
      </c>
      <c r="AF79" s="6">
        <f t="shared" si="109"/>
        <v>18</v>
      </c>
      <c r="AG79" s="66">
        <f t="shared" si="110"/>
        <v>0.20370370370370372</v>
      </c>
      <c r="AH79" s="66"/>
      <c r="AI79" s="104">
        <f t="shared" si="111"/>
        <v>5.5555555555555525E-2</v>
      </c>
      <c r="AK79" s="6">
        <f t="shared" si="112"/>
        <v>4</v>
      </c>
      <c r="AL79" s="6">
        <f t="shared" si="113"/>
        <v>4</v>
      </c>
      <c r="AM79" s="6">
        <f t="shared" si="114"/>
        <v>4</v>
      </c>
      <c r="AN79" s="6">
        <f t="shared" si="115"/>
        <v>3</v>
      </c>
      <c r="AO79" s="74">
        <f t="shared" si="116"/>
        <v>3</v>
      </c>
      <c r="AP79" s="66">
        <f t="shared" si="117"/>
        <v>0.44444444444444442</v>
      </c>
      <c r="AQ79" s="66">
        <f t="shared" si="118"/>
        <v>0.66666666666666663</v>
      </c>
      <c r="AR79" s="78">
        <f t="shared" si="119"/>
        <v>0</v>
      </c>
      <c r="AS79" s="66">
        <f t="shared" si="120"/>
        <v>0</v>
      </c>
      <c r="AT79" s="66"/>
      <c r="AU79" s="72"/>
      <c r="AV79" s="72"/>
      <c r="AW79" s="72"/>
      <c r="AX79" s="72"/>
      <c r="AY79" s="72"/>
      <c r="AZ79" s="72"/>
      <c r="BA79" s="72"/>
      <c r="BB79" s="72"/>
      <c r="BC79" s="72"/>
      <c r="BD79" s="66"/>
      <c r="BE79" s="66"/>
    </row>
    <row r="80" spans="6:57" ht="15.75" customHeight="1" x14ac:dyDescent="0.2">
      <c r="F80" s="301"/>
      <c r="G80" s="34" t="s">
        <v>53</v>
      </c>
      <c r="H80" s="34">
        <v>1945</v>
      </c>
      <c r="I80" s="34" t="s">
        <v>54</v>
      </c>
      <c r="J80" s="11">
        <v>3</v>
      </c>
      <c r="K80" s="11">
        <v>0</v>
      </c>
      <c r="L80" s="11">
        <v>0</v>
      </c>
      <c r="M80" s="11">
        <v>1</v>
      </c>
      <c r="N80" s="11">
        <v>1</v>
      </c>
      <c r="P80" s="74">
        <f t="shared" si="102"/>
        <v>3</v>
      </c>
      <c r="Q80" s="6">
        <f t="shared" si="103"/>
        <v>1</v>
      </c>
      <c r="R80" s="6">
        <f t="shared" si="104"/>
        <v>1</v>
      </c>
      <c r="S80" s="74">
        <f t="shared" si="145"/>
        <v>0.33333333333333331</v>
      </c>
      <c r="T80" s="102">
        <f t="shared" si="146"/>
        <v>1.6666666666666667</v>
      </c>
      <c r="U80" s="49"/>
      <c r="V80" s="102">
        <f t="shared" si="105"/>
        <v>6</v>
      </c>
      <c r="W80" s="66">
        <f t="shared" si="106"/>
        <v>0.3888888888888889</v>
      </c>
      <c r="Y80" s="6">
        <f t="shared" si="147"/>
        <v>10</v>
      </c>
      <c r="Z80" s="66">
        <f t="shared" si="148"/>
        <v>0.30000000000000004</v>
      </c>
      <c r="AA80" s="66">
        <f t="shared" si="149"/>
        <v>0.14000000000000001</v>
      </c>
      <c r="AB80" s="74">
        <f t="shared" si="107"/>
        <v>5</v>
      </c>
      <c r="AC80" s="66">
        <f t="shared" si="108"/>
        <v>0.44000000000000006</v>
      </c>
      <c r="AD80" s="103"/>
      <c r="AE80" s="66">
        <f t="shared" si="150"/>
        <v>0</v>
      </c>
      <c r="AF80" s="6">
        <f t="shared" si="109"/>
        <v>12</v>
      </c>
      <c r="AG80" s="66">
        <f t="shared" si="110"/>
        <v>0.2361111111111111</v>
      </c>
      <c r="AH80" s="66"/>
      <c r="AI80" s="104">
        <f t="shared" si="111"/>
        <v>0.20388888888888895</v>
      </c>
      <c r="AK80" s="6">
        <f t="shared" si="112"/>
        <v>4</v>
      </c>
      <c r="AL80" s="6">
        <f t="shared" si="113"/>
        <v>3</v>
      </c>
      <c r="AM80" s="6">
        <f t="shared" si="114"/>
        <v>2</v>
      </c>
      <c r="AN80" s="6">
        <f t="shared" si="115"/>
        <v>2</v>
      </c>
      <c r="AO80" s="74">
        <f t="shared" si="116"/>
        <v>1</v>
      </c>
      <c r="AP80" s="66" t="b">
        <f t="shared" si="117"/>
        <v>0</v>
      </c>
      <c r="AQ80" s="66">
        <f t="shared" si="118"/>
        <v>0</v>
      </c>
      <c r="AR80" s="78">
        <f t="shared" si="119"/>
        <v>0</v>
      </c>
      <c r="AS80" s="66">
        <f t="shared" si="120"/>
        <v>0</v>
      </c>
      <c r="AT80" s="66"/>
      <c r="AU80" s="72"/>
      <c r="AV80" s="72"/>
      <c r="AW80" s="72"/>
      <c r="AX80" s="72"/>
      <c r="AY80" s="72"/>
      <c r="AZ80" s="72"/>
      <c r="BA80" s="72"/>
      <c r="BB80" s="72"/>
      <c r="BC80" s="72"/>
      <c r="BD80" s="66"/>
      <c r="BE80" s="66"/>
    </row>
    <row r="81" spans="1:57" ht="15.75" customHeight="1" x14ac:dyDescent="0.2">
      <c r="F81" s="301"/>
      <c r="G81" s="34" t="s">
        <v>55</v>
      </c>
      <c r="H81" s="34">
        <v>1872</v>
      </c>
      <c r="I81" s="34" t="s">
        <v>56</v>
      </c>
      <c r="J81" s="11">
        <v>2</v>
      </c>
      <c r="K81" s="11">
        <v>0</v>
      </c>
      <c r="L81" s="11">
        <v>3</v>
      </c>
      <c r="M81" s="11">
        <v>1</v>
      </c>
      <c r="N81" s="11">
        <v>0</v>
      </c>
      <c r="P81" s="74">
        <f t="shared" si="102"/>
        <v>3</v>
      </c>
      <c r="Q81" s="6">
        <f t="shared" si="103"/>
        <v>2</v>
      </c>
      <c r="R81" s="6">
        <f t="shared" si="104"/>
        <v>1</v>
      </c>
      <c r="S81" s="74">
        <f t="shared" si="145"/>
        <v>0.33333333333333331</v>
      </c>
      <c r="T81" s="102">
        <f t="shared" si="146"/>
        <v>2.1666666666666665</v>
      </c>
      <c r="U81" s="49"/>
      <c r="V81" s="102">
        <f t="shared" si="105"/>
        <v>6</v>
      </c>
      <c r="W81" s="66">
        <f t="shared" si="106"/>
        <v>0.3888888888888889</v>
      </c>
      <c r="Y81" s="6">
        <f t="shared" si="147"/>
        <v>7</v>
      </c>
      <c r="Z81" s="66">
        <f t="shared" si="148"/>
        <v>0.38775510204081637</v>
      </c>
      <c r="AA81" s="66">
        <f t="shared" si="149"/>
        <v>1.1337868480725266E-3</v>
      </c>
      <c r="AB81" s="74">
        <f t="shared" si="107"/>
        <v>6</v>
      </c>
      <c r="AC81" s="66">
        <f t="shared" si="108"/>
        <v>0.3888888888888889</v>
      </c>
      <c r="AD81" s="103"/>
      <c r="AE81" s="66">
        <f t="shared" si="150"/>
        <v>0</v>
      </c>
      <c r="AF81" s="6">
        <f t="shared" si="109"/>
        <v>14</v>
      </c>
      <c r="AG81" s="66">
        <f t="shared" si="110"/>
        <v>0.21428571428571427</v>
      </c>
      <c r="AH81" s="66"/>
      <c r="AI81" s="104">
        <f t="shared" si="111"/>
        <v>0.17460317460317462</v>
      </c>
      <c r="AK81" s="6">
        <f t="shared" si="112"/>
        <v>4</v>
      </c>
      <c r="AL81" s="6">
        <f t="shared" si="113"/>
        <v>3</v>
      </c>
      <c r="AM81" s="6">
        <f t="shared" si="114"/>
        <v>3</v>
      </c>
      <c r="AN81" s="6">
        <f t="shared" si="115"/>
        <v>2</v>
      </c>
      <c r="AO81" s="74">
        <f t="shared" si="116"/>
        <v>2</v>
      </c>
      <c r="AP81" s="66" t="b">
        <f t="shared" si="117"/>
        <v>0</v>
      </c>
      <c r="AQ81" s="66">
        <f t="shared" si="118"/>
        <v>0</v>
      </c>
      <c r="AR81" s="78">
        <f t="shared" si="119"/>
        <v>0</v>
      </c>
      <c r="AS81" s="66">
        <f t="shared" si="120"/>
        <v>0</v>
      </c>
      <c r="AT81" s="66"/>
      <c r="AU81" s="72"/>
      <c r="AV81" s="72"/>
      <c r="AW81" s="72"/>
      <c r="AX81" s="72"/>
      <c r="AY81" s="72"/>
      <c r="AZ81" s="72"/>
      <c r="BA81" s="72"/>
      <c r="BB81" s="72"/>
      <c r="BC81" s="72"/>
      <c r="BD81" s="66"/>
      <c r="BE81" s="66"/>
    </row>
    <row r="82" spans="1:57" ht="15.75" customHeight="1" x14ac:dyDescent="0.2">
      <c r="F82" s="301"/>
      <c r="G82" s="34" t="s">
        <v>57</v>
      </c>
      <c r="H82" s="34">
        <v>2012</v>
      </c>
      <c r="I82" s="34" t="s">
        <v>58</v>
      </c>
      <c r="J82" s="11">
        <v>3</v>
      </c>
      <c r="K82" s="11">
        <v>1</v>
      </c>
      <c r="L82" s="11">
        <v>4</v>
      </c>
      <c r="M82" s="11">
        <v>1</v>
      </c>
      <c r="N82" s="11">
        <v>0</v>
      </c>
      <c r="P82" s="74">
        <f t="shared" si="102"/>
        <v>4</v>
      </c>
      <c r="Q82" s="6">
        <f t="shared" si="103"/>
        <v>3</v>
      </c>
      <c r="R82" s="6">
        <f t="shared" si="104"/>
        <v>1</v>
      </c>
      <c r="S82" s="74">
        <f t="shared" si="145"/>
        <v>0.66666666666666663</v>
      </c>
      <c r="T82" s="102">
        <f t="shared" si="146"/>
        <v>2.8333333333333335</v>
      </c>
      <c r="U82" s="49"/>
      <c r="V82" s="102">
        <f t="shared" si="105"/>
        <v>8</v>
      </c>
      <c r="W82" s="66">
        <f t="shared" si="106"/>
        <v>0.28125</v>
      </c>
      <c r="Y82" s="6">
        <f t="shared" si="147"/>
        <v>11</v>
      </c>
      <c r="Z82" s="66">
        <f t="shared" si="148"/>
        <v>0.23966942148760331</v>
      </c>
      <c r="AA82" s="66">
        <f t="shared" si="149"/>
        <v>9.3663911845730002E-2</v>
      </c>
      <c r="AB82" s="74">
        <f t="shared" si="107"/>
        <v>9</v>
      </c>
      <c r="AC82" s="66">
        <f t="shared" si="108"/>
        <v>0.33333333333333331</v>
      </c>
      <c r="AD82" s="103"/>
      <c r="AE82" s="66">
        <f t="shared" si="150"/>
        <v>0.77777777777777779</v>
      </c>
      <c r="AF82" s="6">
        <f t="shared" si="109"/>
        <v>13</v>
      </c>
      <c r="AG82" s="66">
        <f t="shared" si="110"/>
        <v>0.21893491124260359</v>
      </c>
      <c r="AH82" s="66"/>
      <c r="AI82" s="104">
        <f t="shared" si="111"/>
        <v>0.11439842209072973</v>
      </c>
      <c r="AK82" s="6">
        <f t="shared" si="112"/>
        <v>4</v>
      </c>
      <c r="AL82" s="6">
        <f t="shared" si="113"/>
        <v>3</v>
      </c>
      <c r="AM82" s="6">
        <f t="shared" si="114"/>
        <v>2</v>
      </c>
      <c r="AN82" s="6">
        <f t="shared" si="115"/>
        <v>2</v>
      </c>
      <c r="AO82" s="74">
        <f t="shared" si="116"/>
        <v>2</v>
      </c>
      <c r="AP82" s="66" t="b">
        <f t="shared" si="117"/>
        <v>0</v>
      </c>
      <c r="AQ82" s="66">
        <f t="shared" si="118"/>
        <v>0</v>
      </c>
      <c r="AR82" s="78">
        <f t="shared" si="119"/>
        <v>0</v>
      </c>
      <c r="AS82" s="66">
        <f t="shared" si="120"/>
        <v>0</v>
      </c>
      <c r="AT82" s="66"/>
      <c r="AU82" s="72"/>
      <c r="AV82" s="72"/>
      <c r="AW82" s="72"/>
      <c r="AX82" s="72"/>
      <c r="AY82" s="72"/>
      <c r="AZ82" s="72"/>
      <c r="BA82" s="72"/>
      <c r="BB82" s="72"/>
      <c r="BC82" s="72"/>
      <c r="BD82" s="66"/>
      <c r="BE82" s="66"/>
    </row>
    <row r="83" spans="1:57" ht="15.75" customHeight="1" x14ac:dyDescent="0.2">
      <c r="F83" s="301"/>
      <c r="G83" s="34" t="s">
        <v>59</v>
      </c>
      <c r="H83" s="34">
        <v>2010</v>
      </c>
      <c r="I83" s="34" t="s">
        <v>60</v>
      </c>
      <c r="J83" s="6">
        <v>3</v>
      </c>
      <c r="K83" s="6">
        <v>3</v>
      </c>
      <c r="L83" s="6">
        <v>2</v>
      </c>
      <c r="M83" s="6">
        <v>1</v>
      </c>
      <c r="N83" s="6">
        <v>0</v>
      </c>
      <c r="P83" s="6">
        <f t="shared" si="102"/>
        <v>3</v>
      </c>
      <c r="Q83" s="6">
        <f t="shared" si="103"/>
        <v>3</v>
      </c>
      <c r="R83" s="6">
        <f t="shared" si="104"/>
        <v>2</v>
      </c>
      <c r="S83" s="74">
        <f t="shared" si="145"/>
        <v>1</v>
      </c>
      <c r="T83" s="102">
        <f t="shared" si="146"/>
        <v>2</v>
      </c>
      <c r="U83" s="49"/>
      <c r="V83" s="102">
        <f t="shared" si="105"/>
        <v>17</v>
      </c>
      <c r="W83" s="66">
        <f t="shared" si="106"/>
        <v>0.21107266435986161</v>
      </c>
      <c r="Y83" s="6">
        <f t="shared" si="147"/>
        <v>12</v>
      </c>
      <c r="Z83" s="66">
        <f t="shared" si="148"/>
        <v>0.2638888888888889</v>
      </c>
      <c r="AA83" s="66">
        <f t="shared" si="149"/>
        <v>2.0061728395061706E-2</v>
      </c>
      <c r="AB83" s="6">
        <f t="shared" si="107"/>
        <v>9</v>
      </c>
      <c r="AC83" s="66">
        <f t="shared" si="108"/>
        <v>0.2839506172839506</v>
      </c>
      <c r="AD83" s="103"/>
      <c r="AE83" s="66">
        <f t="shared" si="150"/>
        <v>0.66666666666666663</v>
      </c>
      <c r="AF83" s="6">
        <f t="shared" si="109"/>
        <v>16</v>
      </c>
      <c r="AG83" s="66">
        <f t="shared" si="110"/>
        <v>0.203125</v>
      </c>
      <c r="AH83" s="66"/>
      <c r="AI83" s="104">
        <f t="shared" si="111"/>
        <v>8.0825617283950602E-2</v>
      </c>
      <c r="AK83" s="6">
        <f t="shared" si="112"/>
        <v>4</v>
      </c>
      <c r="AL83" s="6">
        <f t="shared" si="113"/>
        <v>3</v>
      </c>
      <c r="AM83" s="6">
        <f t="shared" si="114"/>
        <v>3</v>
      </c>
      <c r="AN83" s="6">
        <f t="shared" si="115"/>
        <v>3</v>
      </c>
      <c r="AO83" s="74">
        <f t="shared" si="116"/>
        <v>3</v>
      </c>
      <c r="AP83" s="66" t="b">
        <f t="shared" si="117"/>
        <v>0</v>
      </c>
      <c r="AQ83" s="66">
        <f t="shared" si="118"/>
        <v>0</v>
      </c>
      <c r="AR83" s="78">
        <f t="shared" si="119"/>
        <v>0</v>
      </c>
      <c r="AS83" s="66">
        <f t="shared" si="120"/>
        <v>0</v>
      </c>
      <c r="AT83" s="66"/>
      <c r="AU83" s="72"/>
      <c r="AV83" s="72"/>
      <c r="AW83" s="72"/>
      <c r="AX83" s="72"/>
      <c r="AY83" s="72"/>
      <c r="AZ83" s="72"/>
      <c r="BA83" s="72"/>
      <c r="BB83" s="72"/>
      <c r="BC83" s="72"/>
      <c r="BD83" s="66"/>
      <c r="BE83" s="66"/>
    </row>
    <row r="84" spans="1:57" ht="15.75" customHeight="1" x14ac:dyDescent="0.2">
      <c r="A84" s="89"/>
      <c r="B84" s="89"/>
      <c r="C84" s="89"/>
      <c r="D84" s="89"/>
      <c r="E84" s="89"/>
      <c r="AA84" s="82" t="s">
        <v>177</v>
      </c>
      <c r="AB84" s="82" t="s">
        <v>178</v>
      </c>
      <c r="AC84" s="82" t="s">
        <v>179</v>
      </c>
      <c r="AD84" s="62" t="s">
        <v>180</v>
      </c>
      <c r="AE84" s="62" t="s">
        <v>181</v>
      </c>
      <c r="AF84" s="62" t="s">
        <v>182</v>
      </c>
      <c r="AQ84" s="66"/>
      <c r="AR84" s="78"/>
      <c r="AS84" s="66"/>
      <c r="AT84" s="66"/>
      <c r="AU84" s="72"/>
      <c r="AV84" s="72"/>
      <c r="AW84" s="72"/>
      <c r="AX84" s="72"/>
      <c r="AY84" s="72"/>
      <c r="AZ84" s="72"/>
      <c r="BA84" s="72"/>
      <c r="BB84" s="72"/>
      <c r="BC84" s="72"/>
      <c r="BD84" s="66"/>
      <c r="BE84" s="66"/>
    </row>
    <row r="85" spans="1:57" ht="15.75" customHeight="1" x14ac:dyDescent="0.2">
      <c r="A85" s="89"/>
      <c r="B85" s="89"/>
      <c r="C85" s="89"/>
      <c r="D85" s="89"/>
      <c r="E85" s="89"/>
      <c r="S85" s="115" t="s">
        <v>183</v>
      </c>
      <c r="T85" s="115" t="s">
        <v>184</v>
      </c>
      <c r="U85" s="115" t="s">
        <v>185</v>
      </c>
      <c r="V85" s="115" t="s">
        <v>186</v>
      </c>
      <c r="W85" s="115" t="s">
        <v>187</v>
      </c>
      <c r="X85" s="97" t="s">
        <v>188</v>
      </c>
      <c r="AA85" s="66">
        <f>AVERAGE(AC49:AC83)/(STDEV(AC49:AC83)/(SQRT(COUNT(AC49:AC83))))</f>
        <v>16.853964799760593</v>
      </c>
      <c r="AB85" s="66">
        <f>AVERAGE(AG49:AG83)/(STDEV(AG49:AG83)/(SQRT(COUNT(AG49:AG83))))</f>
        <v>135.5000172196828</v>
      </c>
      <c r="AC85" s="66">
        <f>AVERAGE(Z51:Z83)/(STDEV(Z51:Z83)/(SQRT(COUNT(Z51:Z83))))</f>
        <v>27.466257618757467</v>
      </c>
      <c r="AD85" s="66">
        <f>AVERAGE(AQ6:AQ38)/(STDEV(AQ6:AQ38)/(SQRT(COUNT(AQ6:AQ38))))</f>
        <v>11.183391305747191</v>
      </c>
      <c r="AE85" s="66">
        <f>AE87/(AI89/(SQRT(COUNT(BD6:BD38))))</f>
        <v>35.932217035942408</v>
      </c>
      <c r="AF85" s="66">
        <f>AVERAGE(W49:W83)/(STDEV(W49:W83)/(SQRT(COUNT(W49:W83))))</f>
        <v>32.797374798990013</v>
      </c>
      <c r="AG85" s="116" t="s">
        <v>189</v>
      </c>
      <c r="AH85" s="116"/>
      <c r="AI85" s="117">
        <f>STDEV(AC49:AC83)</f>
        <v>0.13157731031966652</v>
      </c>
      <c r="AJ85" s="307" t="s">
        <v>190</v>
      </c>
      <c r="AK85" s="301"/>
      <c r="AL85" s="301"/>
      <c r="AM85" s="301"/>
      <c r="AN85" s="301"/>
      <c r="AO85" s="301"/>
      <c r="AP85" s="66">
        <f t="shared" ref="AP85:AS85" si="151">AVERAGE(AP49:AP83)/(STDEV(AP49:AP83)/(SQRT(COUNT(AP49:AP83))))</f>
        <v>46.624523582338014</v>
      </c>
      <c r="AQ85" s="66">
        <f t="shared" si="151"/>
        <v>4.4720663514172374</v>
      </c>
      <c r="AR85" s="66">
        <f t="shared" si="151"/>
        <v>2.093971612436945</v>
      </c>
      <c r="AS85" s="66">
        <f t="shared" si="151"/>
        <v>1</v>
      </c>
      <c r="AT85" s="66"/>
      <c r="AU85" s="72"/>
      <c r="AV85" s="72"/>
      <c r="AW85" s="72"/>
      <c r="AX85" s="72"/>
      <c r="AY85" s="72"/>
      <c r="AZ85" s="72"/>
      <c r="BA85" s="72"/>
      <c r="BB85" s="72"/>
      <c r="BC85" s="72"/>
      <c r="BD85" s="66"/>
      <c r="BE85" s="66"/>
    </row>
    <row r="86" spans="1:57" ht="15.75" customHeight="1" x14ac:dyDescent="0.2">
      <c r="A86" s="89"/>
      <c r="B86" s="89"/>
      <c r="C86" s="89"/>
      <c r="D86" s="89"/>
      <c r="E86" s="89"/>
      <c r="S86" s="115">
        <v>13</v>
      </c>
      <c r="T86" s="115">
        <v>25</v>
      </c>
      <c r="U86" s="115">
        <v>20</v>
      </c>
      <c r="V86" s="115">
        <v>12</v>
      </c>
      <c r="W86" s="115">
        <v>13</v>
      </c>
      <c r="Y86" s="6"/>
      <c r="Z86" s="6" t="s">
        <v>191</v>
      </c>
      <c r="AA86" s="118">
        <f t="shared" ref="AA86:AB86" si="152">_xlfn.T.DIST.RT(AA85, 34)</f>
        <v>2.2267535509137757E-18</v>
      </c>
      <c r="AB86" s="118">
        <f t="shared" si="152"/>
        <v>2.3329284040395622E-48</v>
      </c>
      <c r="AC86" s="118">
        <f t="shared" ref="AC86:AE86" si="153">_xlfn.T.DIST.RT(AC85, 24)</f>
        <v>6.0351064185139414E-20</v>
      </c>
      <c r="AD86" s="118">
        <f t="shared" si="153"/>
        <v>2.6494844945762425E-11</v>
      </c>
      <c r="AE86" s="118">
        <f t="shared" si="153"/>
        <v>1.1089317533525562E-22</v>
      </c>
      <c r="AF86" s="118">
        <f>_xlfn.T.DIST.RT(AF85, 34)</f>
        <v>1.2741351718215639E-27</v>
      </c>
      <c r="AG86" s="119" t="s">
        <v>192</v>
      </c>
      <c r="AH86" s="119"/>
      <c r="AI86" s="117">
        <f>STDEV(AG49:AG83)</f>
        <v>9.2407593484867909E-3</v>
      </c>
      <c r="AO86" s="120"/>
      <c r="AP86" s="120">
        <f t="shared" ref="AP86:AS86" si="154">_xlfn.T.DIST.RT(AP85, 24)</f>
        <v>2.32835490966892E-25</v>
      </c>
      <c r="AQ86" s="120">
        <f t="shared" si="154"/>
        <v>7.9508829545005697E-5</v>
      </c>
      <c r="AR86" s="63">
        <f t="shared" si="154"/>
        <v>2.350132620971581E-2</v>
      </c>
      <c r="AS86" s="121">
        <f t="shared" si="154"/>
        <v>0.16364344063989261</v>
      </c>
      <c r="AT86" s="121"/>
      <c r="AU86" s="122"/>
      <c r="AV86" s="122"/>
      <c r="AW86" s="122"/>
      <c r="AX86" s="122"/>
      <c r="AY86" s="122"/>
      <c r="AZ86" s="122"/>
      <c r="BA86" s="122"/>
      <c r="BB86" s="122"/>
      <c r="BC86" s="122"/>
      <c r="BD86" s="121"/>
      <c r="BE86" s="121"/>
    </row>
    <row r="87" spans="1:57" ht="15.75" customHeight="1" x14ac:dyDescent="0.2">
      <c r="A87" s="89"/>
      <c r="B87" s="89"/>
      <c r="C87" s="89"/>
      <c r="D87" s="89"/>
      <c r="E87" s="89"/>
      <c r="Y87" s="6"/>
      <c r="Z87" s="88" t="s">
        <v>193</v>
      </c>
      <c r="AA87" s="104">
        <f>AVERAGE(AC49:AC83)</f>
        <v>0.37484270629848865</v>
      </c>
      <c r="AB87" s="104">
        <f>AVERAGE(AG49:AG83)</f>
        <v>0.2116474247727064</v>
      </c>
      <c r="AC87" s="104">
        <f>AVERAGE(Z51:Z83)</f>
        <v>0.29000495350177752</v>
      </c>
      <c r="AD87" s="104">
        <f>AVERAGE(AQ6:AQ38)</f>
        <v>0.33978352344674356</v>
      </c>
      <c r="AE87" s="66">
        <f>AVERAGE(BD6:BD38)</f>
        <v>0.25264306306573064</v>
      </c>
      <c r="AF87" s="104">
        <f>AVERAGE(W49:W83)</f>
        <v>0.26118031465473107</v>
      </c>
      <c r="AG87" s="123" t="s">
        <v>194</v>
      </c>
      <c r="AH87" s="123"/>
      <c r="AI87" s="117">
        <f>STDEV(Z51:Z83)</f>
        <v>5.2792950085730851E-2</v>
      </c>
      <c r="AP87" s="66">
        <f t="shared" ref="AP87:AS87" si="155">AVERAGE(AP49:AP83)</f>
        <v>0.48134611037397412</v>
      </c>
      <c r="AQ87" s="66">
        <f t="shared" si="155"/>
        <v>0.24620816747751734</v>
      </c>
      <c r="AR87" s="66">
        <f t="shared" si="155"/>
        <v>9.5037593984962393E-2</v>
      </c>
      <c r="AS87" s="66">
        <f t="shared" si="155"/>
        <v>2.8571428571428571E-2</v>
      </c>
      <c r="AU87" s="96"/>
      <c r="AV87" s="96"/>
      <c r="AW87" s="96"/>
      <c r="AX87" s="96"/>
      <c r="AY87" s="96"/>
      <c r="AZ87" s="96"/>
      <c r="BA87" s="96"/>
      <c r="BB87" s="96"/>
      <c r="BC87" s="96"/>
    </row>
    <row r="88" spans="1:57" ht="15.75" customHeight="1" x14ac:dyDescent="0.2">
      <c r="A88" s="89"/>
      <c r="B88" s="89"/>
      <c r="C88" s="89"/>
      <c r="D88" s="89"/>
      <c r="E88" s="89"/>
      <c r="Y88" s="6"/>
      <c r="Z88" s="88" t="s">
        <v>195</v>
      </c>
      <c r="AA88" s="104">
        <f t="shared" ref="AA88:AF88" si="156">1/AA87</f>
        <v>2.6677856690205846</v>
      </c>
      <c r="AB88" s="104">
        <f t="shared" si="156"/>
        <v>4.7248389677971545</v>
      </c>
      <c r="AC88" s="104">
        <f t="shared" si="156"/>
        <v>3.4482169629349824</v>
      </c>
      <c r="AD88" s="104">
        <f t="shared" si="156"/>
        <v>2.9430502981900366</v>
      </c>
      <c r="AE88" s="104">
        <f t="shared" si="156"/>
        <v>3.9581534037205208</v>
      </c>
      <c r="AF88" s="104">
        <f t="shared" si="156"/>
        <v>3.8287724759117325</v>
      </c>
      <c r="AG88" s="124" t="s">
        <v>196</v>
      </c>
      <c r="AH88" s="124"/>
      <c r="AI88" s="117">
        <f>STDEV(AQ6:AQ38)</f>
        <v>0.15191434966248896</v>
      </c>
      <c r="AO88" s="66"/>
      <c r="AP88" s="66">
        <f t="shared" ref="AP88:AS88" si="157">1/AP87</f>
        <v>2.0775071792375472</v>
      </c>
      <c r="AQ88" s="66">
        <f t="shared" si="157"/>
        <v>4.06160368376616</v>
      </c>
      <c r="AR88" s="78">
        <f t="shared" si="157"/>
        <v>10.522151898734178</v>
      </c>
      <c r="AS88" s="66">
        <f t="shared" si="157"/>
        <v>35</v>
      </c>
      <c r="AT88" s="66"/>
      <c r="AU88" s="72"/>
      <c r="AV88" s="72"/>
      <c r="AW88" s="72"/>
      <c r="AX88" s="72"/>
      <c r="AY88" s="72"/>
      <c r="AZ88" s="72"/>
      <c r="BA88" s="72"/>
      <c r="BB88" s="72"/>
      <c r="BC88" s="72"/>
      <c r="BD88" s="66"/>
      <c r="BE88" s="66"/>
    </row>
    <row r="89" spans="1:57" ht="15.75" customHeight="1" x14ac:dyDescent="0.2">
      <c r="A89" s="89"/>
      <c r="B89" s="89"/>
      <c r="C89" s="89"/>
      <c r="D89" s="89"/>
      <c r="E89" s="89"/>
      <c r="AC89" s="125"/>
      <c r="AD89" s="125"/>
      <c r="AE89" s="125"/>
      <c r="AF89" s="126"/>
      <c r="AG89" s="124" t="s">
        <v>197</v>
      </c>
      <c r="AH89" s="124"/>
      <c r="AI89" s="117">
        <f>STDEV(BD6:BD38)</f>
        <v>3.5155507216965753E-2</v>
      </c>
      <c r="AU89" s="96"/>
      <c r="AV89" s="96"/>
      <c r="AW89" s="96"/>
      <c r="AX89" s="96"/>
      <c r="AY89" s="96"/>
      <c r="AZ89" s="96"/>
      <c r="BA89" s="96"/>
      <c r="BB89" s="96"/>
      <c r="BC89" s="96"/>
    </row>
    <row r="90" spans="1:57" ht="15.75" customHeight="1" x14ac:dyDescent="0.2">
      <c r="A90" s="89"/>
      <c r="B90" s="89"/>
      <c r="C90" s="89"/>
      <c r="D90" s="89"/>
      <c r="E90" s="89"/>
      <c r="AC90" s="125"/>
      <c r="AD90" s="125"/>
      <c r="AE90" s="125"/>
      <c r="AF90" s="126"/>
      <c r="AU90" s="96"/>
      <c r="AV90" s="96"/>
      <c r="AW90" s="96"/>
      <c r="AX90" s="96"/>
      <c r="AY90" s="96"/>
      <c r="AZ90" s="96"/>
      <c r="BA90" s="96"/>
      <c r="BB90" s="96"/>
      <c r="BC90" s="96"/>
    </row>
    <row r="91" spans="1:57" ht="15.75" customHeight="1" x14ac:dyDescent="0.2">
      <c r="A91" s="89"/>
      <c r="B91" s="89"/>
      <c r="C91" s="89"/>
      <c r="D91" s="89"/>
      <c r="E91" s="89"/>
      <c r="AC91" s="125" t="s">
        <v>198</v>
      </c>
      <c r="AD91" s="125" t="s">
        <v>199</v>
      </c>
      <c r="AE91" s="125" t="s">
        <v>200</v>
      </c>
      <c r="AF91" s="126"/>
      <c r="AU91" s="96"/>
      <c r="AV91" s="96"/>
      <c r="AW91" s="96"/>
      <c r="AX91" s="96"/>
      <c r="AY91" s="96"/>
      <c r="AZ91" s="96"/>
      <c r="BA91" s="96"/>
      <c r="BB91" s="96"/>
      <c r="BC91" s="96"/>
    </row>
    <row r="92" spans="1:57" ht="15.75" customHeight="1" x14ac:dyDescent="0.2">
      <c r="A92" s="89"/>
      <c r="B92" s="89"/>
      <c r="C92" s="89"/>
      <c r="D92" s="89"/>
      <c r="E92" s="89"/>
      <c r="AB92" s="127" t="s">
        <v>201</v>
      </c>
      <c r="AC92" s="128">
        <f>AVERAGE(AI49:AI83)/(STDEV(AI49:AI83)/SQRT(COUNT(AI49:AI83)))</f>
        <v>7.4755106428058191</v>
      </c>
      <c r="AD92" s="66">
        <f>AVERAGE(AA51:AA83)/(STDEV(AA51:AA83)/SQRT(COUNT(AA51:AA83)))</f>
        <v>3.2324764848140486</v>
      </c>
      <c r="AE92" s="66">
        <f>AVERAGE(AR6:AR38)/(STDEV(AR6:AR38)/SQRT(COUNT(AR6:AR38)))</f>
        <v>2.3105057904404021</v>
      </c>
      <c r="AF92" s="126"/>
      <c r="AU92" s="96"/>
      <c r="AV92" s="96"/>
      <c r="AW92" s="96"/>
      <c r="AX92" s="96"/>
      <c r="AY92" s="96"/>
      <c r="AZ92" s="96"/>
      <c r="BA92" s="96"/>
      <c r="BB92" s="96"/>
      <c r="BC92" s="96"/>
    </row>
    <row r="93" spans="1:57" ht="15.75" customHeight="1" x14ac:dyDescent="0.2">
      <c r="A93" s="89"/>
      <c r="B93" s="89"/>
      <c r="C93" s="89"/>
      <c r="D93" s="89"/>
      <c r="E93" s="89"/>
      <c r="J93" s="2" t="s">
        <v>81</v>
      </c>
      <c r="K93" s="2" t="s">
        <v>82</v>
      </c>
      <c r="L93" s="2" t="s">
        <v>83</v>
      </c>
      <c r="M93" s="2" t="s">
        <v>84</v>
      </c>
      <c r="N93" s="2" t="s">
        <v>85</v>
      </c>
      <c r="AB93" s="127" t="s">
        <v>191</v>
      </c>
      <c r="AC93" s="129">
        <f>_xlfn.T.DIST.2T(ABS(AC92), 34)</f>
        <v>1.1265209363239934E-8</v>
      </c>
      <c r="AD93" s="130">
        <f t="shared" ref="AD93:AE93" si="158">_xlfn.T.DIST.2T(ABS(AD92), 24)</f>
        <v>3.5499091117025799E-3</v>
      </c>
      <c r="AE93" s="130">
        <f t="shared" si="158"/>
        <v>2.9768785530859872E-2</v>
      </c>
      <c r="AF93" s="126"/>
      <c r="AI93" s="308" t="s">
        <v>202</v>
      </c>
      <c r="AJ93" s="301"/>
      <c r="AK93" s="301"/>
      <c r="AL93" s="301"/>
      <c r="AM93" s="301"/>
      <c r="AN93" s="301"/>
      <c r="AO93" s="301"/>
      <c r="AP93" s="309" t="s">
        <v>203</v>
      </c>
      <c r="AQ93" s="301"/>
      <c r="AR93" s="6" t="s">
        <v>204</v>
      </c>
      <c r="AU93" s="96"/>
      <c r="AV93" s="96"/>
      <c r="AW93" s="96"/>
      <c r="AX93" s="96"/>
      <c r="AY93" s="96"/>
      <c r="AZ93" s="96"/>
      <c r="BA93" s="96"/>
      <c r="BB93" s="96"/>
      <c r="BC93" s="96"/>
    </row>
    <row r="94" spans="1:57" ht="15.75" customHeight="1" x14ac:dyDescent="0.2">
      <c r="A94" s="89"/>
      <c r="B94" s="89"/>
      <c r="C94" s="89"/>
      <c r="D94" s="89"/>
      <c r="E94" s="89"/>
      <c r="I94" s="45" t="s">
        <v>86</v>
      </c>
      <c r="J94" s="46">
        <f t="shared" ref="J94:N94" si="159">TTEST(O6:O10,J51:J55,2,1)</f>
        <v>0.44733522295920058</v>
      </c>
      <c r="K94" s="46">
        <f t="shared" si="159"/>
        <v>3.4168122398859245E-3</v>
      </c>
      <c r="L94" s="46">
        <f t="shared" si="159"/>
        <v>0.20279560407057273</v>
      </c>
      <c r="M94" s="46">
        <f t="shared" si="159"/>
        <v>1.1979020409225606E-2</v>
      </c>
      <c r="N94" s="46">
        <f t="shared" si="159"/>
        <v>1.1429823849252037E-4</v>
      </c>
      <c r="P94" s="6" t="s">
        <v>205</v>
      </c>
      <c r="R94" s="131" t="s">
        <v>288</v>
      </c>
      <c r="S94" s="131"/>
      <c r="T94" s="132" t="s">
        <v>206</v>
      </c>
      <c r="U94" s="131"/>
      <c r="V94" s="132" t="s">
        <v>207</v>
      </c>
      <c r="W94" s="14"/>
      <c r="Y94" s="14"/>
      <c r="Z94" s="14"/>
      <c r="AA94" s="14"/>
      <c r="AB94" s="133" t="s">
        <v>208</v>
      </c>
      <c r="AC94" s="134">
        <f>(AA87 - 0.2)/(AI85/(SQRT(COUNT(AC49:AC83))))</f>
        <v>7.8614116479648537</v>
      </c>
      <c r="AD94" s="134">
        <f>(AB87 - 0.2)/(AI86/(SQRT(COUNT(AG51:AG83))))</f>
        <v>7.2406778225003192</v>
      </c>
      <c r="AE94" s="134">
        <f>(AC87 - 0.2) /(AI87/(SQRT(COUNT(Z51:Z83))))</f>
        <v>8.524334532889128</v>
      </c>
      <c r="AF94" s="135">
        <f>(AD87 - 0.2) /(AI88/(SQRT(COUNT(AQ6:AQ38))))</f>
        <v>4.6007346823161637</v>
      </c>
      <c r="AI94" s="136" t="s">
        <v>209</v>
      </c>
      <c r="AU94" s="96"/>
      <c r="AV94" s="96"/>
      <c r="AW94" s="96"/>
      <c r="AX94" s="96"/>
      <c r="AY94" s="96"/>
      <c r="AZ94" s="96"/>
      <c r="BA94" s="96"/>
      <c r="BB94" s="96"/>
      <c r="BC94" s="96"/>
    </row>
    <row r="95" spans="1:57" ht="15.75" customHeight="1" x14ac:dyDescent="0.2">
      <c r="A95" s="89"/>
      <c r="B95" s="89"/>
      <c r="C95" s="89"/>
      <c r="D95" s="89"/>
      <c r="E95" s="89"/>
      <c r="I95" s="45" t="s">
        <v>87</v>
      </c>
      <c r="J95" s="46">
        <f t="shared" ref="J95:N95" si="160">TTEST(J58:J62,O13:O17,2,1)</f>
        <v>0.11327580617392655</v>
      </c>
      <c r="K95" s="46">
        <f t="shared" si="160"/>
        <v>1.196906808523421E-2</v>
      </c>
      <c r="L95" s="46">
        <f t="shared" si="160"/>
        <v>5.4004164892123369E-2</v>
      </c>
      <c r="M95" s="46">
        <f t="shared" si="160"/>
        <v>6.8994714910924808E-3</v>
      </c>
      <c r="N95" s="46">
        <f t="shared" si="160"/>
        <v>0.68735239169287632</v>
      </c>
      <c r="P95" s="6" t="s">
        <v>210</v>
      </c>
      <c r="R95" s="131" t="s">
        <v>289</v>
      </c>
      <c r="S95" s="131"/>
      <c r="T95" s="131"/>
      <c r="U95" s="131"/>
      <c r="V95" s="131"/>
      <c r="W95" s="14"/>
      <c r="X95" s="14"/>
      <c r="Y95" s="14"/>
      <c r="Z95" s="14"/>
      <c r="AA95" s="14"/>
      <c r="AB95" s="14"/>
      <c r="AC95" s="137">
        <f>_xlfn.T.DIST.RT(AC94, 34)</f>
        <v>1.8730090630372553E-9</v>
      </c>
      <c r="AD95" s="137">
        <f t="shared" ref="AD95:AF95" si="161">_xlfn.T.DIST.RT(AD94, 24)</f>
        <v>8.7965526240302846E-8</v>
      </c>
      <c r="AE95" s="138">
        <f t="shared" si="161"/>
        <v>5.0376999246754533E-9</v>
      </c>
      <c r="AF95" s="139">
        <f t="shared" si="161"/>
        <v>5.7311365266089111E-5</v>
      </c>
      <c r="AI95" s="75" t="s">
        <v>211</v>
      </c>
      <c r="AJ95" s="6">
        <f>(AB87-AA87)/(STDEV(AG51:AG83)/SQRT(25))</f>
        <v>-88.437362470278302</v>
      </c>
      <c r="AU95" s="96"/>
      <c r="AV95" s="96"/>
      <c r="AW95" s="96"/>
      <c r="AX95" s="96"/>
      <c r="AY95" s="96"/>
      <c r="AZ95" s="96"/>
      <c r="BA95" s="96"/>
      <c r="BB95" s="96"/>
      <c r="BC95" s="96"/>
    </row>
    <row r="96" spans="1:57" ht="15.75" customHeight="1" x14ac:dyDescent="0.2">
      <c r="A96" s="89"/>
      <c r="B96" s="89"/>
      <c r="C96" s="89"/>
      <c r="D96" s="89"/>
      <c r="E96" s="89"/>
      <c r="I96" s="45" t="s">
        <v>88</v>
      </c>
      <c r="J96" s="46">
        <f t="shared" ref="J96:N96" si="162">TTEST(J65:J69,O20:O24,2,1)</f>
        <v>0.38709273996110544</v>
      </c>
      <c r="K96" s="46">
        <f t="shared" si="162"/>
        <v>0.34721381822414693</v>
      </c>
      <c r="L96" s="46">
        <f t="shared" si="162"/>
        <v>1.1263672740699374E-2</v>
      </c>
      <c r="M96" s="46">
        <f t="shared" si="162"/>
        <v>6.5291037917348069E-2</v>
      </c>
      <c r="N96" s="46">
        <f t="shared" si="162"/>
        <v>2.0313342459575799E-2</v>
      </c>
      <c r="R96" s="131" t="s">
        <v>212</v>
      </c>
      <c r="S96" s="131"/>
      <c r="T96" s="131"/>
      <c r="U96" s="131"/>
      <c r="V96" s="131"/>
      <c r="W96" s="14"/>
      <c r="X96" s="140" t="s">
        <v>213</v>
      </c>
      <c r="Y96" s="140" t="s">
        <v>214</v>
      </c>
      <c r="Z96" s="140" t="s">
        <v>215</v>
      </c>
      <c r="AA96" s="140" t="s">
        <v>216</v>
      </c>
      <c r="AB96" s="14" t="s">
        <v>132</v>
      </c>
      <c r="AC96" s="14" t="s">
        <v>217</v>
      </c>
      <c r="AD96" s="6" t="s">
        <v>201</v>
      </c>
      <c r="AE96" s="6" t="s">
        <v>191</v>
      </c>
      <c r="AF96" s="14"/>
      <c r="AI96" s="6" t="s">
        <v>191</v>
      </c>
      <c r="AJ96" s="141">
        <f>_xlfn.T.DIST.2T(ABS(AJ95), 24)</f>
        <v>1.0845122272811083E-31</v>
      </c>
      <c r="AU96" s="96"/>
      <c r="AV96" s="96"/>
      <c r="AW96" s="96"/>
      <c r="AX96" s="96"/>
      <c r="AY96" s="96"/>
      <c r="AZ96" s="96"/>
      <c r="BA96" s="96"/>
      <c r="BB96" s="96"/>
      <c r="BC96" s="96"/>
    </row>
    <row r="97" spans="1:55" ht="15.75" customHeight="1" x14ac:dyDescent="0.2">
      <c r="A97" s="89"/>
      <c r="B97" s="89"/>
      <c r="C97" s="89"/>
      <c r="D97" s="89"/>
      <c r="E97" s="89"/>
      <c r="I97" s="45" t="s">
        <v>89</v>
      </c>
      <c r="J97" s="46">
        <f t="shared" ref="J97:N97" si="163">TTEST(J72:J76,O27:O31,2,1)</f>
        <v>6.8682552093148871E-2</v>
      </c>
      <c r="K97" s="46">
        <f t="shared" si="163"/>
        <v>1.2354933782204479E-4</v>
      </c>
      <c r="L97" s="46">
        <f t="shared" si="163"/>
        <v>1.6040751870201958E-2</v>
      </c>
      <c r="M97" s="46">
        <f t="shared" si="163"/>
        <v>0.10881265373162882</v>
      </c>
      <c r="N97" s="46">
        <f t="shared" si="163"/>
        <v>0.13752229667258206</v>
      </c>
      <c r="P97" s="6" t="s">
        <v>218</v>
      </c>
      <c r="R97" s="142"/>
      <c r="S97" s="142"/>
      <c r="T97" s="142"/>
      <c r="U97" s="142"/>
      <c r="V97" s="142"/>
      <c r="X97" s="6">
        <f t="shared" ref="X97:X101" si="164">Q51-R51</f>
        <v>0</v>
      </c>
      <c r="Y97" s="6">
        <f t="shared" ref="Y97:AA97" si="165">AL51-AM51</f>
        <v>1</v>
      </c>
      <c r="Z97" s="6">
        <f t="shared" si="165"/>
        <v>1</v>
      </c>
      <c r="AA97" s="74">
        <f t="shared" si="165"/>
        <v>0</v>
      </c>
      <c r="AB97" s="6">
        <f>AVERAGE(X97:X121)</f>
        <v>1.24</v>
      </c>
      <c r="AC97" s="66">
        <f>STDEV(X97:X121)</f>
        <v>1.0519822558706333</v>
      </c>
      <c r="AD97" s="66">
        <f>AVERAGE(X97:X121)/(STDEV(X97:X121)/SQRT(COUNT(X97:X121)))</f>
        <v>5.8936355298776446</v>
      </c>
      <c r="AE97" s="6">
        <f>_xlfn.T.DIST.2T(ABS(AD97), 24)</f>
        <v>4.4283796837446698E-6</v>
      </c>
      <c r="AU97" s="96"/>
      <c r="AV97" s="96"/>
      <c r="AW97" s="96"/>
      <c r="AX97" s="96"/>
      <c r="AY97" s="96"/>
      <c r="AZ97" s="96"/>
      <c r="BA97" s="96"/>
      <c r="BB97" s="96"/>
      <c r="BC97" s="96"/>
    </row>
    <row r="98" spans="1:55" ht="15.75" customHeight="1" x14ac:dyDescent="0.2">
      <c r="A98" s="89"/>
      <c r="B98" s="89"/>
      <c r="C98" s="89"/>
      <c r="D98" s="89"/>
      <c r="E98" s="89"/>
      <c r="I98" s="45" t="s">
        <v>90</v>
      </c>
      <c r="J98" s="46">
        <f t="shared" ref="J98:N98" si="166">TTEST(J79:J83,M34:M38,2,1)</f>
        <v>0.68270602504098843</v>
      </c>
      <c r="K98" s="46">
        <f t="shared" si="166"/>
        <v>0.41555482590027393</v>
      </c>
      <c r="L98" s="46">
        <f t="shared" si="166"/>
        <v>0.24657595027246701</v>
      </c>
      <c r="M98" s="46">
        <f t="shared" si="166"/>
        <v>1.4028898600502316E-2</v>
      </c>
      <c r="N98" s="46">
        <f t="shared" si="166"/>
        <v>9.4053941069456359E-2</v>
      </c>
      <c r="X98" s="6">
        <f t="shared" si="164"/>
        <v>1</v>
      </c>
      <c r="Y98" s="6">
        <f t="shared" ref="Y98:AA98" si="167">AL52-AM52</f>
        <v>0</v>
      </c>
      <c r="Z98" s="6">
        <f t="shared" si="167"/>
        <v>1</v>
      </c>
      <c r="AA98" s="74">
        <f t="shared" si="167"/>
        <v>0</v>
      </c>
      <c r="AC98" s="66"/>
      <c r="AU98" s="96"/>
      <c r="AV98" s="96"/>
      <c r="AW98" s="96"/>
      <c r="AX98" s="96"/>
      <c r="AY98" s="96"/>
      <c r="AZ98" s="96"/>
      <c r="BA98" s="96"/>
      <c r="BB98" s="96"/>
      <c r="BC98" s="96"/>
    </row>
    <row r="99" spans="1:55" ht="15.75" customHeight="1" x14ac:dyDescent="0.2">
      <c r="A99" s="89"/>
      <c r="B99" s="89"/>
      <c r="C99" s="89"/>
      <c r="D99" s="89"/>
      <c r="E99" s="89"/>
      <c r="I99" s="48" t="s">
        <v>91</v>
      </c>
      <c r="J99" s="47">
        <f t="shared" ref="J99:N99" si="168">TTEST(J51:J83,O6:O38,2,1)</f>
        <v>1.9288281927024392E-4</v>
      </c>
      <c r="K99" s="47">
        <f t="shared" si="168"/>
        <v>6.9444588135989047E-10</v>
      </c>
      <c r="L99" s="47">
        <f t="shared" si="168"/>
        <v>2.1722673695268693E-9</v>
      </c>
      <c r="M99" s="47">
        <f t="shared" si="168"/>
        <v>2.8644660232892033E-6</v>
      </c>
      <c r="N99" s="47">
        <f t="shared" si="168"/>
        <v>4.2021319448923392E-4</v>
      </c>
      <c r="X99" s="6">
        <f t="shared" si="164"/>
        <v>1</v>
      </c>
      <c r="Y99" s="6">
        <f t="shared" ref="Y99:AA99" si="169">AL53-AM53</f>
        <v>0</v>
      </c>
      <c r="Z99" s="6">
        <f t="shared" si="169"/>
        <v>1</v>
      </c>
      <c r="AA99" s="74">
        <f t="shared" si="169"/>
        <v>1</v>
      </c>
      <c r="AB99" s="310" t="s">
        <v>219</v>
      </c>
      <c r="AC99" s="301"/>
      <c r="AD99" s="301"/>
      <c r="AE99" s="301"/>
      <c r="AF99" s="301"/>
      <c r="AG99" s="301"/>
      <c r="AH99" s="301"/>
      <c r="AI99" s="301"/>
      <c r="AU99" s="96"/>
      <c r="AV99" s="96"/>
      <c r="AW99" s="96"/>
      <c r="AX99" s="96"/>
      <c r="AY99" s="96"/>
      <c r="AZ99" s="96"/>
      <c r="BA99" s="96"/>
      <c r="BB99" s="96"/>
      <c r="BC99" s="96"/>
    </row>
    <row r="100" spans="1:55" ht="15.75" customHeight="1" x14ac:dyDescent="0.2">
      <c r="A100" s="89"/>
      <c r="B100" s="89"/>
      <c r="C100" s="89"/>
      <c r="D100" s="89"/>
      <c r="E100" s="89"/>
      <c r="X100" s="6">
        <f t="shared" si="164"/>
        <v>2</v>
      </c>
      <c r="Y100" s="6">
        <f t="shared" ref="Y100:AA100" si="170">AL54-AM54</f>
        <v>0</v>
      </c>
      <c r="Z100" s="6">
        <f t="shared" si="170"/>
        <v>1</v>
      </c>
      <c r="AA100" s="74">
        <f t="shared" si="170"/>
        <v>0</v>
      </c>
      <c r="AB100" s="301"/>
      <c r="AC100" s="301"/>
      <c r="AD100" s="301"/>
      <c r="AE100" s="301"/>
      <c r="AF100" s="301"/>
      <c r="AG100" s="301"/>
      <c r="AH100" s="301"/>
      <c r="AI100" s="301"/>
      <c r="AU100" s="96"/>
      <c r="AV100" s="96"/>
      <c r="AW100" s="96"/>
      <c r="AX100" s="96"/>
      <c r="AY100" s="96"/>
      <c r="AZ100" s="96"/>
      <c r="BA100" s="96"/>
      <c r="BB100" s="96"/>
      <c r="BC100" s="96"/>
    </row>
    <row r="101" spans="1:55" ht="15.75" customHeight="1" x14ac:dyDescent="0.2">
      <c r="A101" s="89"/>
      <c r="B101" s="89"/>
      <c r="C101" s="89"/>
      <c r="D101" s="89"/>
      <c r="E101" s="89"/>
      <c r="X101" s="6">
        <f t="shared" si="164"/>
        <v>2</v>
      </c>
      <c r="Y101" s="6">
        <f t="shared" ref="Y101:AA101" si="171">AL55-AM55</f>
        <v>1</v>
      </c>
      <c r="Z101" s="6">
        <f t="shared" si="171"/>
        <v>0</v>
      </c>
      <c r="AA101" s="74">
        <f t="shared" si="171"/>
        <v>0</v>
      </c>
      <c r="AB101" s="301"/>
      <c r="AC101" s="301"/>
      <c r="AD101" s="301"/>
      <c r="AE101" s="301"/>
      <c r="AF101" s="301"/>
      <c r="AG101" s="301"/>
      <c r="AH101" s="301"/>
      <c r="AI101" s="301"/>
      <c r="AU101" s="96"/>
      <c r="AV101" s="96"/>
      <c r="AW101" s="96"/>
      <c r="AX101" s="96"/>
      <c r="AY101" s="96"/>
      <c r="AZ101" s="96"/>
      <c r="BA101" s="96"/>
      <c r="BB101" s="96"/>
      <c r="BC101" s="96"/>
    </row>
    <row r="102" spans="1:55" ht="15.75" customHeight="1" x14ac:dyDescent="0.2">
      <c r="A102" s="89"/>
      <c r="B102" s="89"/>
      <c r="C102" s="89"/>
      <c r="D102" s="89"/>
      <c r="E102" s="89"/>
      <c r="X102" s="6">
        <f t="shared" ref="X102:X106" si="172">Q58-R58</f>
        <v>1</v>
      </c>
      <c r="Y102" s="6">
        <f t="shared" ref="Y102:AA102" si="173">AL58-AM58</f>
        <v>0</v>
      </c>
      <c r="Z102" s="6">
        <f t="shared" si="173"/>
        <v>1</v>
      </c>
      <c r="AA102" s="74">
        <f t="shared" si="173"/>
        <v>1</v>
      </c>
      <c r="AC102" s="66"/>
      <c r="AU102" s="96"/>
      <c r="AV102" s="96"/>
      <c r="AW102" s="96"/>
      <c r="AX102" s="96"/>
      <c r="AY102" s="96"/>
      <c r="AZ102" s="96"/>
      <c r="BA102" s="96"/>
      <c r="BB102" s="96"/>
      <c r="BC102" s="96"/>
    </row>
    <row r="103" spans="1:55" ht="15.75" customHeight="1" x14ac:dyDescent="0.2">
      <c r="A103" s="89"/>
      <c r="B103" s="89"/>
      <c r="C103" s="89"/>
      <c r="D103" s="89"/>
      <c r="E103" s="89"/>
      <c r="X103" s="6">
        <f t="shared" si="172"/>
        <v>1</v>
      </c>
      <c r="Y103" s="6">
        <f t="shared" ref="Y103:AA103" si="174">AL59-AM59</f>
        <v>0</v>
      </c>
      <c r="Z103" s="6">
        <f t="shared" si="174"/>
        <v>0</v>
      </c>
      <c r="AA103" s="74">
        <f t="shared" si="174"/>
        <v>0</v>
      </c>
      <c r="AB103" s="6">
        <f>AVERAGE(Y97)</f>
        <v>1</v>
      </c>
      <c r="AC103" s="66">
        <f>STDEV(Y97:Y121)</f>
        <v>0.4760952285695233</v>
      </c>
      <c r="AD103" s="66">
        <f>AB103/(AC103/SQRT(COUNT(X103:X124)))</f>
        <v>9.1555190683961083</v>
      </c>
      <c r="AE103" s="6">
        <f t="shared" ref="AE103:AE105" si="175">_xlfn.T.DIST.2T(ABS(AD103), 24)</f>
        <v>2.674795831341008E-9</v>
      </c>
      <c r="AF103" s="6" t="s">
        <v>220</v>
      </c>
      <c r="AG103" s="6">
        <v>2.6747959402939614E-9</v>
      </c>
      <c r="AU103" s="96"/>
      <c r="AV103" s="96"/>
      <c r="AW103" s="96"/>
      <c r="AX103" s="96"/>
      <c r="AY103" s="96"/>
      <c r="AZ103" s="96"/>
      <c r="BA103" s="96"/>
      <c r="BB103" s="96"/>
      <c r="BC103" s="96"/>
    </row>
    <row r="104" spans="1:55" ht="15.75" customHeight="1" x14ac:dyDescent="0.2">
      <c r="A104" s="89"/>
      <c r="B104" s="89"/>
      <c r="C104" s="89"/>
      <c r="D104" s="89"/>
      <c r="E104" s="89"/>
      <c r="X104" s="6">
        <f t="shared" si="172"/>
        <v>1</v>
      </c>
      <c r="Y104" s="6">
        <f t="shared" ref="Y104:AA104" si="176">AL60-AM60</f>
        <v>0</v>
      </c>
      <c r="Z104" s="6">
        <f t="shared" si="176"/>
        <v>0</v>
      </c>
      <c r="AA104" s="74">
        <f t="shared" si="176"/>
        <v>1</v>
      </c>
      <c r="AB104" s="6">
        <f>AVERAGE(Z97:Z121)</f>
        <v>0.48</v>
      </c>
      <c r="AC104" s="66">
        <f>STDEV(Z97:Z121)</f>
        <v>0.58594652770823152</v>
      </c>
      <c r="AD104" s="66">
        <f>AB104/(AC104/SQRT(COUNT(X104:X124)))</f>
        <v>3.4755177025834394</v>
      </c>
      <c r="AE104" s="6">
        <f t="shared" si="175"/>
        <v>1.9572976006563244E-3</v>
      </c>
      <c r="AF104" s="6" t="s">
        <v>221</v>
      </c>
      <c r="AG104" s="6">
        <v>1.957297600656327E-3</v>
      </c>
      <c r="AU104" s="96"/>
      <c r="AV104" s="96"/>
      <c r="AW104" s="96"/>
      <c r="AX104" s="96"/>
      <c r="AY104" s="96"/>
      <c r="AZ104" s="96"/>
      <c r="BA104" s="96"/>
      <c r="BB104" s="96"/>
      <c r="BC104" s="96"/>
    </row>
    <row r="105" spans="1:55" ht="15.75" customHeight="1" x14ac:dyDescent="0.2">
      <c r="A105" s="89"/>
      <c r="B105" s="89"/>
      <c r="C105" s="89"/>
      <c r="D105" s="89"/>
      <c r="E105" s="89"/>
      <c r="X105" s="6">
        <f t="shared" si="172"/>
        <v>0</v>
      </c>
      <c r="Y105" s="6">
        <f t="shared" ref="Y105:AA105" si="177">AL61-AM61</f>
        <v>1</v>
      </c>
      <c r="Z105" s="6">
        <f t="shared" si="177"/>
        <v>0</v>
      </c>
      <c r="AA105" s="74">
        <f t="shared" si="177"/>
        <v>0</v>
      </c>
      <c r="AB105" s="74">
        <f>AVERAGE(AA97:AA121)</f>
        <v>0.4</v>
      </c>
      <c r="AC105" s="66">
        <f>STDEV(AA97:AA121)</f>
        <v>0.5</v>
      </c>
      <c r="AD105" s="66">
        <f>AB105/(AC105/SQRT(COUNT(X105:X124)))</f>
        <v>3.2984845004941286</v>
      </c>
      <c r="AE105" s="6">
        <f t="shared" si="175"/>
        <v>3.0230599103054394E-3</v>
      </c>
      <c r="AF105" s="6" t="s">
        <v>222</v>
      </c>
      <c r="AG105" s="6">
        <v>3.0230599103053812E-3</v>
      </c>
      <c r="AU105" s="96"/>
      <c r="AV105" s="96"/>
      <c r="AW105" s="96"/>
      <c r="AX105" s="96"/>
      <c r="AY105" s="96"/>
      <c r="AZ105" s="96"/>
      <c r="BA105" s="96"/>
      <c r="BB105" s="96"/>
      <c r="BC105" s="96"/>
    </row>
    <row r="106" spans="1:55" ht="15.75" customHeight="1" x14ac:dyDescent="0.2">
      <c r="A106" s="89"/>
      <c r="B106" s="89"/>
      <c r="C106" s="89"/>
      <c r="D106" s="89"/>
      <c r="E106" s="89"/>
      <c r="X106" s="6">
        <f t="shared" si="172"/>
        <v>2</v>
      </c>
      <c r="Y106" s="6">
        <f t="shared" ref="Y106:AA106" si="178">AL62-AM62</f>
        <v>0</v>
      </c>
      <c r="Z106" s="6">
        <f t="shared" si="178"/>
        <v>1</v>
      </c>
      <c r="AA106" s="74">
        <f t="shared" si="178"/>
        <v>0</v>
      </c>
      <c r="AC106" s="66"/>
      <c r="AU106" s="96"/>
      <c r="AV106" s="96"/>
      <c r="AW106" s="96"/>
      <c r="AX106" s="96"/>
      <c r="AY106" s="96"/>
      <c r="AZ106" s="96"/>
      <c r="BA106" s="96"/>
      <c r="BB106" s="96"/>
      <c r="BC106" s="96"/>
    </row>
    <row r="107" spans="1:55" ht="15.75" customHeight="1" x14ac:dyDescent="0.2">
      <c r="A107" s="89"/>
      <c r="B107" s="89"/>
      <c r="C107" s="89"/>
      <c r="D107" s="89"/>
      <c r="E107" s="89"/>
      <c r="X107" s="6">
        <f t="shared" ref="X107:X111" si="179">Q65-R65</f>
        <v>2</v>
      </c>
      <c r="Y107" s="6">
        <f t="shared" ref="Y107:AA107" si="180">AL65-AM65</f>
        <v>0</v>
      </c>
      <c r="Z107" s="6">
        <f t="shared" si="180"/>
        <v>0</v>
      </c>
      <c r="AA107" s="74">
        <f t="shared" si="180"/>
        <v>1</v>
      </c>
      <c r="AC107" s="66"/>
      <c r="AU107" s="96"/>
      <c r="AV107" s="96"/>
      <c r="AW107" s="96"/>
      <c r="AX107" s="96"/>
      <c r="AY107" s="96"/>
      <c r="AZ107" s="96"/>
      <c r="BA107" s="96"/>
      <c r="BB107" s="96"/>
      <c r="BC107" s="96"/>
    </row>
    <row r="108" spans="1:55" ht="15.75" customHeight="1" x14ac:dyDescent="0.2">
      <c r="A108" s="89"/>
      <c r="B108" s="89"/>
      <c r="C108" s="89"/>
      <c r="D108" s="89"/>
      <c r="E108" s="89"/>
      <c r="X108" s="6">
        <f t="shared" si="179"/>
        <v>2</v>
      </c>
      <c r="Y108" s="6">
        <f t="shared" ref="Y108:AA108" si="181">AL66-AM66</f>
        <v>0</v>
      </c>
      <c r="Z108" s="6">
        <f t="shared" si="181"/>
        <v>2</v>
      </c>
      <c r="AA108" s="74">
        <f t="shared" si="181"/>
        <v>0</v>
      </c>
      <c r="AC108" s="66"/>
      <c r="AU108" s="96"/>
      <c r="AV108" s="96"/>
      <c r="AW108" s="96"/>
      <c r="AX108" s="96"/>
      <c r="AY108" s="96"/>
      <c r="AZ108" s="96"/>
      <c r="BA108" s="96"/>
      <c r="BB108" s="96"/>
      <c r="BC108" s="96"/>
    </row>
    <row r="109" spans="1:55" ht="15.75" customHeight="1" x14ac:dyDescent="0.2">
      <c r="A109" s="89"/>
      <c r="B109" s="89"/>
      <c r="C109" s="89"/>
      <c r="D109" s="89"/>
      <c r="E109" s="89"/>
      <c r="X109" s="6">
        <f t="shared" si="179"/>
        <v>0</v>
      </c>
      <c r="Y109" s="6">
        <f t="shared" ref="Y109:AA109" si="182">AL67-AM67</f>
        <v>1</v>
      </c>
      <c r="Z109" s="6">
        <f t="shared" si="182"/>
        <v>0</v>
      </c>
      <c r="AA109" s="74">
        <f t="shared" si="182"/>
        <v>1</v>
      </c>
      <c r="AC109" s="66"/>
      <c r="AU109" s="96"/>
      <c r="AV109" s="96"/>
      <c r="AW109" s="96"/>
      <c r="AX109" s="96"/>
      <c r="AY109" s="96"/>
      <c r="AZ109" s="96"/>
      <c r="BA109" s="96"/>
      <c r="BB109" s="96"/>
      <c r="BC109" s="96"/>
    </row>
    <row r="110" spans="1:55" ht="15.75" customHeight="1" x14ac:dyDescent="0.2">
      <c r="A110" s="89"/>
      <c r="B110" s="89"/>
      <c r="C110" s="89"/>
      <c r="D110" s="89"/>
      <c r="E110" s="89"/>
      <c r="X110" s="6">
        <f t="shared" si="179"/>
        <v>0</v>
      </c>
      <c r="Y110" s="6">
        <f t="shared" ref="Y110:AA110" si="183">AL68-AM68</f>
        <v>0</v>
      </c>
      <c r="Z110" s="6">
        <f t="shared" si="183"/>
        <v>0</v>
      </c>
      <c r="AA110" s="74">
        <f t="shared" si="183"/>
        <v>1</v>
      </c>
      <c r="AC110" s="66"/>
      <c r="AU110" s="96"/>
      <c r="AV110" s="96"/>
      <c r="AW110" s="96"/>
      <c r="AX110" s="96"/>
      <c r="AY110" s="96"/>
      <c r="AZ110" s="96"/>
      <c r="BA110" s="96"/>
      <c r="BB110" s="96"/>
      <c r="BC110" s="96"/>
    </row>
    <row r="111" spans="1:55" ht="15.75" customHeight="1" x14ac:dyDescent="0.2">
      <c r="A111" s="89"/>
      <c r="B111" s="89"/>
      <c r="C111" s="89"/>
      <c r="D111" s="89"/>
      <c r="E111" s="89"/>
      <c r="X111" s="6">
        <f t="shared" si="179"/>
        <v>1</v>
      </c>
      <c r="Y111" s="6">
        <f t="shared" ref="Y111:AA111" si="184">AL69-AM69</f>
        <v>0</v>
      </c>
      <c r="Z111" s="6">
        <f t="shared" si="184"/>
        <v>1</v>
      </c>
      <c r="AA111" s="74">
        <f t="shared" si="184"/>
        <v>0</v>
      </c>
      <c r="AC111" s="66"/>
      <c r="AU111" s="96"/>
      <c r="AV111" s="96"/>
      <c r="AW111" s="96"/>
      <c r="AX111" s="96"/>
      <c r="AY111" s="96"/>
      <c r="AZ111" s="96"/>
      <c r="BA111" s="96"/>
      <c r="BB111" s="96"/>
      <c r="BC111" s="96"/>
    </row>
    <row r="112" spans="1:55" ht="15.75" customHeight="1" x14ac:dyDescent="0.2">
      <c r="A112" s="89"/>
      <c r="B112" s="89"/>
      <c r="C112" s="89"/>
      <c r="D112" s="89"/>
      <c r="E112" s="89"/>
      <c r="X112" s="6">
        <f t="shared" ref="X112:X116" si="185">Q72-R72</f>
        <v>4</v>
      </c>
      <c r="Y112" s="6">
        <f t="shared" ref="Y112:AA112" si="186">AL72-AM72</f>
        <v>0</v>
      </c>
      <c r="Z112" s="6">
        <f t="shared" si="186"/>
        <v>0</v>
      </c>
      <c r="AA112" s="74">
        <f t="shared" si="186"/>
        <v>1</v>
      </c>
      <c r="AC112" s="66"/>
      <c r="AU112" s="96"/>
      <c r="AV112" s="96"/>
      <c r="AW112" s="96"/>
      <c r="AX112" s="96"/>
      <c r="AY112" s="96"/>
      <c r="AZ112" s="96"/>
      <c r="BA112" s="96"/>
      <c r="BB112" s="96"/>
      <c r="BC112" s="96"/>
    </row>
    <row r="113" spans="1:55" ht="15.75" customHeight="1" x14ac:dyDescent="0.2">
      <c r="A113" s="89"/>
      <c r="B113" s="89"/>
      <c r="C113" s="89"/>
      <c r="D113" s="89"/>
      <c r="E113" s="89"/>
      <c r="X113" s="6">
        <f t="shared" si="185"/>
        <v>2</v>
      </c>
      <c r="Y113" s="6">
        <f t="shared" ref="Y113:AA113" si="187">AL73-AM73</f>
        <v>0</v>
      </c>
      <c r="Z113" s="6">
        <f t="shared" si="187"/>
        <v>1</v>
      </c>
      <c r="AA113" s="74">
        <f t="shared" si="187"/>
        <v>0</v>
      </c>
      <c r="AC113" s="66"/>
      <c r="AU113" s="96"/>
      <c r="AV113" s="96"/>
      <c r="AW113" s="96"/>
      <c r="AX113" s="96"/>
      <c r="AY113" s="96"/>
      <c r="AZ113" s="96"/>
      <c r="BA113" s="96"/>
      <c r="BB113" s="96"/>
      <c r="BC113" s="96"/>
    </row>
    <row r="114" spans="1:55" ht="15.75" customHeight="1" x14ac:dyDescent="0.2">
      <c r="A114" s="89"/>
      <c r="B114" s="89"/>
      <c r="C114" s="89"/>
      <c r="D114" s="89"/>
      <c r="E114" s="89"/>
      <c r="X114" s="6">
        <f t="shared" si="185"/>
        <v>0</v>
      </c>
      <c r="Y114" s="6">
        <f t="shared" ref="Y114:AA114" si="188">AL74-AM74</f>
        <v>0</v>
      </c>
      <c r="Z114" s="6">
        <f t="shared" si="188"/>
        <v>0</v>
      </c>
      <c r="AA114" s="74">
        <f t="shared" si="188"/>
        <v>1</v>
      </c>
      <c r="AC114" s="66"/>
      <c r="AU114" s="96"/>
      <c r="AV114" s="96"/>
      <c r="AW114" s="96"/>
      <c r="AX114" s="96"/>
      <c r="AY114" s="96"/>
      <c r="AZ114" s="96"/>
      <c r="BA114" s="96"/>
      <c r="BB114" s="96"/>
      <c r="BC114" s="96"/>
    </row>
    <row r="115" spans="1:55" ht="15.75" customHeight="1" x14ac:dyDescent="0.2">
      <c r="A115" s="89"/>
      <c r="B115" s="89"/>
      <c r="C115" s="89"/>
      <c r="D115" s="89"/>
      <c r="E115" s="89"/>
      <c r="X115" s="6">
        <f t="shared" si="185"/>
        <v>0</v>
      </c>
      <c r="Y115" s="6">
        <f t="shared" ref="Y115:AA115" si="189">AL75-AM75</f>
        <v>1</v>
      </c>
      <c r="Z115" s="6">
        <f t="shared" si="189"/>
        <v>0</v>
      </c>
      <c r="AA115" s="74">
        <f t="shared" si="189"/>
        <v>0</v>
      </c>
      <c r="AC115" s="66"/>
      <c r="AU115" s="96"/>
      <c r="AV115" s="96"/>
      <c r="AW115" s="96"/>
      <c r="AX115" s="96"/>
      <c r="AY115" s="96"/>
      <c r="AZ115" s="96"/>
      <c r="BA115" s="96"/>
      <c r="BB115" s="96"/>
      <c r="BC115" s="96"/>
    </row>
    <row r="116" spans="1:55" ht="15.75" customHeight="1" x14ac:dyDescent="0.2">
      <c r="A116" s="89"/>
      <c r="B116" s="89"/>
      <c r="C116" s="89"/>
      <c r="D116" s="89"/>
      <c r="E116" s="89"/>
      <c r="X116" s="6">
        <f t="shared" si="185"/>
        <v>3</v>
      </c>
      <c r="Y116" s="6">
        <f t="shared" ref="Y116:AA116" si="190">AL76-AM76</f>
        <v>1</v>
      </c>
      <c r="Z116" s="6">
        <f t="shared" si="190"/>
        <v>0</v>
      </c>
      <c r="AA116" s="74">
        <f t="shared" si="190"/>
        <v>1</v>
      </c>
      <c r="AC116" s="66"/>
      <c r="AU116" s="96"/>
      <c r="AV116" s="96"/>
      <c r="AW116" s="96"/>
      <c r="AX116" s="96"/>
      <c r="AY116" s="96"/>
      <c r="AZ116" s="96"/>
      <c r="BA116" s="96"/>
      <c r="BB116" s="96"/>
      <c r="BC116" s="96"/>
    </row>
    <row r="117" spans="1:55" ht="15.75" customHeight="1" x14ac:dyDescent="0.2">
      <c r="A117" s="89"/>
      <c r="B117" s="89"/>
      <c r="C117" s="89"/>
      <c r="D117" s="89"/>
      <c r="E117" s="89"/>
      <c r="X117" s="6">
        <f t="shared" ref="X117:X121" si="191">Q79-R79</f>
        <v>2</v>
      </c>
      <c r="Y117" s="6">
        <f t="shared" ref="Y117:AA117" si="192">AL79-AM79</f>
        <v>0</v>
      </c>
      <c r="Z117" s="6">
        <f t="shared" si="192"/>
        <v>1</v>
      </c>
      <c r="AA117" s="74">
        <f t="shared" si="192"/>
        <v>0</v>
      </c>
      <c r="AC117" s="66"/>
      <c r="AU117" s="96"/>
      <c r="AV117" s="96"/>
      <c r="AW117" s="96"/>
      <c r="AX117" s="96"/>
      <c r="AY117" s="96"/>
      <c r="AZ117" s="96"/>
      <c r="BA117" s="96"/>
      <c r="BB117" s="96"/>
      <c r="BC117" s="96"/>
    </row>
    <row r="118" spans="1:55" ht="15.75" customHeight="1" x14ac:dyDescent="0.2">
      <c r="A118" s="89"/>
      <c r="B118" s="89"/>
      <c r="C118" s="89"/>
      <c r="D118" s="89"/>
      <c r="E118" s="89"/>
      <c r="X118" s="6">
        <f t="shared" si="191"/>
        <v>0</v>
      </c>
      <c r="Y118" s="6">
        <f t="shared" ref="Y118:AA118" si="193">AL80-AM80</f>
        <v>1</v>
      </c>
      <c r="Z118" s="6">
        <f t="shared" si="193"/>
        <v>0</v>
      </c>
      <c r="AA118" s="74">
        <f t="shared" si="193"/>
        <v>1</v>
      </c>
      <c r="AC118" s="66"/>
      <c r="AU118" s="96"/>
      <c r="AV118" s="96"/>
      <c r="AW118" s="96"/>
      <c r="AX118" s="96"/>
      <c r="AY118" s="96"/>
      <c r="AZ118" s="96"/>
      <c r="BA118" s="96"/>
      <c r="BB118" s="96"/>
      <c r="BC118" s="96"/>
    </row>
    <row r="119" spans="1:55" ht="15.75" customHeight="1" x14ac:dyDescent="0.2">
      <c r="A119" s="89"/>
      <c r="B119" s="89"/>
      <c r="C119" s="89"/>
      <c r="D119" s="89"/>
      <c r="E119" s="89"/>
      <c r="X119" s="6">
        <f t="shared" si="191"/>
        <v>1</v>
      </c>
      <c r="Y119" s="6">
        <f t="shared" ref="Y119:AA119" si="194">AL81-AM81</f>
        <v>0</v>
      </c>
      <c r="Z119" s="6">
        <f t="shared" si="194"/>
        <v>1</v>
      </c>
      <c r="AA119" s="74">
        <f t="shared" si="194"/>
        <v>0</v>
      </c>
      <c r="AC119" s="66"/>
      <c r="AU119" s="96"/>
      <c r="AV119" s="96"/>
      <c r="AW119" s="96"/>
      <c r="AX119" s="96"/>
      <c r="AY119" s="96"/>
      <c r="AZ119" s="96"/>
      <c r="BA119" s="96"/>
      <c r="BB119" s="96"/>
      <c r="BC119" s="96"/>
    </row>
    <row r="120" spans="1:55" ht="15.75" customHeight="1" x14ac:dyDescent="0.2">
      <c r="A120" s="89"/>
      <c r="B120" s="89"/>
      <c r="C120" s="89"/>
      <c r="D120" s="89"/>
      <c r="E120" s="89"/>
      <c r="X120" s="6">
        <f t="shared" si="191"/>
        <v>2</v>
      </c>
      <c r="Y120" s="6">
        <f t="shared" ref="Y120:AA120" si="195">AL82-AM82</f>
        <v>1</v>
      </c>
      <c r="Z120" s="6">
        <f t="shared" si="195"/>
        <v>0</v>
      </c>
      <c r="AA120" s="74">
        <f t="shared" si="195"/>
        <v>0</v>
      </c>
      <c r="AC120" s="66"/>
      <c r="AU120" s="96"/>
      <c r="AV120" s="96"/>
      <c r="AW120" s="96"/>
      <c r="AX120" s="96"/>
      <c r="AY120" s="96"/>
      <c r="AZ120" s="96"/>
      <c r="BA120" s="96"/>
      <c r="BB120" s="96"/>
      <c r="BC120" s="96"/>
    </row>
    <row r="121" spans="1:55" ht="15.75" customHeight="1" x14ac:dyDescent="0.2">
      <c r="A121" s="89"/>
      <c r="B121" s="89"/>
      <c r="C121" s="89"/>
      <c r="D121" s="89"/>
      <c r="E121" s="89"/>
      <c r="X121" s="6">
        <f t="shared" si="191"/>
        <v>1</v>
      </c>
      <c r="Y121" s="6">
        <f t="shared" ref="Y121:AA121" si="196">AL83-AM83</f>
        <v>0</v>
      </c>
      <c r="Z121" s="6">
        <f t="shared" si="196"/>
        <v>0</v>
      </c>
      <c r="AA121" s="74">
        <f t="shared" si="196"/>
        <v>0</v>
      </c>
      <c r="AC121" s="66"/>
      <c r="AU121" s="96"/>
      <c r="AV121" s="96"/>
      <c r="AW121" s="96"/>
      <c r="AX121" s="96"/>
      <c r="AY121" s="96"/>
      <c r="AZ121" s="96"/>
      <c r="BA121" s="96"/>
      <c r="BB121" s="96"/>
      <c r="BC121" s="96"/>
    </row>
    <row r="122" spans="1:55" ht="15.75" customHeight="1" x14ac:dyDescent="0.2">
      <c r="A122" s="89"/>
      <c r="B122" s="89"/>
      <c r="C122" s="89"/>
      <c r="D122" s="89"/>
      <c r="E122" s="89"/>
      <c r="AC122" s="66"/>
      <c r="AU122" s="96"/>
      <c r="AV122" s="96"/>
      <c r="AW122" s="96"/>
      <c r="AX122" s="96"/>
      <c r="AY122" s="96"/>
      <c r="AZ122" s="96"/>
      <c r="BA122" s="96"/>
      <c r="BB122" s="96"/>
      <c r="BC122" s="96"/>
    </row>
    <row r="123" spans="1:55" ht="15.75" customHeight="1" x14ac:dyDescent="0.2">
      <c r="A123" s="89"/>
      <c r="B123" s="89"/>
      <c r="C123" s="89"/>
      <c r="D123" s="89"/>
      <c r="E123" s="89"/>
      <c r="AC123" s="66"/>
      <c r="AU123" s="96"/>
      <c r="AV123" s="96"/>
      <c r="AW123" s="96"/>
      <c r="AX123" s="96"/>
      <c r="AY123" s="96"/>
      <c r="AZ123" s="96"/>
      <c r="BA123" s="96"/>
      <c r="BB123" s="96"/>
      <c r="BC123" s="96"/>
    </row>
    <row r="124" spans="1:55" ht="15.75" customHeight="1" x14ac:dyDescent="0.2">
      <c r="A124" s="89"/>
      <c r="B124" s="89"/>
      <c r="C124" s="89"/>
      <c r="D124" s="89"/>
      <c r="E124" s="89"/>
      <c r="W124" s="6" t="s">
        <v>223</v>
      </c>
      <c r="AE124" s="6" t="s">
        <v>224</v>
      </c>
      <c r="AF124" s="6" t="s">
        <v>225</v>
      </c>
      <c r="AG124" s="6" t="s">
        <v>226</v>
      </c>
      <c r="AH124" s="6"/>
      <c r="AI124" s="6" t="s">
        <v>227</v>
      </c>
      <c r="AJ124" s="6" t="s">
        <v>228</v>
      </c>
      <c r="AU124" s="96"/>
      <c r="AV124" s="96"/>
      <c r="AW124" s="96"/>
      <c r="AX124" s="96"/>
      <c r="AY124" s="96"/>
      <c r="AZ124" s="96"/>
      <c r="BA124" s="96"/>
      <c r="BB124" s="96"/>
      <c r="BC124" s="96"/>
    </row>
    <row r="125" spans="1:55" ht="15.75" customHeight="1" x14ac:dyDescent="0.2">
      <c r="A125" s="89"/>
      <c r="B125" s="89"/>
      <c r="C125" s="89"/>
      <c r="D125" s="89"/>
      <c r="E125" s="89"/>
      <c r="U125" s="6" t="s">
        <v>74</v>
      </c>
      <c r="V125" s="6" t="s">
        <v>229</v>
      </c>
      <c r="X125" s="6" t="s">
        <v>230</v>
      </c>
      <c r="Y125" s="6" t="s">
        <v>231</v>
      </c>
      <c r="AA125" s="6" t="s">
        <v>232</v>
      </c>
      <c r="AB125" s="6" t="s">
        <v>233</v>
      </c>
      <c r="AC125" s="6" t="s">
        <v>234</v>
      </c>
      <c r="AD125" s="6" t="s">
        <v>235</v>
      </c>
      <c r="AE125" s="6">
        <f t="shared" ref="AE125:AF125" si="197">AVERAGE(AC126:AC150)*100</f>
        <v>80</v>
      </c>
      <c r="AF125" s="6">
        <f t="shared" si="197"/>
        <v>32</v>
      </c>
      <c r="AG125" s="6">
        <f>20/25</f>
        <v>0.8</v>
      </c>
      <c r="AI125" s="6">
        <f>(U126*U135)+(U127*U136)+(U128*U137)+(U129*U138)+(U130*U139)</f>
        <v>0.20799999999999999</v>
      </c>
      <c r="AJ125" s="66">
        <f t="shared" ref="AJ125:AJ126" si="198">(AG125-AI125)/(1-AI125)</f>
        <v>0.74747474747474751</v>
      </c>
      <c r="AU125" s="96"/>
      <c r="AV125" s="96"/>
      <c r="AW125" s="96"/>
      <c r="AX125" s="96"/>
      <c r="AY125" s="96"/>
      <c r="AZ125" s="96"/>
      <c r="BA125" s="96"/>
      <c r="BB125" s="96"/>
      <c r="BC125" s="96"/>
    </row>
    <row r="126" spans="1:55" ht="15.75" customHeight="1" x14ac:dyDescent="0.2">
      <c r="A126" s="89"/>
      <c r="B126" s="89"/>
      <c r="C126" s="89"/>
      <c r="D126" s="89"/>
      <c r="E126" s="89"/>
      <c r="T126" s="6" t="s">
        <v>96</v>
      </c>
      <c r="U126" s="66">
        <f t="shared" ref="U126:V126" si="199">COUNTIF(X126:X150, "Tragedy")/25</f>
        <v>0.16</v>
      </c>
      <c r="V126" s="66">
        <f t="shared" si="199"/>
        <v>0.12</v>
      </c>
      <c r="X126" s="6" t="str">
        <f t="shared" ref="X126:X130" si="200">INDEX({"Comedy","Mystery","Romance","Satire","Tragedy"}, MATCH(MAX(J51:N51), J51:N51, 0))</f>
        <v>Tragedy</v>
      </c>
      <c r="Y126" s="143" t="s">
        <v>92</v>
      </c>
      <c r="AA126" s="6" t="str">
        <f t="shared" ref="AA126:AA130" si="201">INDEX({"Comedy","Mystery","Romance","Satire","Tragedy"}, MATCH(MAX(H6:L6), H6:L6, 0))</f>
        <v>Romance</v>
      </c>
      <c r="AB126" s="6" t="str">
        <f t="shared" ref="AB126:AB130" si="202">IF(LARGE(H6:L6,2)=0,"",
   INDEX({"Comedy","Mystery","Romance","Satire","Tragedy"},
         IF(COUNTIF(H6:L6,MAX(H6:L6))&gt;=2,
            MATCH(MAX(H6:L6),H6:L6,0)+MATCH(MAX(H6:L6),INDEX(H6:L6,MATCH(MAX(H6:L6),H6:L6,0)+1):L6,0),
            MATCH(LARGE(H6:L6,2),H6:L6,0)
         )
   )
)</f>
        <v>Tragedy</v>
      </c>
      <c r="AC126" s="6">
        <f t="shared" ref="AC126:AC150" si="203">IF(OR(X126=AA126, X126=AB126, Y126=AA126, Y126=AB126), 1, 0)</f>
        <v>1</v>
      </c>
      <c r="AD126" s="6">
        <f t="shared" ref="AD126:AD150" si="204">IF(AND(
   OR(X126=AA126, X126=AB126),
   OR(Y126=AA126, Y126=AB126)
),1,0)</f>
        <v>0</v>
      </c>
      <c r="AG126" s="144">
        <f>8/25</f>
        <v>0.32</v>
      </c>
      <c r="AH126" s="144"/>
      <c r="AI126" s="144">
        <f>((U126+V126)*(U135+V135))+((U127+V127)*(U136+V136))+((U128+V128)*(U137+V137))+((U129+V129)*(U138+V138)+((U130+V130)*(U139+V139)))</f>
        <v>0.93599999999999994</v>
      </c>
      <c r="AJ126" s="145">
        <f t="shared" si="198"/>
        <v>-9.6249999999999893</v>
      </c>
      <c r="AU126" s="96"/>
      <c r="AV126" s="96"/>
      <c r="AW126" s="96"/>
      <c r="AX126" s="96"/>
      <c r="AY126" s="96"/>
      <c r="AZ126" s="96"/>
      <c r="BA126" s="96"/>
      <c r="BB126" s="96"/>
      <c r="BC126" s="96"/>
    </row>
    <row r="127" spans="1:55" ht="15.75" customHeight="1" x14ac:dyDescent="0.2">
      <c r="A127" s="89"/>
      <c r="B127" s="89"/>
      <c r="C127" s="89"/>
      <c r="D127" s="89"/>
      <c r="E127" s="89"/>
      <c r="T127" s="6" t="str">
        <f t="array" ref="T127">INDEX({"Comedy","Mystery","Romance","Satire","Tragedy"}, MATCH(MAX(E53:I53), E53:I53, 0))</f>
        <v>Satire</v>
      </c>
      <c r="U127" s="66">
        <f t="shared" ref="U127:V127" si="205">COUNTIF(X126:X150, "Satire")/25</f>
        <v>0.12</v>
      </c>
      <c r="V127" s="66">
        <f t="shared" si="205"/>
        <v>0.16</v>
      </c>
      <c r="X127" s="6" t="str">
        <f t="shared" si="200"/>
        <v>Satire</v>
      </c>
      <c r="Y127" s="6" t="str">
        <f t="shared" ref="Y127:Y130" si="206">IF(LARGE(J52:N52,2)=0,"", INDEX({"Comedy","Mystery","Romance","Satire","Tragedy"}, MATCH(LARGE(J52:N52,2), J52:N52, 0)))</f>
        <v>Tragedy</v>
      </c>
      <c r="AA127" s="6" t="str">
        <f t="shared" si="201"/>
        <v>Comedy</v>
      </c>
      <c r="AB127" s="6" t="str">
        <f t="shared" si="202"/>
        <v>Satire</v>
      </c>
      <c r="AC127" s="6">
        <f t="shared" si="203"/>
        <v>1</v>
      </c>
      <c r="AD127" s="6">
        <f t="shared" si="204"/>
        <v>0</v>
      </c>
      <c r="AU127" s="96"/>
      <c r="AV127" s="96"/>
      <c r="AW127" s="96"/>
      <c r="AX127" s="96"/>
      <c r="AY127" s="96"/>
      <c r="AZ127" s="96"/>
      <c r="BA127" s="96"/>
      <c r="BB127" s="96"/>
      <c r="BC127" s="96"/>
    </row>
    <row r="128" spans="1:55" ht="15.75" customHeight="1" x14ac:dyDescent="0.2">
      <c r="A128" s="89"/>
      <c r="B128" s="89"/>
      <c r="C128" s="89"/>
      <c r="D128" s="89"/>
      <c r="E128" s="89"/>
      <c r="T128" s="96" t="s">
        <v>94</v>
      </c>
      <c r="U128" s="66">
        <f t="shared" ref="U128:V128" si="207">COUNTIF(X126:X150, "Romance")/25</f>
        <v>0.24</v>
      </c>
      <c r="V128" s="66">
        <f t="shared" si="207"/>
        <v>0.04</v>
      </c>
      <c r="X128" s="6" t="str">
        <f t="shared" si="200"/>
        <v>Tragedy</v>
      </c>
      <c r="Y128" s="6" t="str">
        <f t="shared" si="206"/>
        <v>Mystery</v>
      </c>
      <c r="AA128" s="6" t="str">
        <f t="shared" si="201"/>
        <v>Mystery</v>
      </c>
      <c r="AB128" s="6" t="str">
        <f t="shared" si="202"/>
        <v>Satire</v>
      </c>
      <c r="AC128" s="6">
        <f t="shared" si="203"/>
        <v>1</v>
      </c>
      <c r="AD128" s="6">
        <f t="shared" si="204"/>
        <v>0</v>
      </c>
      <c r="AU128" s="96"/>
      <c r="AV128" s="96"/>
      <c r="AW128" s="96"/>
      <c r="AX128" s="96"/>
      <c r="AY128" s="96"/>
      <c r="AZ128" s="96"/>
      <c r="BA128" s="96"/>
      <c r="BB128" s="96"/>
      <c r="BC128" s="96"/>
    </row>
    <row r="129" spans="1:55" ht="15.75" customHeight="1" x14ac:dyDescent="0.2">
      <c r="A129" s="89"/>
      <c r="B129" s="89"/>
      <c r="C129" s="89"/>
      <c r="D129" s="89"/>
      <c r="E129" s="89"/>
      <c r="S129" s="96"/>
      <c r="T129" s="96" t="s">
        <v>93</v>
      </c>
      <c r="U129" s="66">
        <f t="shared" ref="U129:V129" si="208">COUNTIF(X126:X150, "Mystery")/25</f>
        <v>0.28000000000000003</v>
      </c>
      <c r="V129" s="66">
        <f t="shared" si="208"/>
        <v>0.2</v>
      </c>
      <c r="X129" s="6" t="str">
        <f t="shared" si="200"/>
        <v>Tragedy</v>
      </c>
      <c r="Y129" s="6" t="str">
        <f t="shared" si="206"/>
        <v>Satire</v>
      </c>
      <c r="AA129" s="6" t="str">
        <f t="shared" si="201"/>
        <v>Comedy</v>
      </c>
      <c r="AB129" s="6" t="str">
        <f t="shared" si="202"/>
        <v>Satire</v>
      </c>
      <c r="AC129" s="6">
        <f t="shared" si="203"/>
        <v>1</v>
      </c>
      <c r="AD129" s="6">
        <f t="shared" si="204"/>
        <v>0</v>
      </c>
      <c r="AU129" s="96"/>
      <c r="AV129" s="96"/>
      <c r="AW129" s="96"/>
      <c r="AX129" s="96"/>
      <c r="AY129" s="96"/>
      <c r="AZ129" s="96"/>
      <c r="BA129" s="96"/>
      <c r="BB129" s="96"/>
      <c r="BC129" s="96"/>
    </row>
    <row r="130" spans="1:55" ht="15.75" customHeight="1" x14ac:dyDescent="0.2">
      <c r="A130" s="89"/>
      <c r="B130" s="89"/>
      <c r="C130" s="89"/>
      <c r="D130" s="89"/>
      <c r="E130" s="89"/>
      <c r="T130" s="6" t="s">
        <v>92</v>
      </c>
      <c r="U130" s="66">
        <f t="shared" ref="U130:V130" si="209">COUNTIF(X126:X150, "Comedy")/25</f>
        <v>0.2</v>
      </c>
      <c r="V130" s="66">
        <f t="shared" si="209"/>
        <v>0.48</v>
      </c>
      <c r="X130" s="6" t="str">
        <f t="shared" si="200"/>
        <v>Tragedy</v>
      </c>
      <c r="Y130" s="6" t="str">
        <f t="shared" si="206"/>
        <v>Satire</v>
      </c>
      <c r="AA130" s="6" t="str">
        <f t="shared" si="201"/>
        <v>Comedy</v>
      </c>
      <c r="AB130" s="6" t="str">
        <f t="shared" si="202"/>
        <v>Tragedy</v>
      </c>
      <c r="AC130" s="6">
        <f t="shared" si="203"/>
        <v>1</v>
      </c>
      <c r="AD130" s="6">
        <f t="shared" si="204"/>
        <v>0</v>
      </c>
      <c r="AI130" s="6">
        <f t="shared" ref="AI130:AM130" si="210">IF(H6=MAX($H6:$L6),0,H6)</f>
        <v>3</v>
      </c>
      <c r="AJ130" s="6">
        <f t="shared" si="210"/>
        <v>2</v>
      </c>
      <c r="AK130" s="6">
        <f t="shared" si="210"/>
        <v>0</v>
      </c>
      <c r="AL130" s="6">
        <f t="shared" si="210"/>
        <v>2</v>
      </c>
      <c r="AM130" s="6">
        <f t="shared" si="210"/>
        <v>0</v>
      </c>
      <c r="AU130" s="96"/>
      <c r="AV130" s="96"/>
      <c r="AW130" s="96"/>
      <c r="AX130" s="96"/>
      <c r="AY130" s="96"/>
      <c r="AZ130" s="96"/>
      <c r="BA130" s="96"/>
      <c r="BB130" s="96"/>
      <c r="BC130" s="96"/>
    </row>
    <row r="131" spans="1:55" ht="15.75" customHeight="1" x14ac:dyDescent="0.2">
      <c r="A131" s="89"/>
      <c r="B131" s="89"/>
      <c r="C131" s="89"/>
      <c r="D131" s="89"/>
      <c r="E131" s="89"/>
      <c r="T131" s="6" t="s">
        <v>141</v>
      </c>
      <c r="U131" s="66">
        <f t="shared" ref="U131:V131" si="211">SUM(U126:U130)</f>
        <v>1</v>
      </c>
      <c r="V131" s="66">
        <f t="shared" si="211"/>
        <v>1</v>
      </c>
      <c r="X131" s="6" t="str">
        <f t="shared" ref="X131:X135" si="212">INDEX({"Comedy","Mystery","Romance","Satire","Tragedy"}, MATCH(MAX(J58:N58), J58:N58, 0))</f>
        <v>Satire</v>
      </c>
      <c r="Y131" s="6" t="str">
        <f t="shared" ref="Y131:Y135" si="213">IF(LARGE(J58:N58,2)=0,"", INDEX({"Comedy","Mystery","Romance","Satire","Tragedy"}, MATCH(LARGE(J58:N58,2), J58:N58, 0)))</f>
        <v>Comedy</v>
      </c>
      <c r="AA131" s="6" t="str">
        <f t="shared" ref="AA131:AA135" si="214">INDEX({"Comedy","Mystery","Romance","Satire","Tragedy"}, MATCH(MAX(H13:L13), H13:L13, 0))</f>
        <v>Comedy</v>
      </c>
      <c r="AB131" s="6" t="str">
        <f t="shared" ref="AB131:AB135" si="215">IF(LARGE(H13:L13,2)=0,"",
   INDEX({"Comedy","Mystery","Romance","Satire","Tragedy"},
         IF(COUNTIF(H13:L13,MAX(H13:L13))&gt;=2,
            MATCH(MAX(H13:L13),H13:L13,0)+MATCH(MAX(H13:L13),INDEX(H13:L13,MATCH(MAX(H13:L13),H13:L13,0)+1):L13,0),
            MATCH(LARGE(H13:L13,2),H13:L13,0)
         )
   )
)</f>
        <v>Satire</v>
      </c>
      <c r="AC131" s="6">
        <f t="shared" si="203"/>
        <v>1</v>
      </c>
      <c r="AD131" s="6">
        <f t="shared" si="204"/>
        <v>1</v>
      </c>
      <c r="AU131" s="96"/>
      <c r="AV131" s="96"/>
      <c r="AW131" s="96"/>
      <c r="AX131" s="96"/>
      <c r="AY131" s="96"/>
      <c r="AZ131" s="96"/>
      <c r="BA131" s="96"/>
      <c r="BB131" s="96"/>
      <c r="BC131" s="96"/>
    </row>
    <row r="132" spans="1:55" ht="15.75" customHeight="1" x14ac:dyDescent="0.2">
      <c r="A132" s="89"/>
      <c r="B132" s="89"/>
      <c r="C132" s="89"/>
      <c r="D132" s="89"/>
      <c r="E132" s="89"/>
      <c r="X132" s="6" t="str">
        <f t="shared" si="212"/>
        <v>Comedy</v>
      </c>
      <c r="Y132" s="6" t="str">
        <f t="shared" si="213"/>
        <v>Comedy</v>
      </c>
      <c r="AA132" s="6" t="str">
        <f t="shared" si="214"/>
        <v>Comedy</v>
      </c>
      <c r="AB132" s="6" t="str">
        <f t="shared" si="215"/>
        <v>Mystery</v>
      </c>
      <c r="AC132" s="6">
        <f t="shared" si="203"/>
        <v>1</v>
      </c>
      <c r="AD132" s="6">
        <f t="shared" si="204"/>
        <v>1</v>
      </c>
      <c r="AU132" s="96"/>
      <c r="AV132" s="96"/>
      <c r="AW132" s="96"/>
      <c r="AX132" s="96"/>
      <c r="AY132" s="96"/>
      <c r="AZ132" s="96"/>
      <c r="BA132" s="96"/>
      <c r="BB132" s="96"/>
      <c r="BC132" s="96"/>
    </row>
    <row r="133" spans="1:55" ht="15.75" customHeight="1" x14ac:dyDescent="0.2">
      <c r="A133" s="89"/>
      <c r="B133" s="89"/>
      <c r="C133" s="89"/>
      <c r="D133" s="89"/>
      <c r="E133" s="89"/>
      <c r="X133" s="6" t="str">
        <f t="shared" si="212"/>
        <v>Comedy</v>
      </c>
      <c r="Y133" s="6" t="str">
        <f t="shared" si="213"/>
        <v>Comedy</v>
      </c>
      <c r="AA133" s="6" t="str">
        <f t="shared" si="214"/>
        <v>Comedy</v>
      </c>
      <c r="AB133" s="6" t="str">
        <f t="shared" si="215"/>
        <v>Romance</v>
      </c>
      <c r="AC133" s="6">
        <f t="shared" si="203"/>
        <v>1</v>
      </c>
      <c r="AD133" s="6">
        <f t="shared" si="204"/>
        <v>1</v>
      </c>
      <c r="AG133" s="146" t="s">
        <v>236</v>
      </c>
      <c r="AH133" s="146"/>
      <c r="AU133" s="96"/>
      <c r="AV133" s="96"/>
      <c r="AW133" s="96"/>
      <c r="AX133" s="96"/>
      <c r="AY133" s="96"/>
      <c r="AZ133" s="96"/>
      <c r="BA133" s="96"/>
      <c r="BB133" s="96"/>
      <c r="BC133" s="96"/>
    </row>
    <row r="134" spans="1:55" ht="15.75" customHeight="1" x14ac:dyDescent="0.2">
      <c r="A134" s="89"/>
      <c r="B134" s="89"/>
      <c r="C134" s="89"/>
      <c r="D134" s="89"/>
      <c r="E134" s="89"/>
      <c r="U134" s="6" t="s">
        <v>75</v>
      </c>
      <c r="V134" s="6" t="s">
        <v>237</v>
      </c>
      <c r="X134" s="6" t="str">
        <f t="shared" si="212"/>
        <v>Satire</v>
      </c>
      <c r="Y134" s="6" t="str">
        <f t="shared" si="213"/>
        <v>Comedy</v>
      </c>
      <c r="AA134" s="6" t="str">
        <f t="shared" si="214"/>
        <v>Comedy</v>
      </c>
      <c r="AB134" s="6" t="str">
        <f t="shared" si="215"/>
        <v>Satire</v>
      </c>
      <c r="AC134" s="6">
        <f t="shared" si="203"/>
        <v>1</v>
      </c>
      <c r="AD134" s="6">
        <f t="shared" si="204"/>
        <v>1</v>
      </c>
      <c r="AU134" s="96"/>
      <c r="AV134" s="96"/>
      <c r="AW134" s="96"/>
      <c r="AX134" s="96"/>
      <c r="AY134" s="96"/>
      <c r="AZ134" s="96"/>
      <c r="BA134" s="96"/>
      <c r="BB134" s="96"/>
      <c r="BC134" s="96"/>
    </row>
    <row r="135" spans="1:55" ht="15.75" customHeight="1" x14ac:dyDescent="0.2">
      <c r="A135" s="89"/>
      <c r="B135" s="89"/>
      <c r="C135" s="89"/>
      <c r="D135" s="89"/>
      <c r="E135" s="89"/>
      <c r="T135" s="6" t="s">
        <v>96</v>
      </c>
      <c r="U135" s="66">
        <f t="shared" ref="U135:V135" si="216">COUNTIF(AA126:AA150, "Tragedy")/25</f>
        <v>0.12</v>
      </c>
      <c r="V135" s="66">
        <f t="shared" si="216"/>
        <v>0.24</v>
      </c>
      <c r="X135" s="6" t="str">
        <f t="shared" si="212"/>
        <v>Mystery</v>
      </c>
      <c r="Y135" s="6" t="str">
        <f t="shared" si="213"/>
        <v>Mystery</v>
      </c>
      <c r="AA135" s="6" t="str">
        <f t="shared" si="214"/>
        <v>Comedy</v>
      </c>
      <c r="AB135" s="6" t="str">
        <f t="shared" si="215"/>
        <v>Satire</v>
      </c>
      <c r="AC135" s="6">
        <f t="shared" si="203"/>
        <v>0</v>
      </c>
      <c r="AD135" s="6">
        <f t="shared" si="204"/>
        <v>0</v>
      </c>
      <c r="AU135" s="96"/>
      <c r="AV135" s="96"/>
      <c r="AW135" s="96"/>
      <c r="AX135" s="96"/>
      <c r="AY135" s="96"/>
      <c r="AZ135" s="96"/>
      <c r="BA135" s="96"/>
      <c r="BB135" s="96"/>
      <c r="BC135" s="96"/>
    </row>
    <row r="136" spans="1:55" ht="15.75" customHeight="1" x14ac:dyDescent="0.2">
      <c r="A136" s="89"/>
      <c r="B136" s="89"/>
      <c r="C136" s="89"/>
      <c r="D136" s="89"/>
      <c r="E136" s="89"/>
      <c r="T136" s="6" t="str">
        <f t="array" ref="T136">INDEX({"Comedy","Mystery","Romance","Satire","Tragedy"}, MATCH(MAX(E65:I65), E65:I65, 0))</f>
        <v>Satire</v>
      </c>
      <c r="U136" s="66">
        <f t="shared" ref="U136:V136" si="217">COUNTIF(AA126:AA150, "Satire")/25</f>
        <v>0.04</v>
      </c>
      <c r="V136" s="66">
        <f t="shared" si="217"/>
        <v>0.28000000000000003</v>
      </c>
      <c r="X136" s="6" t="str">
        <f t="shared" ref="X136:X140" si="218">INDEX({"Comedy","Mystery","Romance","Satire","Tragedy"}, MATCH(MAX(J65:N65), J65:N65, 0))</f>
        <v>Romance</v>
      </c>
      <c r="Y136" s="6" t="str">
        <f t="shared" ref="Y136:Y140" si="219">IF(LARGE(J65:N65,2)=0,"", INDEX({"Comedy","Mystery","Romance","Satire","Tragedy"}, MATCH(LARGE(J65:N65,2), J65:N65, 0)))</f>
        <v>Satire</v>
      </c>
      <c r="AA136" s="6" t="str">
        <f t="shared" ref="AA136:AA140" si="220">INDEX({"Comedy","Mystery","Romance","Satire","Tragedy"}, MATCH(MAX(H20:L20), H20:L20, 0))</f>
        <v>Comedy</v>
      </c>
      <c r="AB136" s="6" t="str">
        <f t="shared" ref="AB136:AB140" si="221">IF(LARGE(H20:L20,2)=0,"",
   INDEX({"Comedy","Mystery","Romance","Satire","Tragedy"},
         IF(COUNTIF(H20:L20,MAX(H20:L20))&gt;=2,
            MATCH(MAX(H20:L20),H20:L20,0)+MATCH(MAX(H20:L20),INDEX(H20:L20,MATCH(MAX(H20:L20),H20:L20,0)+1):L20,0),
            MATCH(LARGE(H20:L20,2),H20:L20,0)
         )
   )
)</f>
        <v>Mystery</v>
      </c>
      <c r="AC136" s="6">
        <f t="shared" si="203"/>
        <v>0</v>
      </c>
      <c r="AD136" s="6">
        <f t="shared" si="204"/>
        <v>0</v>
      </c>
      <c r="AU136" s="96"/>
      <c r="AV136" s="96"/>
      <c r="AW136" s="96"/>
      <c r="AX136" s="96"/>
      <c r="AY136" s="96"/>
      <c r="AZ136" s="96"/>
      <c r="BA136" s="96"/>
      <c r="BB136" s="96"/>
      <c r="BC136" s="96"/>
    </row>
    <row r="137" spans="1:55" ht="15.75" customHeight="1" x14ac:dyDescent="0.2">
      <c r="A137" s="89"/>
      <c r="B137" s="89"/>
      <c r="C137" s="89"/>
      <c r="D137" s="89"/>
      <c r="E137" s="89"/>
      <c r="T137" s="96" t="s">
        <v>94</v>
      </c>
      <c r="U137" s="66">
        <f t="shared" ref="U137:V137" si="222">COUNTIF(AA126:AA150, "Romance")/25</f>
        <v>0.08</v>
      </c>
      <c r="V137" s="66">
        <f t="shared" si="222"/>
        <v>0.12</v>
      </c>
      <c r="X137" s="6" t="str">
        <f t="shared" si="218"/>
        <v>Romance</v>
      </c>
      <c r="Y137" s="6" t="str">
        <f t="shared" si="219"/>
        <v>Tragedy</v>
      </c>
      <c r="AA137" s="6" t="str">
        <f t="shared" si="220"/>
        <v>Comedy</v>
      </c>
      <c r="AB137" s="6" t="str">
        <f t="shared" si="221"/>
        <v>Mystery</v>
      </c>
      <c r="AC137" s="6">
        <f t="shared" si="203"/>
        <v>0</v>
      </c>
      <c r="AD137" s="6">
        <f t="shared" si="204"/>
        <v>0</v>
      </c>
      <c r="AU137" s="96"/>
      <c r="AV137" s="96"/>
      <c r="AW137" s="96"/>
      <c r="AX137" s="96"/>
      <c r="AY137" s="96"/>
      <c r="AZ137" s="96"/>
      <c r="BA137" s="96"/>
      <c r="BB137" s="96"/>
      <c r="BC137" s="96"/>
    </row>
    <row r="138" spans="1:55" ht="15.75" customHeight="1" x14ac:dyDescent="0.2">
      <c r="A138" s="89"/>
      <c r="B138" s="89"/>
      <c r="C138" s="89"/>
      <c r="D138" s="89"/>
      <c r="E138" s="89"/>
      <c r="T138" s="96" t="s">
        <v>93</v>
      </c>
      <c r="U138" s="66">
        <f t="shared" ref="U138:V138" si="223">COUNTIF(AA126:AA150, "Mystery")/25</f>
        <v>0.16</v>
      </c>
      <c r="V138" s="66">
        <f t="shared" si="223"/>
        <v>0.2</v>
      </c>
      <c r="X138" s="6" t="str">
        <f t="shared" si="218"/>
        <v>Mystery</v>
      </c>
      <c r="Y138" s="6" t="str">
        <f t="shared" si="219"/>
        <v>Romance</v>
      </c>
      <c r="AA138" s="6" t="str">
        <f t="shared" si="220"/>
        <v>Romance</v>
      </c>
      <c r="AB138" s="6" t="str">
        <f t="shared" si="221"/>
        <v>Tragedy</v>
      </c>
      <c r="AC138" s="6">
        <f t="shared" si="203"/>
        <v>1</v>
      </c>
      <c r="AD138" s="6">
        <f t="shared" si="204"/>
        <v>0</v>
      </c>
      <c r="AU138" s="96"/>
      <c r="AV138" s="96"/>
      <c r="AW138" s="96"/>
      <c r="AX138" s="96"/>
      <c r="AY138" s="96"/>
      <c r="AZ138" s="96"/>
      <c r="BA138" s="96"/>
      <c r="BB138" s="96"/>
      <c r="BC138" s="96"/>
    </row>
    <row r="139" spans="1:55" ht="15.75" customHeight="1" x14ac:dyDescent="0.2">
      <c r="A139" s="89"/>
      <c r="B139" s="89"/>
      <c r="C139" s="89"/>
      <c r="D139" s="89"/>
      <c r="E139" s="89"/>
      <c r="T139" s="6" t="s">
        <v>92</v>
      </c>
      <c r="U139" s="66">
        <f t="shared" ref="U139:V139" si="224">COUNTIF(AA126:AA150, "Comedy")/25</f>
        <v>0.6</v>
      </c>
      <c r="V139" s="66">
        <f t="shared" si="224"/>
        <v>0.16</v>
      </c>
      <c r="X139" s="6" t="str">
        <f t="shared" si="218"/>
        <v>Romance</v>
      </c>
      <c r="Y139" s="6" t="str">
        <f t="shared" si="219"/>
        <v>Comedy</v>
      </c>
      <c r="AA139" s="6" t="str">
        <f t="shared" si="220"/>
        <v>Comedy</v>
      </c>
      <c r="AB139" s="6" t="str">
        <f t="shared" si="221"/>
        <v>Mystery</v>
      </c>
      <c r="AC139" s="6">
        <f t="shared" si="203"/>
        <v>1</v>
      </c>
      <c r="AD139" s="6">
        <f t="shared" si="204"/>
        <v>0</v>
      </c>
      <c r="AU139" s="96"/>
      <c r="AV139" s="96"/>
      <c r="AW139" s="96"/>
      <c r="AX139" s="96"/>
      <c r="AY139" s="96"/>
      <c r="AZ139" s="96"/>
      <c r="BA139" s="96"/>
      <c r="BB139" s="96"/>
      <c r="BC139" s="96"/>
    </row>
    <row r="140" spans="1:55" ht="15.75" customHeight="1" x14ac:dyDescent="0.2">
      <c r="A140" s="89"/>
      <c r="B140" s="89"/>
      <c r="C140" s="89"/>
      <c r="D140" s="89"/>
      <c r="E140" s="89"/>
      <c r="T140" s="6" t="s">
        <v>141</v>
      </c>
      <c r="U140" s="66">
        <f t="shared" ref="U140:V140" si="225">SUM(U135:U139)</f>
        <v>1</v>
      </c>
      <c r="V140" s="66">
        <f t="shared" si="225"/>
        <v>1</v>
      </c>
      <c r="X140" s="6" t="str">
        <f t="shared" si="218"/>
        <v>Romance</v>
      </c>
      <c r="Y140" s="6" t="str">
        <f t="shared" si="219"/>
        <v>Mystery</v>
      </c>
      <c r="AA140" s="6" t="str">
        <f t="shared" si="220"/>
        <v>Comedy</v>
      </c>
      <c r="AB140" s="6" t="str">
        <f t="shared" si="221"/>
        <v>Satire</v>
      </c>
      <c r="AC140" s="6">
        <f t="shared" si="203"/>
        <v>0</v>
      </c>
      <c r="AD140" s="6">
        <f t="shared" si="204"/>
        <v>0</v>
      </c>
      <c r="AU140" s="96"/>
      <c r="AV140" s="96"/>
      <c r="AW140" s="96"/>
      <c r="AX140" s="96"/>
      <c r="AY140" s="96"/>
      <c r="AZ140" s="96"/>
      <c r="BA140" s="96"/>
      <c r="BB140" s="96"/>
      <c r="BC140" s="96"/>
    </row>
    <row r="141" spans="1:55" ht="15.75" customHeight="1" x14ac:dyDescent="0.2">
      <c r="A141" s="89"/>
      <c r="B141" s="89"/>
      <c r="C141" s="89"/>
      <c r="D141" s="89"/>
      <c r="E141" s="89"/>
      <c r="X141" s="6" t="str">
        <f t="shared" ref="X141:X145" si="226">INDEX({"Comedy","Mystery","Romance","Satire","Tragedy"}, MATCH(MAX(J72:N72), J72:N72, 0))</f>
        <v>Mystery</v>
      </c>
      <c r="Y141" s="6" t="str">
        <f t="shared" ref="Y141:Y145" si="227">IF(LARGE(J72:N72,2)=0,"", INDEX({"Comedy","Mystery","Romance","Satire","Tragedy"}, MATCH(LARGE(J72:N72,2), J72:N72, 0)))</f>
        <v>Mystery</v>
      </c>
      <c r="AA141" s="6" t="str">
        <f t="shared" ref="AA141:AA145" si="228">INDEX({"Comedy","Mystery","Romance","Satire","Tragedy"}, MATCH(MAX(H27:L27), H27:L27, 0))</f>
        <v>Tragedy</v>
      </c>
      <c r="AB141" s="6" t="str">
        <f t="shared" ref="AB141:AB145" si="229">IF(LARGE(H27:L27,2)=0,"",
   INDEX({"Comedy","Mystery","Romance","Satire","Tragedy"},
         IF(COUNTIF(H27:L27,MAX(H27:L27))&gt;=2,
            MATCH(MAX(H27:L27),H27:L27,0)+MATCH(MAX(H27:L27),INDEX(H27:L27,MATCH(MAX(H27:L27),H27:L27,0)+1):L27,0),
            MATCH(LARGE(H27:L27,2),H27:L27,0)
         )
   )
)</f>
        <v>Comedy</v>
      </c>
      <c r="AC141" s="6">
        <f t="shared" si="203"/>
        <v>0</v>
      </c>
      <c r="AD141" s="6">
        <f t="shared" si="204"/>
        <v>0</v>
      </c>
      <c r="AU141" s="96"/>
      <c r="AV141" s="96"/>
      <c r="AW141" s="96"/>
      <c r="AX141" s="96"/>
      <c r="AY141" s="96"/>
      <c r="AZ141" s="96"/>
      <c r="BA141" s="96"/>
      <c r="BB141" s="96"/>
      <c r="BC141" s="96"/>
    </row>
    <row r="142" spans="1:55" ht="15.75" customHeight="1" x14ac:dyDescent="0.2">
      <c r="A142" s="89"/>
      <c r="B142" s="89"/>
      <c r="C142" s="89"/>
      <c r="D142" s="89"/>
      <c r="E142" s="89"/>
      <c r="X142" s="6" t="str">
        <f t="shared" si="226"/>
        <v>Mystery</v>
      </c>
      <c r="Y142" s="6" t="str">
        <f t="shared" si="227"/>
        <v>Tragedy</v>
      </c>
      <c r="AA142" s="6" t="str">
        <f t="shared" si="228"/>
        <v>Mystery</v>
      </c>
      <c r="AB142" s="6" t="str">
        <f t="shared" si="229"/>
        <v>Romance</v>
      </c>
      <c r="AC142" s="6">
        <f t="shared" si="203"/>
        <v>1</v>
      </c>
      <c r="AD142" s="6">
        <f t="shared" si="204"/>
        <v>0</v>
      </c>
      <c r="AU142" s="96"/>
      <c r="AV142" s="96"/>
      <c r="AW142" s="96"/>
      <c r="AX142" s="96"/>
      <c r="AY142" s="96"/>
      <c r="AZ142" s="96"/>
      <c r="BA142" s="96"/>
      <c r="BB142" s="96"/>
      <c r="BC142" s="96"/>
    </row>
    <row r="143" spans="1:55" ht="15.75" customHeight="1" x14ac:dyDescent="0.2">
      <c r="A143" s="89"/>
      <c r="B143" s="89"/>
      <c r="C143" s="89"/>
      <c r="D143" s="89"/>
      <c r="E143" s="89"/>
      <c r="X143" s="6" t="str">
        <f t="shared" si="226"/>
        <v>Mystery</v>
      </c>
      <c r="Y143" s="6" t="str">
        <f t="shared" si="227"/>
        <v>Comedy</v>
      </c>
      <c r="AA143" s="6" t="str">
        <f t="shared" si="228"/>
        <v>Tragedy</v>
      </c>
      <c r="AB143" s="6" t="str">
        <f t="shared" si="229"/>
        <v>Comedy</v>
      </c>
      <c r="AC143" s="6">
        <f t="shared" si="203"/>
        <v>1</v>
      </c>
      <c r="AD143" s="6">
        <f t="shared" si="204"/>
        <v>0</v>
      </c>
      <c r="AU143" s="96"/>
      <c r="AV143" s="96"/>
      <c r="AW143" s="96"/>
      <c r="AX143" s="96"/>
      <c r="AY143" s="96"/>
      <c r="AZ143" s="96"/>
      <c r="BA143" s="96"/>
      <c r="BB143" s="96"/>
      <c r="BC143" s="96"/>
    </row>
    <row r="144" spans="1:55" ht="15.75" customHeight="1" x14ac:dyDescent="0.2">
      <c r="A144" s="89"/>
      <c r="B144" s="89"/>
      <c r="C144" s="89"/>
      <c r="D144" s="89"/>
      <c r="E144" s="89"/>
      <c r="X144" s="6" t="str">
        <f t="shared" si="226"/>
        <v>Mystery</v>
      </c>
      <c r="Y144" s="6" t="str">
        <f t="shared" si="227"/>
        <v>Comedy</v>
      </c>
      <c r="AA144" s="6" t="str">
        <f t="shared" si="228"/>
        <v>Mystery</v>
      </c>
      <c r="AB144" s="6" t="str">
        <f t="shared" si="229"/>
        <v>Tragedy</v>
      </c>
      <c r="AC144" s="6">
        <f t="shared" si="203"/>
        <v>1</v>
      </c>
      <c r="AD144" s="6">
        <f t="shared" si="204"/>
        <v>0</v>
      </c>
      <c r="AU144" s="96"/>
      <c r="AV144" s="96"/>
      <c r="AW144" s="96"/>
      <c r="AX144" s="96"/>
      <c r="AY144" s="96"/>
      <c r="AZ144" s="96"/>
      <c r="BA144" s="96"/>
      <c r="BB144" s="96"/>
      <c r="BC144" s="96"/>
    </row>
    <row r="145" spans="1:55" ht="15.75" customHeight="1" x14ac:dyDescent="0.2">
      <c r="A145" s="89"/>
      <c r="B145" s="89"/>
      <c r="C145" s="89"/>
      <c r="D145" s="89"/>
      <c r="E145" s="89"/>
      <c r="X145" s="6" t="str">
        <f t="shared" si="226"/>
        <v>Mystery</v>
      </c>
      <c r="Y145" s="6" t="str">
        <f t="shared" si="227"/>
        <v>Mystery</v>
      </c>
      <c r="AA145" s="6" t="str">
        <f t="shared" si="228"/>
        <v>Mystery</v>
      </c>
      <c r="AB145" s="6" t="str">
        <f t="shared" si="229"/>
        <v>Tragedy</v>
      </c>
      <c r="AC145" s="6">
        <f t="shared" si="203"/>
        <v>1</v>
      </c>
      <c r="AD145" s="6">
        <f t="shared" si="204"/>
        <v>1</v>
      </c>
      <c r="AU145" s="96"/>
      <c r="AV145" s="96"/>
      <c r="AW145" s="96"/>
      <c r="AX145" s="96"/>
      <c r="AY145" s="96"/>
      <c r="AZ145" s="96"/>
      <c r="BA145" s="96"/>
      <c r="BB145" s="96"/>
      <c r="BC145" s="96"/>
    </row>
    <row r="146" spans="1:55" ht="15.75" customHeight="1" x14ac:dyDescent="0.2">
      <c r="A146" s="89"/>
      <c r="B146" s="89"/>
      <c r="C146" s="89"/>
      <c r="D146" s="89"/>
      <c r="E146" s="89"/>
      <c r="X146" s="6" t="str">
        <f t="shared" ref="X146:X150" si="230">INDEX({"Comedy","Mystery","Romance","Satire","Tragedy"}, MATCH(MAX(J79:N79), J79:N79, 0))</f>
        <v>Comedy</v>
      </c>
      <c r="Y146" s="6" t="str">
        <f t="shared" ref="Y146:Y150" si="231">IF(LARGE(J79:N79,2)=0,"", INDEX({"Comedy","Mystery","Romance","Satire","Tragedy"}, MATCH(LARGE(J79:N79,2), J79:N79, 0)))</f>
        <v>Comedy</v>
      </c>
      <c r="AA146" s="6" t="str">
        <f t="shared" ref="AA146:AA150" si="232">INDEX({"Comedy","Mystery","Romance","Satire","Tragedy"}, MATCH(MAX(H34:L34), H34:L34, 0))</f>
        <v>Comedy</v>
      </c>
      <c r="AB146" s="6" t="str">
        <f t="shared" ref="AB146:AB150" si="233">IF(LARGE(H34:L34,2)=0,"",
   INDEX({"Comedy","Mystery","Romance","Satire","Tragedy"},
         IF(COUNTIF(H34:L34,MAX(H34:L34))&gt;=2,
            MATCH(MAX(H34:L34),H34:L34,0)+MATCH(MAX(H34:L34),INDEX(H34:L34,MATCH(MAX(H34:L34),H34:L34,0)+1):L34,0),
            MATCH(LARGE(H34:L34,2),H34:L34,0)
         )
   )
)</f>
        <v>Mystery</v>
      </c>
      <c r="AC146" s="6">
        <f t="shared" si="203"/>
        <v>1</v>
      </c>
      <c r="AD146" s="6">
        <f t="shared" si="204"/>
        <v>1</v>
      </c>
      <c r="AU146" s="96"/>
      <c r="AV146" s="96"/>
      <c r="AW146" s="96"/>
      <c r="AX146" s="96"/>
      <c r="AY146" s="96"/>
      <c r="AZ146" s="96"/>
      <c r="BA146" s="96"/>
      <c r="BB146" s="96"/>
      <c r="BC146" s="96"/>
    </row>
    <row r="147" spans="1:55" ht="15.75" customHeight="1" x14ac:dyDescent="0.2">
      <c r="A147" s="89"/>
      <c r="B147" s="89"/>
      <c r="C147" s="89"/>
      <c r="D147" s="89"/>
      <c r="E147" s="89"/>
      <c r="X147" s="6" t="str">
        <f t="shared" si="230"/>
        <v>Comedy</v>
      </c>
      <c r="Y147" s="6" t="str">
        <f t="shared" si="231"/>
        <v>Satire</v>
      </c>
      <c r="AA147" s="6" t="str">
        <f t="shared" si="232"/>
        <v>Comedy</v>
      </c>
      <c r="AB147" s="6" t="str">
        <f t="shared" si="233"/>
        <v>Tragedy</v>
      </c>
      <c r="AC147" s="6">
        <f t="shared" si="203"/>
        <v>1</v>
      </c>
      <c r="AD147" s="6">
        <f t="shared" si="204"/>
        <v>0</v>
      </c>
      <c r="AU147" s="96"/>
      <c r="AV147" s="96"/>
      <c r="AW147" s="96"/>
      <c r="AX147" s="96"/>
      <c r="AY147" s="96"/>
      <c r="AZ147" s="96"/>
      <c r="BA147" s="96"/>
      <c r="BB147" s="96"/>
      <c r="BC147" s="96"/>
    </row>
    <row r="148" spans="1:55" ht="15.75" customHeight="1" x14ac:dyDescent="0.2">
      <c r="A148" s="89"/>
      <c r="B148" s="89"/>
      <c r="C148" s="89"/>
      <c r="D148" s="89"/>
      <c r="E148" s="89"/>
      <c r="X148" s="6" t="str">
        <f t="shared" si="230"/>
        <v>Romance</v>
      </c>
      <c r="Y148" s="6" t="str">
        <f t="shared" si="231"/>
        <v>Comedy</v>
      </c>
      <c r="AA148" s="6" t="str">
        <f t="shared" si="232"/>
        <v>Comedy</v>
      </c>
      <c r="AB148" s="6" t="str">
        <f t="shared" si="233"/>
        <v>Romance</v>
      </c>
      <c r="AC148" s="6">
        <f t="shared" si="203"/>
        <v>1</v>
      </c>
      <c r="AD148" s="6">
        <f t="shared" si="204"/>
        <v>1</v>
      </c>
      <c r="AU148" s="96"/>
      <c r="AV148" s="96"/>
      <c r="AW148" s="96"/>
      <c r="AX148" s="96"/>
      <c r="AY148" s="96"/>
      <c r="AZ148" s="96"/>
      <c r="BA148" s="96"/>
      <c r="BB148" s="96"/>
      <c r="BC148" s="96"/>
    </row>
    <row r="149" spans="1:55" ht="15.75" customHeight="1" x14ac:dyDescent="0.2">
      <c r="A149" s="89"/>
      <c r="B149" s="89"/>
      <c r="C149" s="89"/>
      <c r="D149" s="89"/>
      <c r="E149" s="89"/>
      <c r="X149" s="6" t="str">
        <f t="shared" si="230"/>
        <v>Romance</v>
      </c>
      <c r="Y149" s="6" t="str">
        <f t="shared" si="231"/>
        <v>Comedy</v>
      </c>
      <c r="AA149" s="6" t="str">
        <f t="shared" si="232"/>
        <v>Tragedy</v>
      </c>
      <c r="AB149" s="6" t="str">
        <f t="shared" si="233"/>
        <v>Comedy</v>
      </c>
      <c r="AC149" s="6">
        <f t="shared" si="203"/>
        <v>1</v>
      </c>
      <c r="AD149" s="6">
        <f t="shared" si="204"/>
        <v>0</v>
      </c>
      <c r="AU149" s="96"/>
      <c r="AV149" s="96"/>
      <c r="AW149" s="96"/>
      <c r="AX149" s="96"/>
      <c r="AY149" s="96"/>
      <c r="AZ149" s="96"/>
      <c r="BA149" s="96"/>
      <c r="BB149" s="96"/>
      <c r="BC149" s="96"/>
    </row>
    <row r="150" spans="1:55" ht="15.75" customHeight="1" x14ac:dyDescent="0.2">
      <c r="A150" s="89"/>
      <c r="B150" s="89"/>
      <c r="C150" s="89"/>
      <c r="D150" s="89"/>
      <c r="E150" s="89"/>
      <c r="X150" s="6" t="str">
        <f t="shared" si="230"/>
        <v>Comedy</v>
      </c>
      <c r="Y150" s="6" t="str">
        <f t="shared" si="231"/>
        <v>Comedy</v>
      </c>
      <c r="AA150" s="6" t="str">
        <f t="shared" si="232"/>
        <v>Satire</v>
      </c>
      <c r="AB150" s="6" t="str">
        <f t="shared" si="233"/>
        <v>Comedy</v>
      </c>
      <c r="AC150" s="6">
        <f t="shared" si="203"/>
        <v>1</v>
      </c>
      <c r="AD150" s="6">
        <f t="shared" si="204"/>
        <v>1</v>
      </c>
      <c r="AU150" s="96"/>
      <c r="AV150" s="96"/>
      <c r="AW150" s="96"/>
      <c r="AX150" s="96"/>
      <c r="AY150" s="96"/>
      <c r="AZ150" s="96"/>
      <c r="BA150" s="96"/>
      <c r="BB150" s="96"/>
      <c r="BC150" s="96"/>
    </row>
    <row r="151" spans="1:55" ht="15.75" customHeight="1" x14ac:dyDescent="0.2">
      <c r="A151" s="89"/>
      <c r="B151" s="89"/>
      <c r="C151" s="89"/>
      <c r="D151" s="89"/>
      <c r="E151" s="89"/>
      <c r="AU151" s="96"/>
      <c r="AV151" s="96"/>
      <c r="AW151" s="96"/>
      <c r="AX151" s="96"/>
      <c r="AY151" s="96"/>
      <c r="AZ151" s="96"/>
      <c r="BA151" s="96"/>
      <c r="BB151" s="96"/>
      <c r="BC151" s="96"/>
    </row>
    <row r="152" spans="1:55" ht="15.75" customHeight="1" x14ac:dyDescent="0.2">
      <c r="A152" s="89"/>
      <c r="B152" s="89"/>
      <c r="C152" s="89"/>
      <c r="D152" s="89"/>
      <c r="E152" s="89"/>
      <c r="AU152" s="96"/>
      <c r="AV152" s="96"/>
      <c r="AW152" s="96"/>
      <c r="AX152" s="96"/>
      <c r="AY152" s="96"/>
      <c r="AZ152" s="96"/>
      <c r="BA152" s="96"/>
      <c r="BB152" s="96"/>
      <c r="BC152" s="96"/>
    </row>
    <row r="153" spans="1:55" ht="15.75" customHeight="1" x14ac:dyDescent="0.2">
      <c r="A153" s="89"/>
      <c r="B153" s="89"/>
      <c r="C153" s="89"/>
      <c r="D153" s="89"/>
      <c r="E153" s="89"/>
      <c r="V153" s="311" t="s">
        <v>238</v>
      </c>
      <c r="W153" s="301"/>
      <c r="X153" s="301"/>
      <c r="Y153" s="301"/>
      <c r="Z153" s="301"/>
      <c r="AB153" s="311" t="s">
        <v>239</v>
      </c>
      <c r="AC153" s="301"/>
      <c r="AD153" s="301"/>
      <c r="AE153" s="301"/>
      <c r="AF153" s="301"/>
      <c r="AO153" s="311" t="s">
        <v>240</v>
      </c>
      <c r="AP153" s="301"/>
      <c r="AQ153" s="301"/>
      <c r="AR153" s="301"/>
      <c r="AS153" s="301"/>
      <c r="AU153" s="96"/>
      <c r="AV153" s="96"/>
      <c r="AW153" s="96"/>
      <c r="AX153" s="96"/>
      <c r="AY153" s="96"/>
      <c r="AZ153" s="96"/>
      <c r="BA153" s="96"/>
      <c r="BB153" s="96"/>
      <c r="BC153" s="96"/>
    </row>
    <row r="154" spans="1:55" ht="15.75" customHeight="1" x14ac:dyDescent="0.2">
      <c r="A154" s="89"/>
      <c r="B154" s="4" t="s">
        <v>65</v>
      </c>
      <c r="C154" s="4" t="s">
        <v>66</v>
      </c>
      <c r="D154" s="4" t="s">
        <v>67</v>
      </c>
      <c r="E154" s="4" t="s">
        <v>68</v>
      </c>
      <c r="F154" s="4" t="s">
        <v>69</v>
      </c>
      <c r="H154" s="2" t="s">
        <v>3</v>
      </c>
      <c r="I154" s="2" t="s">
        <v>4</v>
      </c>
      <c r="J154" s="2" t="s">
        <v>5</v>
      </c>
      <c r="K154" s="2" t="s">
        <v>6</v>
      </c>
      <c r="L154" s="2" t="s">
        <v>7</v>
      </c>
      <c r="N154" s="75" t="s">
        <v>241</v>
      </c>
      <c r="O154" s="75" t="s">
        <v>116</v>
      </c>
      <c r="P154" s="75" t="s">
        <v>242</v>
      </c>
      <c r="Q154" s="75" t="s">
        <v>114</v>
      </c>
      <c r="R154" s="75" t="s">
        <v>115</v>
      </c>
      <c r="T154" s="5"/>
      <c r="U154" s="101"/>
      <c r="V154" s="4" t="s">
        <v>65</v>
      </c>
      <c r="W154" s="4" t="s">
        <v>66</v>
      </c>
      <c r="X154" s="4" t="s">
        <v>67</v>
      </c>
      <c r="Y154" s="4" t="s">
        <v>68</v>
      </c>
      <c r="Z154" s="4" t="s">
        <v>69</v>
      </c>
      <c r="AB154" s="44" t="s">
        <v>81</v>
      </c>
      <c r="AC154" s="44" t="s">
        <v>82</v>
      </c>
      <c r="AD154" s="44" t="s">
        <v>83</v>
      </c>
      <c r="AE154" s="44" t="s">
        <v>84</v>
      </c>
      <c r="AF154" s="44" t="s">
        <v>85</v>
      </c>
      <c r="AI154" s="147" t="s">
        <v>243</v>
      </c>
      <c r="AJ154" s="147" t="s">
        <v>244</v>
      </c>
      <c r="AL154" s="75" t="s">
        <v>245</v>
      </c>
      <c r="AM154" s="75" t="s">
        <v>246</v>
      </c>
      <c r="AO154" s="75" t="s">
        <v>241</v>
      </c>
      <c r="AP154" s="75" t="s">
        <v>116</v>
      </c>
      <c r="AQ154" s="75" t="s">
        <v>242</v>
      </c>
      <c r="AR154" s="75" t="s">
        <v>114</v>
      </c>
      <c r="AS154" s="75" t="s">
        <v>115</v>
      </c>
      <c r="AU154" s="147" t="s">
        <v>243</v>
      </c>
      <c r="AV154" s="147" t="s">
        <v>244</v>
      </c>
      <c r="AW154" s="75"/>
      <c r="AX154" s="75" t="s">
        <v>247</v>
      </c>
      <c r="AY154" s="75"/>
      <c r="AZ154" s="96"/>
      <c r="BA154" s="96"/>
      <c r="BB154" s="96"/>
      <c r="BC154" s="96"/>
    </row>
    <row r="155" spans="1:55" ht="15.75" customHeight="1" x14ac:dyDescent="0.2">
      <c r="A155" s="89"/>
      <c r="B155" s="9">
        <v>1</v>
      </c>
      <c r="C155" s="9">
        <v>0</v>
      </c>
      <c r="D155" s="11">
        <v>1</v>
      </c>
      <c r="E155" s="11">
        <v>2</v>
      </c>
      <c r="F155" s="11">
        <v>4</v>
      </c>
      <c r="H155" s="7">
        <v>2</v>
      </c>
      <c r="I155" s="7">
        <v>2</v>
      </c>
      <c r="J155" s="7">
        <v>2</v>
      </c>
      <c r="K155" s="148">
        <v>4</v>
      </c>
      <c r="L155" s="148">
        <v>4</v>
      </c>
      <c r="N155" s="53">
        <v>2</v>
      </c>
      <c r="O155" s="53">
        <v>1</v>
      </c>
      <c r="P155" s="53">
        <v>1</v>
      </c>
      <c r="Q155" s="53">
        <v>3</v>
      </c>
      <c r="R155" s="53">
        <v>4</v>
      </c>
      <c r="T155" s="5"/>
      <c r="U155" s="51" t="s">
        <v>117</v>
      </c>
      <c r="V155" s="6">
        <f t="shared" ref="V155:Z155" si="234">IF(J49 &gt;= MAX($J49:$N49, 2), 1, 0)</f>
        <v>0</v>
      </c>
      <c r="W155" s="6">
        <f t="shared" si="234"/>
        <v>0</v>
      </c>
      <c r="X155" s="6">
        <f t="shared" si="234"/>
        <v>0</v>
      </c>
      <c r="Y155" s="6">
        <f t="shared" si="234"/>
        <v>0</v>
      </c>
      <c r="Z155" s="6">
        <f t="shared" si="234"/>
        <v>1</v>
      </c>
      <c r="AB155" s="6">
        <f t="shared" ref="AB155:AF155" si="235">IF(AND(H4 &gt;= LARGE($H4:$L4, 2), H4&gt;=3), 1, 0)</f>
        <v>0</v>
      </c>
      <c r="AC155" s="6">
        <f t="shared" si="235"/>
        <v>0</v>
      </c>
      <c r="AD155" s="6">
        <f t="shared" si="235"/>
        <v>0</v>
      </c>
      <c r="AE155" s="6">
        <f t="shared" si="235"/>
        <v>1</v>
      </c>
      <c r="AF155" s="6">
        <f t="shared" si="235"/>
        <v>1</v>
      </c>
      <c r="AG155" s="6">
        <f t="shared" ref="AG155:AG189" si="236">SUM(AB155:AF155)</f>
        <v>2</v>
      </c>
      <c r="AH155" s="6">
        <f t="shared" ref="AH155:AH189" si="237">IF(AG155=2, 0.7, IF(AG155=3, 0.9, 1))</f>
        <v>0.7</v>
      </c>
      <c r="AI155" s="6">
        <f t="shared" ref="AI155:AI189" si="238">(V155*AB155)+(W155*AC155)+(X155*AD155)+(Y155*AE155)+(Z155*AF155)</f>
        <v>1</v>
      </c>
      <c r="AJ155" s="6">
        <f t="shared" ref="AJ155:AJ189" si="239">IF(AI155 &gt;= 1, 1, 0)</f>
        <v>1</v>
      </c>
      <c r="AL155" s="6">
        <f t="shared" ref="AL155:AL189" si="240">COUNTIFS(J49:N49, "&gt;=" &amp; LARGE(J49:N49, 3), J49:N49, "&gt;=3")</f>
        <v>1</v>
      </c>
      <c r="AM155" s="6">
        <f t="shared" ref="AM155:AM189" si="241">COUNTIF(H4:L4, "&gt;=" &amp; LARGE(H4:L4, 2))</f>
        <v>2</v>
      </c>
      <c r="AO155" s="6">
        <f t="shared" ref="AO155:AS155" si="242">IF(AND(N155 &gt;= LARGE($N155:$R155, 2), N155&gt;=3), 1, 0)</f>
        <v>0</v>
      </c>
      <c r="AP155" s="6">
        <f t="shared" si="242"/>
        <v>0</v>
      </c>
      <c r="AQ155" s="6">
        <f t="shared" si="242"/>
        <v>0</v>
      </c>
      <c r="AR155" s="6">
        <f t="shared" si="242"/>
        <v>1</v>
      </c>
      <c r="AS155" s="6">
        <f t="shared" si="242"/>
        <v>1</v>
      </c>
      <c r="AU155" s="79">
        <f t="shared" ref="AU155:AU189" si="243">(AB155*AO155)+(AC155*AP155)+(AD155*AQ155)+(AE155*AR155)+(AF155*AS155)</f>
        <v>2</v>
      </c>
      <c r="AV155" s="79">
        <f t="shared" ref="AV155:AV189" si="244">IF(AU155 &gt;= 1, 1, 0)</f>
        <v>1</v>
      </c>
      <c r="AW155" s="79"/>
      <c r="AX155" s="79">
        <f t="shared" ref="AX155:AX189" si="245">COUNTIFS(N155:R155, "&gt;=" &amp; LARGE(N155:R155, 3), N155:R155, "&gt;=3")</f>
        <v>2</v>
      </c>
      <c r="AY155" s="79"/>
      <c r="AZ155" s="96"/>
      <c r="BA155" s="96"/>
      <c r="BB155" s="96"/>
      <c r="BC155" s="96"/>
    </row>
    <row r="156" spans="1:55" ht="15.75" customHeight="1" x14ac:dyDescent="0.2">
      <c r="A156" s="89"/>
      <c r="B156" s="9">
        <v>0</v>
      </c>
      <c r="C156" s="9">
        <v>0</v>
      </c>
      <c r="D156" s="11">
        <v>3</v>
      </c>
      <c r="E156" s="11">
        <v>2</v>
      </c>
      <c r="F156" s="11">
        <v>3</v>
      </c>
      <c r="H156" s="148">
        <v>3</v>
      </c>
      <c r="I156" s="7">
        <v>2</v>
      </c>
      <c r="J156" s="7">
        <v>2</v>
      </c>
      <c r="K156" s="148">
        <v>3</v>
      </c>
      <c r="L156" s="148">
        <v>4</v>
      </c>
      <c r="N156" s="53">
        <v>1</v>
      </c>
      <c r="O156" s="53">
        <v>1</v>
      </c>
      <c r="P156" s="53">
        <v>1</v>
      </c>
      <c r="Q156" s="53">
        <v>2</v>
      </c>
      <c r="R156" s="53">
        <v>3</v>
      </c>
      <c r="T156" s="5"/>
      <c r="U156" s="51" t="s">
        <v>118</v>
      </c>
      <c r="V156" s="6">
        <f t="shared" ref="V156:Z156" si="246">IF(AND(J50 &gt;= LARGE($J50:$N50, 2), J50&gt;=3), 1, 0)</f>
        <v>0</v>
      </c>
      <c r="W156" s="6">
        <f t="shared" si="246"/>
        <v>0</v>
      </c>
      <c r="X156" s="6">
        <f t="shared" si="246"/>
        <v>1</v>
      </c>
      <c r="Y156" s="6">
        <f t="shared" si="246"/>
        <v>0</v>
      </c>
      <c r="Z156" s="6">
        <f t="shared" si="246"/>
        <v>1</v>
      </c>
      <c r="AB156" s="6">
        <f t="shared" ref="AB156:AD156" si="247">IF(AND(H5 &gt;= LARGE($H5:$L5, 2), H5&gt;=3), 1, 0)</f>
        <v>1</v>
      </c>
      <c r="AC156" s="6">
        <f t="shared" si="247"/>
        <v>0</v>
      </c>
      <c r="AD156" s="6">
        <f t="shared" si="247"/>
        <v>0</v>
      </c>
      <c r="AE156" s="6">
        <v>0</v>
      </c>
      <c r="AF156" s="6">
        <f>IF(AND(L5 &gt;= LARGE($H5:$L5, 2), L5&gt;=3), 1, 0)</f>
        <v>1</v>
      </c>
      <c r="AG156" s="6">
        <f t="shared" si="236"/>
        <v>2</v>
      </c>
      <c r="AH156" s="6">
        <f t="shared" si="237"/>
        <v>0.7</v>
      </c>
      <c r="AI156" s="6">
        <f t="shared" si="238"/>
        <v>1</v>
      </c>
      <c r="AJ156" s="6">
        <f t="shared" si="239"/>
        <v>1</v>
      </c>
      <c r="AL156" s="6">
        <f t="shared" si="240"/>
        <v>2</v>
      </c>
      <c r="AM156" s="6">
        <f t="shared" si="241"/>
        <v>3</v>
      </c>
      <c r="AO156" s="6">
        <f t="shared" ref="AO156:AS156" si="248">IF(AND(N156 &gt;= LARGE($N156:$R156, 2), N156&gt;=3), 1, 0)</f>
        <v>0</v>
      </c>
      <c r="AP156" s="6">
        <f t="shared" si="248"/>
        <v>0</v>
      </c>
      <c r="AQ156" s="6">
        <f t="shared" si="248"/>
        <v>0</v>
      </c>
      <c r="AR156" s="6">
        <f t="shared" si="248"/>
        <v>0</v>
      </c>
      <c r="AS156" s="6">
        <f t="shared" si="248"/>
        <v>1</v>
      </c>
      <c r="AU156" s="79">
        <f t="shared" si="243"/>
        <v>1</v>
      </c>
      <c r="AV156" s="79">
        <f t="shared" si="244"/>
        <v>1</v>
      </c>
      <c r="AW156" s="79"/>
      <c r="AX156" s="79">
        <f t="shared" si="245"/>
        <v>1</v>
      </c>
      <c r="AY156" s="79"/>
      <c r="AZ156" s="96"/>
      <c r="BA156" s="96"/>
      <c r="BB156" s="96"/>
      <c r="BC156" s="96"/>
    </row>
    <row r="157" spans="1:55" ht="15.75" customHeight="1" x14ac:dyDescent="0.2">
      <c r="A157" s="89"/>
      <c r="B157" s="105">
        <v>0</v>
      </c>
      <c r="C157" s="105">
        <v>0</v>
      </c>
      <c r="D157" s="105">
        <v>0</v>
      </c>
      <c r="E157" s="105">
        <v>0</v>
      </c>
      <c r="F157" s="105">
        <v>4</v>
      </c>
      <c r="H157" s="148">
        <v>3</v>
      </c>
      <c r="I157" s="7">
        <v>2</v>
      </c>
      <c r="J157" s="148">
        <v>4</v>
      </c>
      <c r="K157" s="7">
        <v>2</v>
      </c>
      <c r="L157" s="148">
        <v>4</v>
      </c>
      <c r="M157" s="50"/>
      <c r="N157" s="53">
        <v>1</v>
      </c>
      <c r="O157" s="53">
        <v>0</v>
      </c>
      <c r="P157" s="53">
        <v>1</v>
      </c>
      <c r="Q157" s="53">
        <v>0</v>
      </c>
      <c r="R157" s="53">
        <v>2</v>
      </c>
      <c r="T157" s="300" t="s">
        <v>8</v>
      </c>
      <c r="U157" s="18" t="s">
        <v>9</v>
      </c>
      <c r="V157" s="6">
        <f t="shared" ref="V157:Z157" si="249">IF(AND(J51 &gt;= LARGE($J51:$N51, 2), J51&gt;=3), 1, 0)</f>
        <v>0</v>
      </c>
      <c r="W157" s="6">
        <f t="shared" si="249"/>
        <v>0</v>
      </c>
      <c r="X157" s="6">
        <f t="shared" si="249"/>
        <v>0</v>
      </c>
      <c r="Y157" s="6">
        <f t="shared" si="249"/>
        <v>0</v>
      </c>
      <c r="Z157" s="6">
        <f t="shared" si="249"/>
        <v>1</v>
      </c>
      <c r="AB157" s="6">
        <f t="shared" ref="AB157:AF157" si="250">IF(AND(H6 &gt;= LARGE($H6:$L6, 2), H6&gt;=3), 1, 0)</f>
        <v>0</v>
      </c>
      <c r="AC157" s="6">
        <f t="shared" si="250"/>
        <v>0</v>
      </c>
      <c r="AD157" s="6">
        <f t="shared" si="250"/>
        <v>1</v>
      </c>
      <c r="AE157" s="6">
        <f t="shared" si="250"/>
        <v>0</v>
      </c>
      <c r="AF157" s="6">
        <f t="shared" si="250"/>
        <v>1</v>
      </c>
      <c r="AG157" s="6">
        <f t="shared" si="236"/>
        <v>2</v>
      </c>
      <c r="AH157" s="6">
        <f t="shared" si="237"/>
        <v>0.7</v>
      </c>
      <c r="AI157" s="6">
        <f t="shared" si="238"/>
        <v>1</v>
      </c>
      <c r="AJ157" s="6">
        <f t="shared" si="239"/>
        <v>1</v>
      </c>
      <c r="AL157" s="6">
        <f t="shared" si="240"/>
        <v>1</v>
      </c>
      <c r="AM157" s="6">
        <f t="shared" si="241"/>
        <v>2</v>
      </c>
      <c r="AO157" s="6">
        <f t="shared" ref="AO157:AS157" si="251">IF(AND(N157 &gt;= LARGE($N157:$R157, 2), N157&gt;=3), 1, 0)</f>
        <v>0</v>
      </c>
      <c r="AP157" s="6">
        <f t="shared" si="251"/>
        <v>0</v>
      </c>
      <c r="AQ157" s="6">
        <f t="shared" si="251"/>
        <v>0</v>
      </c>
      <c r="AR157" s="6">
        <f t="shared" si="251"/>
        <v>0</v>
      </c>
      <c r="AS157" s="6">
        <f t="shared" si="251"/>
        <v>0</v>
      </c>
      <c r="AU157" s="79">
        <f t="shared" si="243"/>
        <v>0</v>
      </c>
      <c r="AV157" s="79">
        <f t="shared" si="244"/>
        <v>0</v>
      </c>
      <c r="AW157" s="79"/>
      <c r="AX157" s="79">
        <f t="shared" si="245"/>
        <v>0</v>
      </c>
      <c r="AY157" s="79"/>
      <c r="AZ157" s="96"/>
      <c r="BA157" s="96"/>
      <c r="BB157" s="96"/>
      <c r="BC157" s="96"/>
    </row>
    <row r="158" spans="1:55" ht="15.75" customHeight="1" x14ac:dyDescent="0.2">
      <c r="A158" s="89"/>
      <c r="B158" s="105">
        <v>0</v>
      </c>
      <c r="C158" s="105">
        <v>2</v>
      </c>
      <c r="D158" s="105">
        <v>0</v>
      </c>
      <c r="E158" s="105">
        <v>4</v>
      </c>
      <c r="F158" s="105">
        <v>3</v>
      </c>
      <c r="H158" s="148">
        <v>4</v>
      </c>
      <c r="I158" s="148">
        <v>3</v>
      </c>
      <c r="J158" s="148">
        <v>3</v>
      </c>
      <c r="K158" s="148">
        <v>4</v>
      </c>
      <c r="L158" s="148">
        <v>4</v>
      </c>
      <c r="M158" s="52"/>
      <c r="N158" s="53">
        <v>3</v>
      </c>
      <c r="O158" s="53">
        <v>0</v>
      </c>
      <c r="P158" s="53">
        <v>1</v>
      </c>
      <c r="Q158" s="53">
        <v>4</v>
      </c>
      <c r="R158" s="53">
        <v>4</v>
      </c>
      <c r="T158" s="301"/>
      <c r="U158" s="18" t="s">
        <v>11</v>
      </c>
      <c r="V158" s="6">
        <f t="shared" ref="V158:Z158" si="252">IF(AND(J52 &gt;= LARGE($J52:$N52, 2), J52&gt;=3), 1, 0)</f>
        <v>0</v>
      </c>
      <c r="W158" s="6">
        <f t="shared" si="252"/>
        <v>0</v>
      </c>
      <c r="X158" s="6">
        <f t="shared" si="252"/>
        <v>0</v>
      </c>
      <c r="Y158" s="6">
        <f t="shared" si="252"/>
        <v>1</v>
      </c>
      <c r="Z158" s="6">
        <f t="shared" si="252"/>
        <v>1</v>
      </c>
      <c r="AB158" s="6">
        <f t="shared" ref="AB158:AE158" si="253">IF(AND(H7 &gt;= LARGE($H7:$L7, 2), H7&gt;=3), 1, 0)</f>
        <v>1</v>
      </c>
      <c r="AC158" s="6">
        <f t="shared" si="253"/>
        <v>0</v>
      </c>
      <c r="AD158" s="6">
        <f t="shared" si="253"/>
        <v>0</v>
      </c>
      <c r="AE158" s="6">
        <f t="shared" si="253"/>
        <v>1</v>
      </c>
      <c r="AF158" s="6">
        <v>0</v>
      </c>
      <c r="AG158" s="6">
        <f t="shared" si="236"/>
        <v>2</v>
      </c>
      <c r="AH158" s="6">
        <f t="shared" si="237"/>
        <v>0.7</v>
      </c>
      <c r="AI158" s="6">
        <f t="shared" si="238"/>
        <v>1</v>
      </c>
      <c r="AJ158" s="6">
        <f t="shared" si="239"/>
        <v>1</v>
      </c>
      <c r="AL158" s="6">
        <f t="shared" si="240"/>
        <v>2</v>
      </c>
      <c r="AM158" s="6">
        <f t="shared" si="241"/>
        <v>3</v>
      </c>
      <c r="AO158" s="6">
        <f t="shared" ref="AO158:AS158" si="254">IF(AND(N158 &gt;= LARGE($N158:$R158, 2), N158&gt;=3), 1, 0)</f>
        <v>0</v>
      </c>
      <c r="AP158" s="6">
        <f t="shared" si="254"/>
        <v>0</v>
      </c>
      <c r="AQ158" s="6">
        <f t="shared" si="254"/>
        <v>0</v>
      </c>
      <c r="AR158" s="6">
        <f t="shared" si="254"/>
        <v>1</v>
      </c>
      <c r="AS158" s="6">
        <f t="shared" si="254"/>
        <v>1</v>
      </c>
      <c r="AU158" s="79">
        <f t="shared" si="243"/>
        <v>1</v>
      </c>
      <c r="AV158" s="79">
        <f t="shared" si="244"/>
        <v>1</v>
      </c>
      <c r="AW158" s="79"/>
      <c r="AX158" s="79">
        <f t="shared" si="245"/>
        <v>3</v>
      </c>
      <c r="AY158" s="79"/>
      <c r="AZ158" s="96"/>
      <c r="BA158" s="96"/>
      <c r="BB158" s="96"/>
      <c r="BC158" s="96"/>
    </row>
    <row r="159" spans="1:55" ht="15.75" customHeight="1" x14ac:dyDescent="0.2">
      <c r="A159" s="89"/>
      <c r="B159" s="105">
        <v>0</v>
      </c>
      <c r="C159" s="105">
        <v>3</v>
      </c>
      <c r="D159" s="105">
        <v>2</v>
      </c>
      <c r="E159" s="105">
        <v>2</v>
      </c>
      <c r="F159" s="105">
        <v>4</v>
      </c>
      <c r="H159" s="148">
        <v>3</v>
      </c>
      <c r="I159" s="148">
        <v>4</v>
      </c>
      <c r="J159" s="7">
        <v>2</v>
      </c>
      <c r="K159" s="148">
        <v>4</v>
      </c>
      <c r="L159" s="148">
        <v>4</v>
      </c>
      <c r="M159" s="52"/>
      <c r="N159" s="53">
        <v>3</v>
      </c>
      <c r="O159" s="53">
        <v>1</v>
      </c>
      <c r="P159" s="53">
        <v>1</v>
      </c>
      <c r="Q159" s="53">
        <v>2</v>
      </c>
      <c r="R159" s="53">
        <v>4</v>
      </c>
      <c r="T159" s="301"/>
      <c r="U159" s="18" t="s">
        <v>13</v>
      </c>
      <c r="V159" s="6">
        <f t="shared" ref="V159:Z159" si="255">IF(AND(J53 &gt;= LARGE($J53:$N53, 2), J53&gt;=3), 1, 0)</f>
        <v>0</v>
      </c>
      <c r="W159" s="6">
        <f t="shared" si="255"/>
        <v>1</v>
      </c>
      <c r="X159" s="6">
        <f t="shared" si="255"/>
        <v>0</v>
      </c>
      <c r="Y159" s="6">
        <f t="shared" si="255"/>
        <v>0</v>
      </c>
      <c r="Z159" s="6">
        <f t="shared" si="255"/>
        <v>1</v>
      </c>
      <c r="AB159" s="6">
        <f t="shared" ref="AB159:AE159" si="256">IF(AND(H8 &gt;= LARGE($H8:$L8, 2), H8&gt;=3), 1, 0)</f>
        <v>0</v>
      </c>
      <c r="AC159" s="6">
        <f t="shared" si="256"/>
        <v>1</v>
      </c>
      <c r="AD159" s="6">
        <f t="shared" si="256"/>
        <v>0</v>
      </c>
      <c r="AE159" s="6">
        <f t="shared" si="256"/>
        <v>1</v>
      </c>
      <c r="AF159" s="6">
        <v>0</v>
      </c>
      <c r="AG159" s="6">
        <f t="shared" si="236"/>
        <v>2</v>
      </c>
      <c r="AH159" s="6">
        <f t="shared" si="237"/>
        <v>0.7</v>
      </c>
      <c r="AI159" s="6">
        <f t="shared" si="238"/>
        <v>1</v>
      </c>
      <c r="AJ159" s="6">
        <f t="shared" si="239"/>
        <v>1</v>
      </c>
      <c r="AL159" s="6">
        <f t="shared" si="240"/>
        <v>2</v>
      </c>
      <c r="AM159" s="6">
        <f t="shared" si="241"/>
        <v>3</v>
      </c>
      <c r="AO159" s="6">
        <f t="shared" ref="AO159:AS159" si="257">IF(AND(N159 &gt;= LARGE($N159:$R159, 2), N159&gt;=3), 1, 0)</f>
        <v>1</v>
      </c>
      <c r="AP159" s="6">
        <f t="shared" si="257"/>
        <v>0</v>
      </c>
      <c r="AQ159" s="6">
        <f t="shared" si="257"/>
        <v>0</v>
      </c>
      <c r="AR159" s="6">
        <f t="shared" si="257"/>
        <v>0</v>
      </c>
      <c r="AS159" s="6">
        <f t="shared" si="257"/>
        <v>1</v>
      </c>
      <c r="AU159" s="79">
        <f t="shared" si="243"/>
        <v>0</v>
      </c>
      <c r="AV159" s="79">
        <f t="shared" si="244"/>
        <v>0</v>
      </c>
      <c r="AW159" s="79"/>
      <c r="AX159" s="79">
        <f t="shared" si="245"/>
        <v>2</v>
      </c>
      <c r="AY159" s="79"/>
      <c r="AZ159" s="96"/>
      <c r="BA159" s="96"/>
      <c r="BB159" s="96"/>
      <c r="BC159" s="96"/>
    </row>
    <row r="160" spans="1:55" ht="15.75" customHeight="1" x14ac:dyDescent="0.2">
      <c r="A160" s="89"/>
      <c r="B160" s="105">
        <v>1</v>
      </c>
      <c r="C160" s="105">
        <v>1</v>
      </c>
      <c r="D160" s="105">
        <v>0</v>
      </c>
      <c r="E160" s="105">
        <v>3</v>
      </c>
      <c r="F160" s="105">
        <v>4</v>
      </c>
      <c r="H160" s="148">
        <v>4</v>
      </c>
      <c r="I160" s="148">
        <v>3</v>
      </c>
      <c r="J160" s="148">
        <v>3</v>
      </c>
      <c r="K160" s="148">
        <v>4</v>
      </c>
      <c r="L160" s="148">
        <v>4</v>
      </c>
      <c r="N160" s="53">
        <v>4</v>
      </c>
      <c r="O160" s="53">
        <v>2</v>
      </c>
      <c r="P160" s="53">
        <v>1</v>
      </c>
      <c r="Q160" s="53">
        <v>4</v>
      </c>
      <c r="R160" s="53">
        <v>4</v>
      </c>
      <c r="T160" s="301"/>
      <c r="U160" s="18" t="s">
        <v>15</v>
      </c>
      <c r="V160" s="6">
        <f t="shared" ref="V160:Z160" si="258">IF(AND(J54 &gt;= LARGE($J54:$N54, 2), J54&gt;=3), 1, 0)</f>
        <v>0</v>
      </c>
      <c r="W160" s="6">
        <f t="shared" si="258"/>
        <v>0</v>
      </c>
      <c r="X160" s="6">
        <f t="shared" si="258"/>
        <v>0</v>
      </c>
      <c r="Y160" s="6">
        <f t="shared" si="258"/>
        <v>1</v>
      </c>
      <c r="Z160" s="6">
        <f t="shared" si="258"/>
        <v>1</v>
      </c>
      <c r="AB160" s="6">
        <f t="shared" ref="AB160:AE160" si="259">IF(AND(H9 &gt;= LARGE($H9:$L9, 2), H9&gt;=3), 1, 0)</f>
        <v>1</v>
      </c>
      <c r="AC160" s="6">
        <f t="shared" si="259"/>
        <v>0</v>
      </c>
      <c r="AD160" s="6">
        <f t="shared" si="259"/>
        <v>0</v>
      </c>
      <c r="AE160" s="6">
        <f t="shared" si="259"/>
        <v>1</v>
      </c>
      <c r="AF160" s="6">
        <v>0</v>
      </c>
      <c r="AG160" s="6">
        <f t="shared" si="236"/>
        <v>2</v>
      </c>
      <c r="AH160" s="6">
        <f t="shared" si="237"/>
        <v>0.7</v>
      </c>
      <c r="AI160" s="6">
        <f t="shared" si="238"/>
        <v>1</v>
      </c>
      <c r="AJ160" s="6">
        <f t="shared" si="239"/>
        <v>1</v>
      </c>
      <c r="AL160" s="6">
        <f t="shared" si="240"/>
        <v>2</v>
      </c>
      <c r="AM160" s="6">
        <f t="shared" si="241"/>
        <v>3</v>
      </c>
      <c r="AO160" s="6">
        <f t="shared" ref="AO160:AR160" si="260">IF(AND(N160 &gt;= LARGE($N160:$R160, 2), N160&gt;=3), 1, 0)</f>
        <v>1</v>
      </c>
      <c r="AP160" s="6">
        <f t="shared" si="260"/>
        <v>0</v>
      </c>
      <c r="AQ160" s="6">
        <f t="shared" si="260"/>
        <v>0</v>
      </c>
      <c r="AR160" s="6">
        <f t="shared" si="260"/>
        <v>1</v>
      </c>
      <c r="AS160" s="6">
        <v>0</v>
      </c>
      <c r="AU160" s="79">
        <f t="shared" si="243"/>
        <v>2</v>
      </c>
      <c r="AV160" s="79">
        <f t="shared" si="244"/>
        <v>1</v>
      </c>
      <c r="AW160" s="79"/>
      <c r="AX160" s="79">
        <f t="shared" si="245"/>
        <v>3</v>
      </c>
      <c r="AY160" s="79"/>
      <c r="AZ160" s="96"/>
      <c r="BA160" s="96"/>
      <c r="BB160" s="96"/>
      <c r="BC160" s="96"/>
    </row>
    <row r="161" spans="1:55" ht="15.75" customHeight="1" x14ac:dyDescent="0.2">
      <c r="A161" s="89"/>
      <c r="B161" s="105">
        <v>0</v>
      </c>
      <c r="C161" s="105">
        <v>1</v>
      </c>
      <c r="D161" s="105">
        <v>0</v>
      </c>
      <c r="E161" s="105">
        <v>3</v>
      </c>
      <c r="F161" s="105">
        <v>4</v>
      </c>
      <c r="H161" s="7">
        <v>3</v>
      </c>
      <c r="I161" s="7">
        <v>2</v>
      </c>
      <c r="J161" s="7">
        <v>2</v>
      </c>
      <c r="K161" s="7">
        <v>2</v>
      </c>
      <c r="L161" s="7">
        <v>3</v>
      </c>
      <c r="N161" s="53">
        <v>4</v>
      </c>
      <c r="O161" s="53">
        <v>1</v>
      </c>
      <c r="P161" s="53">
        <v>1</v>
      </c>
      <c r="Q161" s="53">
        <v>3</v>
      </c>
      <c r="R161" s="53">
        <v>4</v>
      </c>
      <c r="T161" s="301"/>
      <c r="U161" s="18" t="s">
        <v>17</v>
      </c>
      <c r="V161" s="6">
        <f t="shared" ref="V161:Z161" si="261">IF(AND(J55 &gt;= LARGE($J55:$N55, 2), J55&gt;=3), 1, 0)</f>
        <v>0</v>
      </c>
      <c r="W161" s="6">
        <f t="shared" si="261"/>
        <v>0</v>
      </c>
      <c r="X161" s="6">
        <f t="shared" si="261"/>
        <v>0</v>
      </c>
      <c r="Y161" s="6">
        <f t="shared" si="261"/>
        <v>1</v>
      </c>
      <c r="Z161" s="6">
        <f t="shared" si="261"/>
        <v>1</v>
      </c>
      <c r="AB161" s="6">
        <f t="shared" ref="AB161:AF161" si="262">IF(AND(H10 &gt;= LARGE($H10:$L10, 2), H10&gt;=3), 1, 0)</f>
        <v>1</v>
      </c>
      <c r="AC161" s="6">
        <f t="shared" si="262"/>
        <v>0</v>
      </c>
      <c r="AD161" s="6">
        <f t="shared" si="262"/>
        <v>0</v>
      </c>
      <c r="AE161" s="6">
        <f t="shared" si="262"/>
        <v>0</v>
      </c>
      <c r="AF161" s="6">
        <f t="shared" si="262"/>
        <v>1</v>
      </c>
      <c r="AG161" s="6">
        <f t="shared" si="236"/>
        <v>2</v>
      </c>
      <c r="AH161" s="6">
        <f t="shared" si="237"/>
        <v>0.7</v>
      </c>
      <c r="AI161" s="6">
        <f t="shared" si="238"/>
        <v>1</v>
      </c>
      <c r="AJ161" s="6">
        <f t="shared" si="239"/>
        <v>1</v>
      </c>
      <c r="AL161" s="6">
        <f t="shared" si="240"/>
        <v>2</v>
      </c>
      <c r="AM161" s="6">
        <f t="shared" si="241"/>
        <v>2</v>
      </c>
      <c r="AO161" s="6">
        <f t="shared" ref="AO161:AS161" si="263">IF(AND(N161 &gt;= LARGE($N161:$R161, 2), N161&gt;=3), 1, 0)</f>
        <v>1</v>
      </c>
      <c r="AP161" s="6">
        <f t="shared" si="263"/>
        <v>0</v>
      </c>
      <c r="AQ161" s="6">
        <f t="shared" si="263"/>
        <v>0</v>
      </c>
      <c r="AR161" s="6">
        <f t="shared" si="263"/>
        <v>0</v>
      </c>
      <c r="AS161" s="6">
        <f t="shared" si="263"/>
        <v>1</v>
      </c>
      <c r="AU161" s="79">
        <f t="shared" si="243"/>
        <v>2</v>
      </c>
      <c r="AV161" s="79">
        <f t="shared" si="244"/>
        <v>1</v>
      </c>
      <c r="AW161" s="79"/>
      <c r="AX161" s="79">
        <f t="shared" si="245"/>
        <v>3</v>
      </c>
      <c r="AY161" s="79"/>
      <c r="AZ161" s="96"/>
      <c r="BA161" s="96"/>
      <c r="BB161" s="96"/>
      <c r="BC161" s="96"/>
    </row>
    <row r="162" spans="1:55" ht="15.75" customHeight="1" x14ac:dyDescent="0.2">
      <c r="A162" s="89"/>
      <c r="B162" s="106">
        <v>0</v>
      </c>
      <c r="C162" s="106">
        <v>0</v>
      </c>
      <c r="D162" s="105">
        <v>1</v>
      </c>
      <c r="E162" s="105">
        <v>1</v>
      </c>
      <c r="F162" s="105">
        <v>2</v>
      </c>
      <c r="H162" s="148">
        <v>3</v>
      </c>
      <c r="I162" s="7">
        <v>2</v>
      </c>
      <c r="J162" s="7">
        <v>2</v>
      </c>
      <c r="K162" s="148">
        <v>4</v>
      </c>
      <c r="L162" s="148">
        <v>4</v>
      </c>
      <c r="N162" s="53">
        <v>4</v>
      </c>
      <c r="O162" s="53">
        <v>1</v>
      </c>
      <c r="P162" s="53">
        <v>2</v>
      </c>
      <c r="Q162" s="53">
        <v>4</v>
      </c>
      <c r="R162" s="53">
        <v>4</v>
      </c>
      <c r="T162" s="5"/>
      <c r="U162" s="39"/>
      <c r="V162" s="6">
        <f t="shared" ref="V162:Z162" si="264">IF(AND(J56 &gt;= LARGE($J56:$N56, 2), J56&gt;=3), 1, 0)</f>
        <v>0</v>
      </c>
      <c r="W162" s="6">
        <f t="shared" si="264"/>
        <v>0</v>
      </c>
      <c r="X162" s="6">
        <f t="shared" si="264"/>
        <v>0</v>
      </c>
      <c r="Y162" s="6">
        <f t="shared" si="264"/>
        <v>0</v>
      </c>
      <c r="Z162" s="6">
        <f t="shared" si="264"/>
        <v>0</v>
      </c>
      <c r="AB162" s="6">
        <f t="shared" ref="AB162:AF162" si="265">IF(AND(H11 &gt;= LARGE($H11:$L11, 2), H11&gt;=3), 1, 0)</f>
        <v>0</v>
      </c>
      <c r="AC162" s="6">
        <f t="shared" si="265"/>
        <v>0</v>
      </c>
      <c r="AD162" s="6">
        <f t="shared" si="265"/>
        <v>0</v>
      </c>
      <c r="AE162" s="6">
        <f t="shared" si="265"/>
        <v>1</v>
      </c>
      <c r="AF162" s="6">
        <f t="shared" si="265"/>
        <v>1</v>
      </c>
      <c r="AG162" s="6">
        <f t="shared" si="236"/>
        <v>2</v>
      </c>
      <c r="AH162" s="6">
        <f t="shared" si="237"/>
        <v>0.7</v>
      </c>
      <c r="AI162" s="6">
        <f t="shared" si="238"/>
        <v>0</v>
      </c>
      <c r="AJ162" s="6">
        <f t="shared" si="239"/>
        <v>0</v>
      </c>
      <c r="AL162" s="6">
        <f t="shared" si="240"/>
        <v>0</v>
      </c>
      <c r="AM162" s="6">
        <f t="shared" si="241"/>
        <v>2</v>
      </c>
      <c r="AO162" s="6">
        <f t="shared" ref="AO162:AR162" si="266">IF(AND(N162 &gt;= LARGE($N162:$R162, 2), N162&gt;=3), 1, 0)</f>
        <v>1</v>
      </c>
      <c r="AP162" s="6">
        <f t="shared" si="266"/>
        <v>0</v>
      </c>
      <c r="AQ162" s="6">
        <f t="shared" si="266"/>
        <v>0</v>
      </c>
      <c r="AR162" s="6">
        <f t="shared" si="266"/>
        <v>1</v>
      </c>
      <c r="AS162" s="6">
        <v>0</v>
      </c>
      <c r="AU162" s="79">
        <f t="shared" si="243"/>
        <v>1</v>
      </c>
      <c r="AV162" s="79">
        <f t="shared" si="244"/>
        <v>1</v>
      </c>
      <c r="AW162" s="79"/>
      <c r="AX162" s="79">
        <f t="shared" si="245"/>
        <v>3</v>
      </c>
      <c r="AY162" s="79"/>
      <c r="AZ162" s="96"/>
      <c r="BA162" s="96"/>
      <c r="BB162" s="96"/>
      <c r="BC162" s="96"/>
    </row>
    <row r="163" spans="1:55" ht="15.75" customHeight="1" x14ac:dyDescent="0.2">
      <c r="A163" s="89"/>
      <c r="B163" s="106">
        <v>0</v>
      </c>
      <c r="C163" s="106">
        <v>0</v>
      </c>
      <c r="D163" s="105">
        <v>2</v>
      </c>
      <c r="E163" s="105">
        <v>2</v>
      </c>
      <c r="F163" s="105">
        <v>3</v>
      </c>
      <c r="H163" s="7">
        <v>2</v>
      </c>
      <c r="I163" s="7">
        <v>2</v>
      </c>
      <c r="J163" s="7">
        <v>2</v>
      </c>
      <c r="K163" s="7">
        <v>4</v>
      </c>
      <c r="L163" s="7">
        <v>4</v>
      </c>
      <c r="N163" s="53">
        <v>4</v>
      </c>
      <c r="O163" s="53">
        <v>1</v>
      </c>
      <c r="P163" s="53">
        <v>1</v>
      </c>
      <c r="Q163" s="53">
        <v>4</v>
      </c>
      <c r="R163" s="53">
        <v>4</v>
      </c>
      <c r="T163" s="5"/>
      <c r="U163" s="39"/>
      <c r="V163" s="6">
        <f t="shared" ref="V163:Z163" si="267">IF(AND(J57 &gt;= LARGE($J57:$N57, 2), J57&gt;=3), 1, 0)</f>
        <v>0</v>
      </c>
      <c r="W163" s="6">
        <f t="shared" si="267"/>
        <v>0</v>
      </c>
      <c r="X163" s="6">
        <f t="shared" si="267"/>
        <v>0</v>
      </c>
      <c r="Y163" s="6">
        <f t="shared" si="267"/>
        <v>0</v>
      </c>
      <c r="Z163" s="6">
        <f t="shared" si="267"/>
        <v>1</v>
      </c>
      <c r="AB163" s="6">
        <f t="shared" ref="AB163:AF163" si="268">IF(AND(H12 &gt;= LARGE($H12:$L12, 2), H12&gt;=3), 1, 0)</f>
        <v>0</v>
      </c>
      <c r="AC163" s="6">
        <f t="shared" si="268"/>
        <v>0</v>
      </c>
      <c r="AD163" s="6">
        <f t="shared" si="268"/>
        <v>0</v>
      </c>
      <c r="AE163" s="6">
        <f t="shared" si="268"/>
        <v>1</v>
      </c>
      <c r="AF163" s="6">
        <f t="shared" si="268"/>
        <v>1</v>
      </c>
      <c r="AG163" s="6">
        <f t="shared" si="236"/>
        <v>2</v>
      </c>
      <c r="AH163" s="6">
        <f t="shared" si="237"/>
        <v>0.7</v>
      </c>
      <c r="AI163" s="6">
        <f t="shared" si="238"/>
        <v>1</v>
      </c>
      <c r="AJ163" s="6">
        <f t="shared" si="239"/>
        <v>1</v>
      </c>
      <c r="AL163" s="6">
        <f t="shared" si="240"/>
        <v>1</v>
      </c>
      <c r="AM163" s="6">
        <f t="shared" si="241"/>
        <v>2</v>
      </c>
      <c r="AO163" s="6">
        <f t="shared" ref="AO163:AR163" si="269">IF(AND(N163 &gt;= LARGE($N163:$R163, 2), N163&gt;=3), 1, 0)</f>
        <v>1</v>
      </c>
      <c r="AP163" s="6">
        <f t="shared" si="269"/>
        <v>0</v>
      </c>
      <c r="AQ163" s="6">
        <f t="shared" si="269"/>
        <v>0</v>
      </c>
      <c r="AR163" s="6">
        <f t="shared" si="269"/>
        <v>1</v>
      </c>
      <c r="AS163" s="6">
        <v>0</v>
      </c>
      <c r="AU163" s="79">
        <f t="shared" si="243"/>
        <v>1</v>
      </c>
      <c r="AV163" s="79">
        <f t="shared" si="244"/>
        <v>1</v>
      </c>
      <c r="AW163" s="79"/>
      <c r="AX163" s="79">
        <f t="shared" si="245"/>
        <v>3</v>
      </c>
      <c r="AY163" s="79"/>
      <c r="AZ163" s="96"/>
      <c r="BA163" s="96"/>
      <c r="BB163" s="96"/>
      <c r="BC163" s="96"/>
    </row>
    <row r="164" spans="1:55" ht="15.75" customHeight="1" x14ac:dyDescent="0.2">
      <c r="A164" s="89"/>
      <c r="B164" s="105">
        <v>2</v>
      </c>
      <c r="C164" s="105">
        <v>0</v>
      </c>
      <c r="D164" s="105">
        <v>1</v>
      </c>
      <c r="E164" s="105">
        <v>4</v>
      </c>
      <c r="F164" s="105">
        <v>0</v>
      </c>
      <c r="H164" s="148">
        <v>3</v>
      </c>
      <c r="I164" s="7">
        <v>1</v>
      </c>
      <c r="J164" s="7">
        <v>2</v>
      </c>
      <c r="K164" s="148">
        <v>3</v>
      </c>
      <c r="L164" s="148">
        <v>3</v>
      </c>
      <c r="N164" s="53">
        <v>3</v>
      </c>
      <c r="O164" s="53">
        <v>0</v>
      </c>
      <c r="P164" s="53">
        <v>1</v>
      </c>
      <c r="Q164" s="53">
        <v>2</v>
      </c>
      <c r="R164" s="53">
        <v>2</v>
      </c>
      <c r="T164" s="300" t="s">
        <v>19</v>
      </c>
      <c r="U164" s="39" t="s">
        <v>20</v>
      </c>
      <c r="V164" s="6">
        <f t="shared" ref="V164:Z164" si="270">IF(AND(J58 &gt;= LARGE($J58:$N58, 2), J58&gt;=3), 1, 0)</f>
        <v>0</v>
      </c>
      <c r="W164" s="6">
        <f t="shared" si="270"/>
        <v>0</v>
      </c>
      <c r="X164" s="6">
        <f t="shared" si="270"/>
        <v>0</v>
      </c>
      <c r="Y164" s="6">
        <f t="shared" si="270"/>
        <v>1</v>
      </c>
      <c r="Z164" s="6">
        <f t="shared" si="270"/>
        <v>0</v>
      </c>
      <c r="AB164" s="6">
        <f t="shared" ref="AB164:AE164" si="271">IF(AND(H13 &gt;= LARGE($H13:$L13, 2), H13&gt;=3), 1, 0)</f>
        <v>1</v>
      </c>
      <c r="AC164" s="6">
        <f t="shared" si="271"/>
        <v>0</v>
      </c>
      <c r="AD164" s="6">
        <f t="shared" si="271"/>
        <v>0</v>
      </c>
      <c r="AE164" s="6">
        <f t="shared" si="271"/>
        <v>1</v>
      </c>
      <c r="AF164" s="6">
        <v>0</v>
      </c>
      <c r="AG164" s="6">
        <f t="shared" si="236"/>
        <v>2</v>
      </c>
      <c r="AH164" s="6">
        <f t="shared" si="237"/>
        <v>0.7</v>
      </c>
      <c r="AI164" s="6">
        <f t="shared" si="238"/>
        <v>1</v>
      </c>
      <c r="AJ164" s="6">
        <f t="shared" si="239"/>
        <v>1</v>
      </c>
      <c r="AL164" s="6">
        <f t="shared" si="240"/>
        <v>1</v>
      </c>
      <c r="AM164" s="6">
        <f t="shared" si="241"/>
        <v>3</v>
      </c>
      <c r="AO164" s="6">
        <f t="shared" ref="AO164:AS164" si="272">IF(AND(N164 &gt;= LARGE($N164:$R164, 2), N164&gt;=3), 1, 0)</f>
        <v>1</v>
      </c>
      <c r="AP164" s="6">
        <f t="shared" si="272"/>
        <v>0</v>
      </c>
      <c r="AQ164" s="6">
        <f t="shared" si="272"/>
        <v>0</v>
      </c>
      <c r="AR164" s="6">
        <f t="shared" si="272"/>
        <v>0</v>
      </c>
      <c r="AS164" s="6">
        <f t="shared" si="272"/>
        <v>0</v>
      </c>
      <c r="AU164" s="79">
        <f t="shared" si="243"/>
        <v>1</v>
      </c>
      <c r="AV164" s="79">
        <f t="shared" si="244"/>
        <v>1</v>
      </c>
      <c r="AW164" s="79"/>
      <c r="AX164" s="79">
        <f t="shared" si="245"/>
        <v>1</v>
      </c>
      <c r="AY164" s="79"/>
      <c r="AZ164" s="96"/>
      <c r="BA164" s="96"/>
      <c r="BB164" s="96"/>
      <c r="BC164" s="96"/>
    </row>
    <row r="165" spans="1:55" ht="15.75" customHeight="1" x14ac:dyDescent="0.2">
      <c r="A165" s="89"/>
      <c r="B165" s="105">
        <v>3</v>
      </c>
      <c r="C165" s="105">
        <v>3</v>
      </c>
      <c r="D165" s="105">
        <v>2</v>
      </c>
      <c r="E165" s="105">
        <v>1</v>
      </c>
      <c r="F165" s="105">
        <v>1</v>
      </c>
      <c r="H165" s="148">
        <v>4</v>
      </c>
      <c r="I165" s="148">
        <v>4</v>
      </c>
      <c r="J165" s="148">
        <v>4</v>
      </c>
      <c r="K165" s="148">
        <v>4</v>
      </c>
      <c r="L165" s="148">
        <v>4</v>
      </c>
      <c r="N165" s="53">
        <v>2</v>
      </c>
      <c r="O165" s="53">
        <v>1</v>
      </c>
      <c r="P165" s="53">
        <v>1</v>
      </c>
      <c r="Q165" s="53">
        <v>2</v>
      </c>
      <c r="R165" s="53">
        <v>2</v>
      </c>
      <c r="T165" s="301"/>
      <c r="U165" s="39" t="s">
        <v>22</v>
      </c>
      <c r="V165" s="6">
        <f t="shared" ref="V165:Z165" si="273">IF(AND(J59 &gt;= LARGE($J59:$N59, 2), J59&gt;=3), 1, 0)</f>
        <v>1</v>
      </c>
      <c r="W165" s="6">
        <f t="shared" si="273"/>
        <v>1</v>
      </c>
      <c r="X165" s="6">
        <f t="shared" si="273"/>
        <v>0</v>
      </c>
      <c r="Y165" s="6">
        <f t="shared" si="273"/>
        <v>0</v>
      </c>
      <c r="Z165" s="6">
        <f t="shared" si="273"/>
        <v>0</v>
      </c>
      <c r="AB165" s="6">
        <f t="shared" ref="AB165:AC165" si="274">IF(AND(H14 &gt;= LARGE($H14:$L14, 2), H14&gt;=3), 1, 0)</f>
        <v>1</v>
      </c>
      <c r="AC165" s="6">
        <f t="shared" si="274"/>
        <v>1</v>
      </c>
      <c r="AD165" s="6">
        <v>0</v>
      </c>
      <c r="AE165" s="6">
        <v>0</v>
      </c>
      <c r="AF165" s="6">
        <v>0</v>
      </c>
      <c r="AG165" s="6">
        <f t="shared" si="236"/>
        <v>2</v>
      </c>
      <c r="AH165" s="6">
        <f t="shared" si="237"/>
        <v>0.7</v>
      </c>
      <c r="AI165" s="6">
        <f t="shared" si="238"/>
        <v>2</v>
      </c>
      <c r="AJ165" s="6">
        <f t="shared" si="239"/>
        <v>1</v>
      </c>
      <c r="AL165" s="6">
        <f t="shared" si="240"/>
        <v>2</v>
      </c>
      <c r="AM165" s="6">
        <f t="shared" si="241"/>
        <v>5</v>
      </c>
      <c r="AO165" s="6">
        <f t="shared" ref="AO165:AS165" si="275">IF(AND(N165 &gt;= LARGE($N165:$R165, 2), N165&gt;=3), 1, 0)</f>
        <v>0</v>
      </c>
      <c r="AP165" s="6">
        <f t="shared" si="275"/>
        <v>0</v>
      </c>
      <c r="AQ165" s="6">
        <f t="shared" si="275"/>
        <v>0</v>
      </c>
      <c r="AR165" s="6">
        <f t="shared" si="275"/>
        <v>0</v>
      </c>
      <c r="AS165" s="6">
        <f t="shared" si="275"/>
        <v>0</v>
      </c>
      <c r="AU165" s="79">
        <f t="shared" si="243"/>
        <v>0</v>
      </c>
      <c r="AV165" s="79">
        <f t="shared" si="244"/>
        <v>0</v>
      </c>
      <c r="AW165" s="79"/>
      <c r="AX165" s="79">
        <f t="shared" si="245"/>
        <v>0</v>
      </c>
      <c r="AY165" s="79"/>
      <c r="AZ165" s="96"/>
      <c r="BA165" s="96"/>
      <c r="BB165" s="96"/>
      <c r="BC165" s="96"/>
    </row>
    <row r="166" spans="1:55" ht="15.75" customHeight="1" x14ac:dyDescent="0.2">
      <c r="A166" s="89"/>
      <c r="B166" s="105">
        <v>2</v>
      </c>
      <c r="C166" s="105">
        <v>1</v>
      </c>
      <c r="D166" s="105">
        <v>0</v>
      </c>
      <c r="E166" s="105">
        <v>2</v>
      </c>
      <c r="F166" s="105">
        <v>0</v>
      </c>
      <c r="H166" s="148">
        <v>4</v>
      </c>
      <c r="I166" s="148">
        <v>3</v>
      </c>
      <c r="J166" s="148">
        <v>4</v>
      </c>
      <c r="K166" s="148">
        <v>4</v>
      </c>
      <c r="L166" s="148">
        <v>4</v>
      </c>
      <c r="N166" s="53">
        <v>2</v>
      </c>
      <c r="O166" s="53">
        <v>1</v>
      </c>
      <c r="P166" s="53">
        <v>1</v>
      </c>
      <c r="Q166" s="53">
        <v>1</v>
      </c>
      <c r="R166" s="53">
        <v>2</v>
      </c>
      <c r="T166" s="301"/>
      <c r="U166" s="39" t="s">
        <v>24</v>
      </c>
      <c r="V166" s="6">
        <f t="shared" ref="V166:Z166" si="276">IF(AND(J60 &gt;= LARGE($J60:$N60, 2), J60&gt;=3), 1, 0)</f>
        <v>0</v>
      </c>
      <c r="W166" s="6">
        <f t="shared" si="276"/>
        <v>0</v>
      </c>
      <c r="X166" s="6">
        <f t="shared" si="276"/>
        <v>0</v>
      </c>
      <c r="Y166" s="6">
        <f t="shared" si="276"/>
        <v>0</v>
      </c>
      <c r="Z166" s="6">
        <f t="shared" si="276"/>
        <v>0</v>
      </c>
      <c r="AB166" s="6">
        <f t="shared" ref="AB166:AD166" si="277">IF(AND(H15 &gt;= LARGE($H15:$L15, 2), H15&gt;=3), 1, 0)</f>
        <v>1</v>
      </c>
      <c r="AC166" s="6">
        <f t="shared" si="277"/>
        <v>0</v>
      </c>
      <c r="AD166" s="6">
        <f t="shared" si="277"/>
        <v>1</v>
      </c>
      <c r="AE166" s="6">
        <v>0</v>
      </c>
      <c r="AF166" s="6">
        <v>0</v>
      </c>
      <c r="AG166" s="6">
        <f t="shared" si="236"/>
        <v>2</v>
      </c>
      <c r="AH166" s="6">
        <f t="shared" si="237"/>
        <v>0.7</v>
      </c>
      <c r="AI166" s="6">
        <f t="shared" si="238"/>
        <v>0</v>
      </c>
      <c r="AJ166" s="6">
        <f t="shared" si="239"/>
        <v>0</v>
      </c>
      <c r="AL166" s="6">
        <f t="shared" si="240"/>
        <v>0</v>
      </c>
      <c r="AM166" s="6">
        <f t="shared" si="241"/>
        <v>4</v>
      </c>
      <c r="AO166" s="6">
        <f t="shared" ref="AO166:AS166" si="278">IF(AND(N166 &gt;= LARGE($N166:$R166, 2), N166&gt;=3), 1, 0)</f>
        <v>0</v>
      </c>
      <c r="AP166" s="6">
        <f t="shared" si="278"/>
        <v>0</v>
      </c>
      <c r="AQ166" s="6">
        <f t="shared" si="278"/>
        <v>0</v>
      </c>
      <c r="AR166" s="6">
        <f t="shared" si="278"/>
        <v>0</v>
      </c>
      <c r="AS166" s="6">
        <f t="shared" si="278"/>
        <v>0</v>
      </c>
      <c r="AU166" s="79">
        <f t="shared" si="243"/>
        <v>0</v>
      </c>
      <c r="AV166" s="79">
        <f t="shared" si="244"/>
        <v>0</v>
      </c>
      <c r="AW166" s="79"/>
      <c r="AX166" s="79">
        <f t="shared" si="245"/>
        <v>0</v>
      </c>
      <c r="AY166" s="79"/>
      <c r="AZ166" s="96"/>
      <c r="BA166" s="96"/>
      <c r="BB166" s="96"/>
      <c r="BC166" s="96"/>
    </row>
    <row r="167" spans="1:55" ht="15.75" customHeight="1" x14ac:dyDescent="0.2">
      <c r="A167" s="89"/>
      <c r="B167" s="107">
        <v>1</v>
      </c>
      <c r="C167" s="107">
        <v>0</v>
      </c>
      <c r="D167" s="107">
        <v>1</v>
      </c>
      <c r="E167" s="107">
        <v>3</v>
      </c>
      <c r="F167" s="107">
        <v>0</v>
      </c>
      <c r="H167" s="148">
        <v>4</v>
      </c>
      <c r="I167" s="148">
        <v>3</v>
      </c>
      <c r="J167" s="148">
        <v>3</v>
      </c>
      <c r="K167" s="148">
        <v>4</v>
      </c>
      <c r="L167" s="148">
        <v>3</v>
      </c>
      <c r="N167" s="53">
        <v>3</v>
      </c>
      <c r="O167" s="53">
        <v>1</v>
      </c>
      <c r="P167" s="53">
        <v>1</v>
      </c>
      <c r="Q167" s="53">
        <v>2</v>
      </c>
      <c r="R167" s="53">
        <v>2</v>
      </c>
      <c r="T167" s="301"/>
      <c r="U167" s="39" t="s">
        <v>26</v>
      </c>
      <c r="V167" s="6">
        <f t="shared" ref="V167:Z167" si="279">IF(AND(J61 &gt;= LARGE($J61:$N61, 2), J61&gt;=3), 1, 0)</f>
        <v>0</v>
      </c>
      <c r="W167" s="6">
        <f t="shared" si="279"/>
        <v>0</v>
      </c>
      <c r="X167" s="6">
        <f t="shared" si="279"/>
        <v>0</v>
      </c>
      <c r="Y167" s="6">
        <f t="shared" si="279"/>
        <v>1</v>
      </c>
      <c r="Z167" s="6">
        <f t="shared" si="279"/>
        <v>0</v>
      </c>
      <c r="AB167" s="6">
        <f t="shared" ref="AB167:AF167" si="280">IF(AND(H16 &gt;= LARGE($H16:$L16, 2), H16&gt;=3), 1, 0)</f>
        <v>1</v>
      </c>
      <c r="AC167" s="6">
        <f t="shared" si="280"/>
        <v>0</v>
      </c>
      <c r="AD167" s="6">
        <f t="shared" si="280"/>
        <v>0</v>
      </c>
      <c r="AE167" s="6">
        <f t="shared" si="280"/>
        <v>1</v>
      </c>
      <c r="AF167" s="6">
        <f t="shared" si="280"/>
        <v>0</v>
      </c>
      <c r="AG167" s="6">
        <f t="shared" si="236"/>
        <v>2</v>
      </c>
      <c r="AH167" s="6">
        <f t="shared" si="237"/>
        <v>0.7</v>
      </c>
      <c r="AI167" s="6">
        <f t="shared" si="238"/>
        <v>1</v>
      </c>
      <c r="AJ167" s="6">
        <f t="shared" si="239"/>
        <v>1</v>
      </c>
      <c r="AL167" s="6">
        <f t="shared" si="240"/>
        <v>1</v>
      </c>
      <c r="AM167" s="6">
        <f t="shared" si="241"/>
        <v>2</v>
      </c>
      <c r="AO167" s="6">
        <f t="shared" ref="AO167:AS167" si="281">IF(AND(N167 &gt;= LARGE($N167:$R167, 2), N167&gt;=3), 1, 0)</f>
        <v>1</v>
      </c>
      <c r="AP167" s="6">
        <f t="shared" si="281"/>
        <v>0</v>
      </c>
      <c r="AQ167" s="6">
        <f t="shared" si="281"/>
        <v>0</v>
      </c>
      <c r="AR167" s="6">
        <f t="shared" si="281"/>
        <v>0</v>
      </c>
      <c r="AS167" s="6">
        <f t="shared" si="281"/>
        <v>0</v>
      </c>
      <c r="AU167" s="79">
        <f t="shared" si="243"/>
        <v>1</v>
      </c>
      <c r="AV167" s="79">
        <f t="shared" si="244"/>
        <v>1</v>
      </c>
      <c r="AW167" s="79"/>
      <c r="AX167" s="79">
        <f t="shared" si="245"/>
        <v>1</v>
      </c>
      <c r="AY167" s="79"/>
      <c r="AZ167" s="96"/>
      <c r="BA167" s="96"/>
      <c r="BB167" s="96"/>
      <c r="BC167" s="96"/>
    </row>
    <row r="168" spans="1:55" ht="15.75" customHeight="1" x14ac:dyDescent="0.2">
      <c r="A168" s="89"/>
      <c r="B168" s="11">
        <v>1</v>
      </c>
      <c r="C168" s="11">
        <v>3</v>
      </c>
      <c r="D168" s="11">
        <v>0</v>
      </c>
      <c r="E168" s="11">
        <v>3</v>
      </c>
      <c r="F168" s="11">
        <v>1</v>
      </c>
      <c r="H168" s="148">
        <v>4</v>
      </c>
      <c r="I168" s="148">
        <v>3</v>
      </c>
      <c r="J168" s="148">
        <v>3</v>
      </c>
      <c r="K168" s="148">
        <v>4</v>
      </c>
      <c r="L168" s="148">
        <v>4</v>
      </c>
      <c r="N168" s="53">
        <v>2</v>
      </c>
      <c r="O168" s="53">
        <v>0</v>
      </c>
      <c r="P168" s="53">
        <v>0</v>
      </c>
      <c r="Q168" s="53">
        <v>2</v>
      </c>
      <c r="R168" s="53">
        <v>2</v>
      </c>
      <c r="T168" s="301"/>
      <c r="U168" s="39" t="s">
        <v>27</v>
      </c>
      <c r="V168" s="6">
        <f t="shared" ref="V168:Z168" si="282">IF(AND(J62 &gt;= LARGE($J62:$N62, 2), J62&gt;=3), 1, 0)</f>
        <v>0</v>
      </c>
      <c r="W168" s="6">
        <f t="shared" si="282"/>
        <v>1</v>
      </c>
      <c r="X168" s="6">
        <f t="shared" si="282"/>
        <v>0</v>
      </c>
      <c r="Y168" s="6">
        <f t="shared" si="282"/>
        <v>1</v>
      </c>
      <c r="Z168" s="6">
        <f t="shared" si="282"/>
        <v>0</v>
      </c>
      <c r="AB168" s="6">
        <f t="shared" ref="AB168:AE168" si="283">IF(AND(H17 &gt;= LARGE($H17:$L17, 2), H17&gt;=3), 1, 0)</f>
        <v>1</v>
      </c>
      <c r="AC168" s="6">
        <f t="shared" si="283"/>
        <v>0</v>
      </c>
      <c r="AD168" s="6">
        <f t="shared" si="283"/>
        <v>0</v>
      </c>
      <c r="AE168" s="6">
        <f t="shared" si="283"/>
        <v>1</v>
      </c>
      <c r="AF168" s="6">
        <v>0</v>
      </c>
      <c r="AG168" s="6">
        <f t="shared" si="236"/>
        <v>2</v>
      </c>
      <c r="AH168" s="6">
        <f t="shared" si="237"/>
        <v>0.7</v>
      </c>
      <c r="AI168" s="6">
        <f t="shared" si="238"/>
        <v>1</v>
      </c>
      <c r="AJ168" s="6">
        <f t="shared" si="239"/>
        <v>1</v>
      </c>
      <c r="AL168" s="6">
        <f t="shared" si="240"/>
        <v>2</v>
      </c>
      <c r="AM168" s="6">
        <f t="shared" si="241"/>
        <v>3</v>
      </c>
      <c r="AO168" s="6">
        <f t="shared" ref="AO168:AS168" si="284">IF(AND(N168 &gt;= LARGE($N168:$R168, 2), N168&gt;=3), 1, 0)</f>
        <v>0</v>
      </c>
      <c r="AP168" s="6">
        <f t="shared" si="284"/>
        <v>0</v>
      </c>
      <c r="AQ168" s="6">
        <f t="shared" si="284"/>
        <v>0</v>
      </c>
      <c r="AR168" s="6">
        <f t="shared" si="284"/>
        <v>0</v>
      </c>
      <c r="AS168" s="6">
        <f t="shared" si="284"/>
        <v>0</v>
      </c>
      <c r="AU168" s="79">
        <f t="shared" si="243"/>
        <v>0</v>
      </c>
      <c r="AV168" s="79">
        <f t="shared" si="244"/>
        <v>0</v>
      </c>
      <c r="AW168" s="79"/>
      <c r="AX168" s="79">
        <f t="shared" si="245"/>
        <v>0</v>
      </c>
      <c r="AY168" s="79"/>
      <c r="AZ168" s="96"/>
      <c r="BA168" s="96"/>
      <c r="BB168" s="96"/>
      <c r="BC168" s="96"/>
    </row>
    <row r="169" spans="1:55" ht="15.75" customHeight="1" x14ac:dyDescent="0.2">
      <c r="A169" s="89"/>
      <c r="B169" s="110">
        <v>0</v>
      </c>
      <c r="C169" s="110">
        <v>0</v>
      </c>
      <c r="D169" s="110">
        <v>4</v>
      </c>
      <c r="E169" s="110">
        <v>1</v>
      </c>
      <c r="F169" s="111">
        <v>4</v>
      </c>
      <c r="H169" s="148">
        <v>3</v>
      </c>
      <c r="I169" s="7">
        <v>2</v>
      </c>
      <c r="J169" s="7">
        <v>2</v>
      </c>
      <c r="K169" s="148">
        <v>4</v>
      </c>
      <c r="L169" s="148">
        <v>4</v>
      </c>
      <c r="N169" s="53">
        <v>4</v>
      </c>
      <c r="O169" s="53">
        <v>1</v>
      </c>
      <c r="P169" s="53">
        <v>1</v>
      </c>
      <c r="Q169" s="53">
        <v>4</v>
      </c>
      <c r="R169" s="53">
        <v>4</v>
      </c>
      <c r="T169" s="5"/>
      <c r="U169" s="28"/>
      <c r="V169" s="6">
        <f t="shared" ref="V169:Z169" si="285">IF(AND(J63 &gt;= LARGE($J63:$N63, 2), J63&gt;=3), 1, 0)</f>
        <v>0</v>
      </c>
      <c r="W169" s="6">
        <f t="shared" si="285"/>
        <v>0</v>
      </c>
      <c r="X169" s="6">
        <f t="shared" si="285"/>
        <v>1</v>
      </c>
      <c r="Y169" s="6">
        <f t="shared" si="285"/>
        <v>0</v>
      </c>
      <c r="Z169" s="6">
        <f t="shared" si="285"/>
        <v>1</v>
      </c>
      <c r="AB169" s="6">
        <f t="shared" ref="AB169:AF169" si="286">IF(AND(H18 &gt;= LARGE($H18:$L18, 2), H18&gt;=3), 1, 0)</f>
        <v>0</v>
      </c>
      <c r="AC169" s="6">
        <f t="shared" si="286"/>
        <v>0</v>
      </c>
      <c r="AD169" s="6">
        <f t="shared" si="286"/>
        <v>0</v>
      </c>
      <c r="AE169" s="6">
        <f t="shared" si="286"/>
        <v>1</v>
      </c>
      <c r="AF169" s="6">
        <f t="shared" si="286"/>
        <v>1</v>
      </c>
      <c r="AG169" s="6">
        <f t="shared" si="236"/>
        <v>2</v>
      </c>
      <c r="AH169" s="6">
        <f t="shared" si="237"/>
        <v>0.7</v>
      </c>
      <c r="AI169" s="6">
        <f t="shared" si="238"/>
        <v>1</v>
      </c>
      <c r="AJ169" s="6">
        <f t="shared" si="239"/>
        <v>1</v>
      </c>
      <c r="AL169" s="6">
        <f t="shared" si="240"/>
        <v>2</v>
      </c>
      <c r="AM169" s="6">
        <f t="shared" si="241"/>
        <v>2</v>
      </c>
      <c r="AO169" s="6">
        <f t="shared" ref="AO169:AR169" si="287">IF(AND(N169 &gt;= LARGE($N169:$R169, 2), N169&gt;=3), 1, 0)</f>
        <v>1</v>
      </c>
      <c r="AP169" s="6">
        <f t="shared" si="287"/>
        <v>0</v>
      </c>
      <c r="AQ169" s="6">
        <f t="shared" si="287"/>
        <v>0</v>
      </c>
      <c r="AR169" s="6">
        <f t="shared" si="287"/>
        <v>1</v>
      </c>
      <c r="AS169" s="6">
        <v>0</v>
      </c>
      <c r="AU169" s="79">
        <f t="shared" si="243"/>
        <v>1</v>
      </c>
      <c r="AV169" s="79">
        <f t="shared" si="244"/>
        <v>1</v>
      </c>
      <c r="AW169" s="79"/>
      <c r="AX169" s="79">
        <f t="shared" si="245"/>
        <v>3</v>
      </c>
      <c r="AY169" s="79"/>
      <c r="AZ169" s="96"/>
      <c r="BA169" s="96"/>
      <c r="BB169" s="96"/>
      <c r="BC169" s="96"/>
    </row>
    <row r="170" spans="1:55" ht="15.75" customHeight="1" x14ac:dyDescent="0.2">
      <c r="A170" s="89"/>
      <c r="B170" s="110">
        <v>0</v>
      </c>
      <c r="C170" s="110">
        <v>0</v>
      </c>
      <c r="D170" s="110">
        <v>4</v>
      </c>
      <c r="E170" s="110">
        <v>1</v>
      </c>
      <c r="F170" s="111">
        <v>3</v>
      </c>
      <c r="H170" s="148">
        <v>3</v>
      </c>
      <c r="I170" s="7">
        <v>2</v>
      </c>
      <c r="J170" s="7">
        <v>1</v>
      </c>
      <c r="K170" s="148">
        <v>4</v>
      </c>
      <c r="L170" s="148">
        <v>4</v>
      </c>
      <c r="N170" s="53">
        <v>4</v>
      </c>
      <c r="O170" s="53">
        <v>1</v>
      </c>
      <c r="P170" s="53">
        <v>0</v>
      </c>
      <c r="Q170" s="53">
        <v>2</v>
      </c>
      <c r="R170" s="53">
        <v>4</v>
      </c>
      <c r="T170" s="5"/>
      <c r="U170" s="28"/>
      <c r="V170" s="6">
        <f t="shared" ref="V170:Z170" si="288">IF(AND(J64 &gt;= LARGE($J64:$N64, 2), J64&gt;=3), 1, 0)</f>
        <v>0</v>
      </c>
      <c r="W170" s="6">
        <f t="shared" si="288"/>
        <v>0</v>
      </c>
      <c r="X170" s="6">
        <f t="shared" si="288"/>
        <v>1</v>
      </c>
      <c r="Y170" s="6">
        <f t="shared" si="288"/>
        <v>0</v>
      </c>
      <c r="Z170" s="6">
        <f t="shared" si="288"/>
        <v>1</v>
      </c>
      <c r="AB170" s="6">
        <f t="shared" ref="AB170:AF170" si="289">IF(AND(H19 &gt;= LARGE($H19:$L19, 2), H19&gt;=3), 1, 0)</f>
        <v>0</v>
      </c>
      <c r="AC170" s="6">
        <f t="shared" si="289"/>
        <v>0</v>
      </c>
      <c r="AD170" s="6">
        <f t="shared" si="289"/>
        <v>0</v>
      </c>
      <c r="AE170" s="6">
        <f t="shared" si="289"/>
        <v>1</v>
      </c>
      <c r="AF170" s="6">
        <f t="shared" si="289"/>
        <v>1</v>
      </c>
      <c r="AG170" s="6">
        <f t="shared" si="236"/>
        <v>2</v>
      </c>
      <c r="AH170" s="6">
        <f t="shared" si="237"/>
        <v>0.7</v>
      </c>
      <c r="AI170" s="6">
        <f t="shared" si="238"/>
        <v>1</v>
      </c>
      <c r="AJ170" s="6">
        <f t="shared" si="239"/>
        <v>1</v>
      </c>
      <c r="AL170" s="6">
        <f t="shared" si="240"/>
        <v>2</v>
      </c>
      <c r="AM170" s="6">
        <f t="shared" si="241"/>
        <v>2</v>
      </c>
      <c r="AO170" s="6">
        <f t="shared" ref="AO170:AS170" si="290">IF(AND(N170 &gt;= LARGE($N170:$R170, 2), N170&gt;=3), 1, 0)</f>
        <v>1</v>
      </c>
      <c r="AP170" s="6">
        <f t="shared" si="290"/>
        <v>0</v>
      </c>
      <c r="AQ170" s="6">
        <f t="shared" si="290"/>
        <v>0</v>
      </c>
      <c r="AR170" s="6">
        <f t="shared" si="290"/>
        <v>0</v>
      </c>
      <c r="AS170" s="6">
        <f t="shared" si="290"/>
        <v>1</v>
      </c>
      <c r="AU170" s="79">
        <f t="shared" si="243"/>
        <v>1</v>
      </c>
      <c r="AV170" s="79">
        <f t="shared" si="244"/>
        <v>1</v>
      </c>
      <c r="AW170" s="79"/>
      <c r="AX170" s="79">
        <f t="shared" si="245"/>
        <v>2</v>
      </c>
      <c r="AY170" s="79"/>
      <c r="AZ170" s="96"/>
      <c r="BA170" s="96"/>
      <c r="BB170" s="96"/>
      <c r="BC170" s="96"/>
    </row>
    <row r="171" spans="1:55" ht="15.75" customHeight="1" x14ac:dyDescent="0.2">
      <c r="A171" s="89"/>
      <c r="B171" s="11">
        <v>1</v>
      </c>
      <c r="C171" s="11">
        <v>0</v>
      </c>
      <c r="D171" s="11">
        <v>4</v>
      </c>
      <c r="E171" s="11">
        <v>3</v>
      </c>
      <c r="F171" s="11">
        <v>1</v>
      </c>
      <c r="H171" s="148">
        <v>4</v>
      </c>
      <c r="I171" s="148">
        <v>4</v>
      </c>
      <c r="J171" s="148">
        <v>4</v>
      </c>
      <c r="K171" s="148">
        <v>3</v>
      </c>
      <c r="L171" s="148">
        <v>4</v>
      </c>
      <c r="N171" s="53">
        <v>3</v>
      </c>
      <c r="O171" s="53">
        <v>1</v>
      </c>
      <c r="P171" s="53">
        <v>1</v>
      </c>
      <c r="Q171" s="53">
        <v>3</v>
      </c>
      <c r="R171" s="53">
        <v>2</v>
      </c>
      <c r="T171" s="300" t="s">
        <v>29</v>
      </c>
      <c r="U171" s="28" t="s">
        <v>30</v>
      </c>
      <c r="V171" s="6">
        <f t="shared" ref="V171:Z171" si="291">IF(AND(J65 &gt;= LARGE($J65:$N65, 2), J65&gt;=3), 1, 0)</f>
        <v>0</v>
      </c>
      <c r="W171" s="6">
        <f t="shared" si="291"/>
        <v>0</v>
      </c>
      <c r="X171" s="6">
        <f t="shared" si="291"/>
        <v>1</v>
      </c>
      <c r="Y171" s="6">
        <f t="shared" si="291"/>
        <v>1</v>
      </c>
      <c r="Z171" s="6">
        <f t="shared" si="291"/>
        <v>0</v>
      </c>
      <c r="AB171" s="6">
        <f t="shared" ref="AB171:AC171" si="292">IF(AND(H20 &gt;= LARGE($H20:$L20, 2), H20&gt;=3), 1, 0)</f>
        <v>1</v>
      </c>
      <c r="AC171" s="6">
        <f t="shared" si="292"/>
        <v>1</v>
      </c>
      <c r="AD171" s="6">
        <v>0</v>
      </c>
      <c r="AE171" s="6">
        <f>IF(AND(K20 &gt;= LARGE($H20:$L20, 2), K20&gt;=3), 1, 0)</f>
        <v>0</v>
      </c>
      <c r="AF171" s="6">
        <v>0</v>
      </c>
      <c r="AG171" s="6">
        <f t="shared" si="236"/>
        <v>2</v>
      </c>
      <c r="AH171" s="6">
        <f t="shared" si="237"/>
        <v>0.7</v>
      </c>
      <c r="AI171" s="6">
        <f t="shared" si="238"/>
        <v>0</v>
      </c>
      <c r="AJ171" s="6">
        <f t="shared" si="239"/>
        <v>0</v>
      </c>
      <c r="AL171" s="6">
        <f t="shared" si="240"/>
        <v>2</v>
      </c>
      <c r="AM171" s="6">
        <f t="shared" si="241"/>
        <v>4</v>
      </c>
      <c r="AO171" s="6">
        <f t="shared" ref="AO171:AS171" si="293">IF(AND(N171 &gt;= LARGE($N171:$R171, 2), N171&gt;=3), 1, 0)</f>
        <v>1</v>
      </c>
      <c r="AP171" s="6">
        <f t="shared" si="293"/>
        <v>0</v>
      </c>
      <c r="AQ171" s="6">
        <f t="shared" si="293"/>
        <v>0</v>
      </c>
      <c r="AR171" s="6">
        <f t="shared" si="293"/>
        <v>1</v>
      </c>
      <c r="AS171" s="6">
        <f t="shared" si="293"/>
        <v>0</v>
      </c>
      <c r="AU171" s="79">
        <f t="shared" si="243"/>
        <v>1</v>
      </c>
      <c r="AV171" s="79">
        <f t="shared" si="244"/>
        <v>1</v>
      </c>
      <c r="AW171" s="79"/>
      <c r="AX171" s="79">
        <f t="shared" si="245"/>
        <v>2</v>
      </c>
      <c r="AY171" s="79"/>
      <c r="AZ171" s="96"/>
      <c r="BA171" s="96"/>
      <c r="BB171" s="96"/>
      <c r="BC171" s="96"/>
    </row>
    <row r="172" spans="1:55" ht="15.75" customHeight="1" x14ac:dyDescent="0.2">
      <c r="A172" s="89"/>
      <c r="B172" s="11">
        <v>0</v>
      </c>
      <c r="C172" s="11">
        <v>0</v>
      </c>
      <c r="D172" s="11">
        <v>3</v>
      </c>
      <c r="E172" s="11">
        <v>0</v>
      </c>
      <c r="F172" s="11">
        <v>2</v>
      </c>
      <c r="H172" s="148">
        <v>4</v>
      </c>
      <c r="I172" s="148">
        <v>4</v>
      </c>
      <c r="J172" s="7">
        <v>2</v>
      </c>
      <c r="K172" s="7">
        <v>2</v>
      </c>
      <c r="L172" s="148">
        <v>4</v>
      </c>
      <c r="N172" s="53">
        <v>2</v>
      </c>
      <c r="O172" s="53">
        <v>0</v>
      </c>
      <c r="P172" s="53">
        <v>1</v>
      </c>
      <c r="Q172" s="53">
        <v>1</v>
      </c>
      <c r="R172" s="53">
        <v>2</v>
      </c>
      <c r="T172" s="301"/>
      <c r="U172" s="28" t="s">
        <v>32</v>
      </c>
      <c r="V172" s="6">
        <f t="shared" ref="V172:Z172" si="294">IF(AND(J66 &gt;= LARGE($J66:$N66, 2), J66&gt;=3), 1, 0)</f>
        <v>0</v>
      </c>
      <c r="W172" s="6">
        <f t="shared" si="294"/>
        <v>0</v>
      </c>
      <c r="X172" s="6">
        <f t="shared" si="294"/>
        <v>1</v>
      </c>
      <c r="Y172" s="6">
        <f t="shared" si="294"/>
        <v>0</v>
      </c>
      <c r="Z172" s="6">
        <f t="shared" si="294"/>
        <v>0</v>
      </c>
      <c r="AB172" s="6">
        <f t="shared" ref="AB172:AE172" si="295">IF(AND(H21 &gt;= LARGE($H21:$L21, 2), H21&gt;=3), 1, 0)</f>
        <v>1</v>
      </c>
      <c r="AC172" s="6">
        <f t="shared" si="295"/>
        <v>1</v>
      </c>
      <c r="AD172" s="6">
        <f t="shared" si="295"/>
        <v>0</v>
      </c>
      <c r="AE172" s="6">
        <f t="shared" si="295"/>
        <v>0</v>
      </c>
      <c r="AF172" s="6">
        <v>0</v>
      </c>
      <c r="AG172" s="6">
        <f t="shared" si="236"/>
        <v>2</v>
      </c>
      <c r="AH172" s="6">
        <f t="shared" si="237"/>
        <v>0.7</v>
      </c>
      <c r="AI172" s="6">
        <f t="shared" si="238"/>
        <v>0</v>
      </c>
      <c r="AJ172" s="6">
        <f t="shared" si="239"/>
        <v>0</v>
      </c>
      <c r="AL172" s="6">
        <f t="shared" si="240"/>
        <v>1</v>
      </c>
      <c r="AM172" s="6">
        <f t="shared" si="241"/>
        <v>3</v>
      </c>
      <c r="AO172" s="6">
        <f t="shared" ref="AO172:AS172" si="296">IF(AND(N172 &gt;= LARGE($N172:$R172, 2), N172&gt;=3), 1, 0)</f>
        <v>0</v>
      </c>
      <c r="AP172" s="6">
        <f t="shared" si="296"/>
        <v>0</v>
      </c>
      <c r="AQ172" s="6">
        <f t="shared" si="296"/>
        <v>0</v>
      </c>
      <c r="AR172" s="6">
        <f t="shared" si="296"/>
        <v>0</v>
      </c>
      <c r="AS172" s="6">
        <f t="shared" si="296"/>
        <v>0</v>
      </c>
      <c r="AU172" s="79">
        <f t="shared" si="243"/>
        <v>0</v>
      </c>
      <c r="AV172" s="79">
        <f t="shared" si="244"/>
        <v>0</v>
      </c>
      <c r="AW172" s="79"/>
      <c r="AX172" s="79">
        <f t="shared" si="245"/>
        <v>0</v>
      </c>
      <c r="AY172" s="79"/>
      <c r="AZ172" s="96"/>
      <c r="BA172" s="96"/>
      <c r="BB172" s="96"/>
      <c r="BC172" s="96"/>
    </row>
    <row r="173" spans="1:55" ht="15.75" customHeight="1" x14ac:dyDescent="0.2">
      <c r="A173" s="89"/>
      <c r="B173" s="11">
        <v>1</v>
      </c>
      <c r="C173" s="11">
        <v>3</v>
      </c>
      <c r="D173" s="11">
        <v>2</v>
      </c>
      <c r="E173" s="11">
        <v>1</v>
      </c>
      <c r="F173" s="11">
        <v>2</v>
      </c>
      <c r="H173" s="148">
        <v>3</v>
      </c>
      <c r="I173" s="7">
        <v>2</v>
      </c>
      <c r="J173" s="148">
        <v>4</v>
      </c>
      <c r="K173" s="148">
        <v>3</v>
      </c>
      <c r="L173" s="148">
        <v>4</v>
      </c>
      <c r="N173" s="53">
        <v>2</v>
      </c>
      <c r="O173" s="53">
        <v>1</v>
      </c>
      <c r="P173" s="53">
        <v>1</v>
      </c>
      <c r="Q173" s="53">
        <v>0</v>
      </c>
      <c r="R173" s="53">
        <v>2</v>
      </c>
      <c r="T173" s="301"/>
      <c r="U173" s="28" t="s">
        <v>34</v>
      </c>
      <c r="V173" s="6">
        <f t="shared" ref="V173:Z173" si="297">IF(AND(J67 &gt;= LARGE($J67:$N67, 2), J67&gt;=3), 1, 0)</f>
        <v>0</v>
      </c>
      <c r="W173" s="6">
        <f t="shared" si="297"/>
        <v>1</v>
      </c>
      <c r="X173" s="6">
        <f t="shared" si="297"/>
        <v>0</v>
      </c>
      <c r="Y173" s="6">
        <f t="shared" si="297"/>
        <v>0</v>
      </c>
      <c r="Z173" s="6">
        <f t="shared" si="297"/>
        <v>0</v>
      </c>
      <c r="AB173" s="6">
        <f t="shared" ref="AB173:AF173" si="298">IF(AND(H22 &gt;= LARGE($H22:$L22, 2), H22&gt;=3), 1, 0)</f>
        <v>0</v>
      </c>
      <c r="AC173" s="6">
        <f t="shared" si="298"/>
        <v>0</v>
      </c>
      <c r="AD173" s="6">
        <f t="shared" si="298"/>
        <v>1</v>
      </c>
      <c r="AE173" s="6">
        <f t="shared" si="298"/>
        <v>0</v>
      </c>
      <c r="AF173" s="6">
        <f t="shared" si="298"/>
        <v>1</v>
      </c>
      <c r="AG173" s="6">
        <f t="shared" si="236"/>
        <v>2</v>
      </c>
      <c r="AH173" s="6">
        <f t="shared" si="237"/>
        <v>0.7</v>
      </c>
      <c r="AI173" s="6">
        <f t="shared" si="238"/>
        <v>0</v>
      </c>
      <c r="AJ173" s="6">
        <f t="shared" si="239"/>
        <v>0</v>
      </c>
      <c r="AL173" s="6">
        <f t="shared" si="240"/>
        <v>1</v>
      </c>
      <c r="AM173" s="6">
        <f t="shared" si="241"/>
        <v>2</v>
      </c>
      <c r="AO173" s="6">
        <f t="shared" ref="AO173:AS173" si="299">IF(AND(N173 &gt;= LARGE($N173:$R173, 2), N173&gt;=3), 1, 0)</f>
        <v>0</v>
      </c>
      <c r="AP173" s="6">
        <f t="shared" si="299"/>
        <v>0</v>
      </c>
      <c r="AQ173" s="6">
        <f t="shared" si="299"/>
        <v>0</v>
      </c>
      <c r="AR173" s="6">
        <f t="shared" si="299"/>
        <v>0</v>
      </c>
      <c r="AS173" s="6">
        <f t="shared" si="299"/>
        <v>0</v>
      </c>
      <c r="AU173" s="79">
        <f t="shared" si="243"/>
        <v>0</v>
      </c>
      <c r="AV173" s="79">
        <f t="shared" si="244"/>
        <v>0</v>
      </c>
      <c r="AW173" s="79"/>
      <c r="AX173" s="79">
        <f t="shared" si="245"/>
        <v>0</v>
      </c>
      <c r="AY173" s="79"/>
      <c r="AZ173" s="96"/>
      <c r="BA173" s="96"/>
      <c r="BB173" s="96"/>
      <c r="BC173" s="96"/>
    </row>
    <row r="174" spans="1:55" ht="15.75" customHeight="1" x14ac:dyDescent="0.2">
      <c r="A174" s="89"/>
      <c r="B174" s="11">
        <v>1</v>
      </c>
      <c r="C174" s="11">
        <v>0</v>
      </c>
      <c r="D174" s="11">
        <v>3</v>
      </c>
      <c r="E174" s="11">
        <v>1</v>
      </c>
      <c r="F174" s="11">
        <v>1</v>
      </c>
      <c r="H174" s="148">
        <v>4</v>
      </c>
      <c r="I174" s="148">
        <v>4</v>
      </c>
      <c r="J174" s="148">
        <v>4</v>
      </c>
      <c r="K174" s="148">
        <v>3</v>
      </c>
      <c r="L174" s="148">
        <v>4</v>
      </c>
      <c r="N174" s="53">
        <v>2</v>
      </c>
      <c r="O174" s="53">
        <v>0</v>
      </c>
      <c r="P174" s="53">
        <v>1</v>
      </c>
      <c r="Q174" s="53">
        <v>1</v>
      </c>
      <c r="R174" s="53">
        <v>2</v>
      </c>
      <c r="T174" s="301"/>
      <c r="U174" s="28" t="s">
        <v>36</v>
      </c>
      <c r="V174" s="6">
        <f t="shared" ref="V174:Z174" si="300">IF(AND(J68 &gt;= LARGE($J68:$N68, 2), J68&gt;=3), 1, 0)</f>
        <v>0</v>
      </c>
      <c r="W174" s="6">
        <f t="shared" si="300"/>
        <v>0</v>
      </c>
      <c r="X174" s="6">
        <f t="shared" si="300"/>
        <v>1</v>
      </c>
      <c r="Y174" s="6">
        <f t="shared" si="300"/>
        <v>0</v>
      </c>
      <c r="Z174" s="6">
        <f t="shared" si="300"/>
        <v>0</v>
      </c>
      <c r="AB174" s="6">
        <f t="shared" ref="AB174:AC174" si="301">IF(AND(H23 &gt;= LARGE($H23:$L23, 2), H23&gt;=3), 1, 0)</f>
        <v>1</v>
      </c>
      <c r="AC174" s="6">
        <f t="shared" si="301"/>
        <v>1</v>
      </c>
      <c r="AD174" s="6">
        <v>0</v>
      </c>
      <c r="AE174" s="6">
        <f>IF(AND(K23 &gt;= LARGE($H23:$L23, 2), K23&gt;=3), 1, 0)</f>
        <v>0</v>
      </c>
      <c r="AF174" s="6">
        <v>0</v>
      </c>
      <c r="AG174" s="6">
        <f t="shared" si="236"/>
        <v>2</v>
      </c>
      <c r="AH174" s="6">
        <f t="shared" si="237"/>
        <v>0.7</v>
      </c>
      <c r="AI174" s="6">
        <f t="shared" si="238"/>
        <v>0</v>
      </c>
      <c r="AJ174" s="6">
        <f t="shared" si="239"/>
        <v>0</v>
      </c>
      <c r="AL174" s="6">
        <f t="shared" si="240"/>
        <v>1</v>
      </c>
      <c r="AM174" s="6">
        <f t="shared" si="241"/>
        <v>4</v>
      </c>
      <c r="AO174" s="6">
        <f t="shared" ref="AO174:AS174" si="302">IF(AND(N174 &gt;= LARGE($N174:$R174, 2), N174&gt;=3), 1, 0)</f>
        <v>0</v>
      </c>
      <c r="AP174" s="6">
        <f t="shared" si="302"/>
        <v>0</v>
      </c>
      <c r="AQ174" s="6">
        <f t="shared" si="302"/>
        <v>0</v>
      </c>
      <c r="AR174" s="6">
        <f t="shared" si="302"/>
        <v>0</v>
      </c>
      <c r="AS174" s="6">
        <f t="shared" si="302"/>
        <v>0</v>
      </c>
      <c r="AU174" s="79">
        <f t="shared" si="243"/>
        <v>0</v>
      </c>
      <c r="AV174" s="79">
        <f t="shared" si="244"/>
        <v>0</v>
      </c>
      <c r="AW174" s="79"/>
      <c r="AX174" s="79">
        <f t="shared" si="245"/>
        <v>0</v>
      </c>
      <c r="AY174" s="79"/>
      <c r="AZ174" s="96"/>
      <c r="BA174" s="96"/>
      <c r="BB174" s="96"/>
      <c r="BC174" s="96"/>
    </row>
    <row r="175" spans="1:55" ht="15.75" customHeight="1" x14ac:dyDescent="0.2">
      <c r="A175" s="89"/>
      <c r="B175" s="11">
        <v>1</v>
      </c>
      <c r="C175" s="11">
        <v>2</v>
      </c>
      <c r="D175" s="11">
        <v>4</v>
      </c>
      <c r="E175" s="11">
        <v>1</v>
      </c>
      <c r="F175" s="11">
        <v>1</v>
      </c>
      <c r="H175" s="148">
        <v>4</v>
      </c>
      <c r="I175" s="148">
        <v>3</v>
      </c>
      <c r="J175" s="148">
        <v>3</v>
      </c>
      <c r="K175" s="148">
        <v>4</v>
      </c>
      <c r="L175" s="148">
        <v>4</v>
      </c>
      <c r="N175" s="53">
        <v>2</v>
      </c>
      <c r="O175" s="53">
        <v>1</v>
      </c>
      <c r="P175" s="53">
        <v>1</v>
      </c>
      <c r="Q175" s="53">
        <v>2</v>
      </c>
      <c r="R175" s="53">
        <v>2</v>
      </c>
      <c r="T175" s="301"/>
      <c r="U175" s="28" t="s">
        <v>38</v>
      </c>
      <c r="V175" s="6">
        <f t="shared" ref="V175:Z175" si="303">IF(AND(J69 &gt;= LARGE($J69:$N69, 2), J69&gt;=3), 1, 0)</f>
        <v>0</v>
      </c>
      <c r="W175" s="6">
        <f t="shared" si="303"/>
        <v>0</v>
      </c>
      <c r="X175" s="6">
        <f t="shared" si="303"/>
        <v>1</v>
      </c>
      <c r="Y175" s="6">
        <f t="shared" si="303"/>
        <v>0</v>
      </c>
      <c r="Z175" s="6">
        <f t="shared" si="303"/>
        <v>0</v>
      </c>
      <c r="AB175" s="6">
        <f t="shared" ref="AB175:AE175" si="304">IF(AND(H24 &gt;= LARGE($H24:$L24, 2), H24&gt;=3), 1, 0)</f>
        <v>1</v>
      </c>
      <c r="AC175" s="6">
        <f t="shared" si="304"/>
        <v>0</v>
      </c>
      <c r="AD175" s="6">
        <f t="shared" si="304"/>
        <v>0</v>
      </c>
      <c r="AE175" s="6">
        <f t="shared" si="304"/>
        <v>1</v>
      </c>
      <c r="AF175" s="6">
        <v>0</v>
      </c>
      <c r="AG175" s="6">
        <f t="shared" si="236"/>
        <v>2</v>
      </c>
      <c r="AH175" s="6">
        <f t="shared" si="237"/>
        <v>0.7</v>
      </c>
      <c r="AI175" s="6">
        <f t="shared" si="238"/>
        <v>0</v>
      </c>
      <c r="AJ175" s="6">
        <f t="shared" si="239"/>
        <v>0</v>
      </c>
      <c r="AL175" s="6">
        <f t="shared" si="240"/>
        <v>1</v>
      </c>
      <c r="AM175" s="6">
        <f t="shared" si="241"/>
        <v>3</v>
      </c>
      <c r="AO175" s="6">
        <f t="shared" ref="AO175:AS175" si="305">IF(AND(N175 &gt;= LARGE($N175:$R175, 2), N175&gt;=3), 1, 0)</f>
        <v>0</v>
      </c>
      <c r="AP175" s="6">
        <f t="shared" si="305"/>
        <v>0</v>
      </c>
      <c r="AQ175" s="6">
        <f t="shared" si="305"/>
        <v>0</v>
      </c>
      <c r="AR175" s="6">
        <f t="shared" si="305"/>
        <v>0</v>
      </c>
      <c r="AS175" s="6">
        <f t="shared" si="305"/>
        <v>0</v>
      </c>
      <c r="AU175" s="79">
        <f t="shared" si="243"/>
        <v>0</v>
      </c>
      <c r="AV175" s="79">
        <f t="shared" si="244"/>
        <v>0</v>
      </c>
      <c r="AW175" s="79"/>
      <c r="AX175" s="79">
        <f t="shared" si="245"/>
        <v>0</v>
      </c>
      <c r="AY175" s="79"/>
      <c r="AZ175" s="96"/>
      <c r="BA175" s="96"/>
      <c r="BB175" s="96"/>
      <c r="BC175" s="96"/>
    </row>
    <row r="176" spans="1:55" ht="15.75" customHeight="1" x14ac:dyDescent="0.2">
      <c r="A176" s="89"/>
      <c r="B176" s="110">
        <v>1</v>
      </c>
      <c r="C176" s="110">
        <v>4</v>
      </c>
      <c r="D176" s="111">
        <v>1</v>
      </c>
      <c r="E176" s="111">
        <v>1</v>
      </c>
      <c r="F176" s="111">
        <v>1</v>
      </c>
      <c r="H176" s="148">
        <v>3</v>
      </c>
      <c r="I176" s="148">
        <v>4</v>
      </c>
      <c r="J176" s="148">
        <v>3</v>
      </c>
      <c r="K176" s="148">
        <v>4</v>
      </c>
      <c r="L176" s="148">
        <v>4</v>
      </c>
      <c r="N176" s="53">
        <v>4</v>
      </c>
      <c r="O176" s="53">
        <v>4</v>
      </c>
      <c r="P176" s="53">
        <v>1</v>
      </c>
      <c r="Q176" s="53">
        <v>2</v>
      </c>
      <c r="R176" s="53">
        <v>4</v>
      </c>
      <c r="T176" s="5"/>
      <c r="U176" s="31"/>
      <c r="V176" s="6">
        <f t="shared" ref="V176:Z176" si="306">IF(AND(J70 &gt;= LARGE($J70:$N70, 2), J70&gt;=3), 1, 0)</f>
        <v>0</v>
      </c>
      <c r="W176" s="6">
        <f t="shared" si="306"/>
        <v>1</v>
      </c>
      <c r="X176" s="6">
        <f t="shared" si="306"/>
        <v>0</v>
      </c>
      <c r="Y176" s="6">
        <f t="shared" si="306"/>
        <v>0</v>
      </c>
      <c r="Z176" s="6">
        <f t="shared" si="306"/>
        <v>0</v>
      </c>
      <c r="AB176" s="6">
        <f t="shared" ref="AB176:AE176" si="307">IF(AND(H25 &gt;= LARGE($H25:$L25, 2), H25&gt;=3), 1, 0)</f>
        <v>0</v>
      </c>
      <c r="AC176" s="6">
        <f t="shared" si="307"/>
        <v>1</v>
      </c>
      <c r="AD176" s="6">
        <f t="shared" si="307"/>
        <v>0</v>
      </c>
      <c r="AE176" s="6">
        <f t="shared" si="307"/>
        <v>1</v>
      </c>
      <c r="AF176" s="6">
        <v>0</v>
      </c>
      <c r="AG176" s="6">
        <f t="shared" si="236"/>
        <v>2</v>
      </c>
      <c r="AH176" s="6">
        <f t="shared" si="237"/>
        <v>0.7</v>
      </c>
      <c r="AI176" s="6">
        <f t="shared" si="238"/>
        <v>1</v>
      </c>
      <c r="AJ176" s="6">
        <f t="shared" si="239"/>
        <v>1</v>
      </c>
      <c r="AL176" s="6">
        <f t="shared" si="240"/>
        <v>1</v>
      </c>
      <c r="AM176" s="6">
        <f t="shared" si="241"/>
        <v>3</v>
      </c>
      <c r="AO176" s="6">
        <f t="shared" ref="AO176:AR176" si="308">IF(AND(N176 &gt;= LARGE($N176:$R176, 2), N176&gt;=3), 1, 0)</f>
        <v>1</v>
      </c>
      <c r="AP176" s="6">
        <f t="shared" si="308"/>
        <v>1</v>
      </c>
      <c r="AQ176" s="6">
        <f t="shared" si="308"/>
        <v>0</v>
      </c>
      <c r="AR176" s="6">
        <f t="shared" si="308"/>
        <v>0</v>
      </c>
      <c r="AS176" s="6">
        <v>0</v>
      </c>
      <c r="AU176" s="79">
        <f t="shared" si="243"/>
        <v>1</v>
      </c>
      <c r="AV176" s="79">
        <f t="shared" si="244"/>
        <v>1</v>
      </c>
      <c r="AW176" s="79"/>
      <c r="AX176" s="79">
        <f t="shared" si="245"/>
        <v>3</v>
      </c>
      <c r="AY176" s="79"/>
      <c r="AZ176" s="96"/>
      <c r="BA176" s="96"/>
      <c r="BB176" s="96"/>
      <c r="BC176" s="96"/>
    </row>
    <row r="177" spans="1:55" ht="15.75" customHeight="1" x14ac:dyDescent="0.2">
      <c r="A177" s="89"/>
      <c r="B177" s="110">
        <v>0</v>
      </c>
      <c r="C177" s="110">
        <v>4</v>
      </c>
      <c r="D177" s="111">
        <v>1</v>
      </c>
      <c r="E177" s="111">
        <v>0</v>
      </c>
      <c r="F177" s="111">
        <v>1</v>
      </c>
      <c r="H177" s="148">
        <v>3</v>
      </c>
      <c r="I177" s="148">
        <v>3</v>
      </c>
      <c r="J177" s="7">
        <v>2</v>
      </c>
      <c r="K177" s="148">
        <v>4</v>
      </c>
      <c r="L177" s="148">
        <v>4</v>
      </c>
      <c r="N177" s="53">
        <v>4</v>
      </c>
      <c r="O177" s="53">
        <v>4</v>
      </c>
      <c r="P177" s="53">
        <v>1</v>
      </c>
      <c r="Q177" s="53">
        <v>3</v>
      </c>
      <c r="R177" s="53">
        <v>4</v>
      </c>
      <c r="T177" s="5"/>
      <c r="U177" s="31"/>
      <c r="V177" s="6">
        <f t="shared" ref="V177:Z177" si="309">IF(AND(J71 &gt;= LARGE($J71:$N71, 2), J71&gt;=3), 1, 0)</f>
        <v>0</v>
      </c>
      <c r="W177" s="6">
        <f t="shared" si="309"/>
        <v>1</v>
      </c>
      <c r="X177" s="6">
        <f t="shared" si="309"/>
        <v>0</v>
      </c>
      <c r="Y177" s="6">
        <f t="shared" si="309"/>
        <v>0</v>
      </c>
      <c r="Z177" s="6">
        <f t="shared" si="309"/>
        <v>0</v>
      </c>
      <c r="AB177" s="6">
        <f t="shared" ref="AB177:AF177" si="310">IF(AND(H26 &gt;= LARGE($H26:$L26, 2), H26&gt;=3), 1, 0)</f>
        <v>0</v>
      </c>
      <c r="AC177" s="6">
        <f t="shared" si="310"/>
        <v>0</v>
      </c>
      <c r="AD177" s="6">
        <f t="shared" si="310"/>
        <v>0</v>
      </c>
      <c r="AE177" s="6">
        <f t="shared" si="310"/>
        <v>1</v>
      </c>
      <c r="AF177" s="6">
        <f t="shared" si="310"/>
        <v>1</v>
      </c>
      <c r="AG177" s="6">
        <f t="shared" si="236"/>
        <v>2</v>
      </c>
      <c r="AH177" s="6">
        <f t="shared" si="237"/>
        <v>0.7</v>
      </c>
      <c r="AI177" s="6">
        <f t="shared" si="238"/>
        <v>0</v>
      </c>
      <c r="AJ177" s="6">
        <f t="shared" si="239"/>
        <v>0</v>
      </c>
      <c r="AL177" s="6">
        <f t="shared" si="240"/>
        <v>1</v>
      </c>
      <c r="AM177" s="6">
        <f t="shared" si="241"/>
        <v>2</v>
      </c>
      <c r="AO177" s="6">
        <f t="shared" ref="AO177:AR177" si="311">IF(AND(N177 &gt;= LARGE($N177:$R177, 2), N177&gt;=3), 1, 0)</f>
        <v>1</v>
      </c>
      <c r="AP177" s="6">
        <f t="shared" si="311"/>
        <v>1</v>
      </c>
      <c r="AQ177" s="6">
        <f t="shared" si="311"/>
        <v>0</v>
      </c>
      <c r="AR177" s="6">
        <f t="shared" si="311"/>
        <v>0</v>
      </c>
      <c r="AS177" s="6">
        <v>0</v>
      </c>
      <c r="AU177" s="79">
        <f t="shared" si="243"/>
        <v>0</v>
      </c>
      <c r="AV177" s="79">
        <f t="shared" si="244"/>
        <v>0</v>
      </c>
      <c r="AW177" s="79"/>
      <c r="AX177" s="79">
        <f t="shared" si="245"/>
        <v>3</v>
      </c>
      <c r="AY177" s="79"/>
      <c r="AZ177" s="96"/>
      <c r="BA177" s="96"/>
      <c r="BB177" s="96"/>
      <c r="BC177" s="96"/>
    </row>
    <row r="178" spans="1:55" ht="15.75" customHeight="1" x14ac:dyDescent="0.2">
      <c r="A178" s="89"/>
      <c r="B178" s="11">
        <v>0</v>
      </c>
      <c r="C178" s="11">
        <v>4</v>
      </c>
      <c r="D178" s="11">
        <v>0</v>
      </c>
      <c r="E178" s="11">
        <v>0</v>
      </c>
      <c r="F178" s="11">
        <v>4</v>
      </c>
      <c r="H178" s="148">
        <v>3</v>
      </c>
      <c r="I178" s="148">
        <v>3</v>
      </c>
      <c r="J178" s="7">
        <v>2</v>
      </c>
      <c r="K178" s="148">
        <v>3</v>
      </c>
      <c r="L178" s="148">
        <v>4</v>
      </c>
      <c r="N178" s="53">
        <v>4</v>
      </c>
      <c r="O178" s="53">
        <v>4</v>
      </c>
      <c r="P178" s="53">
        <v>1</v>
      </c>
      <c r="Q178" s="53">
        <v>3</v>
      </c>
      <c r="R178" s="53">
        <v>4</v>
      </c>
      <c r="T178" s="300" t="s">
        <v>40</v>
      </c>
      <c r="U178" s="31" t="s">
        <v>41</v>
      </c>
      <c r="V178" s="6">
        <f t="shared" ref="V178:Z178" si="312">IF(AND(J72 &gt;= LARGE($J72:$N72, 2), J72&gt;=3), 1, 0)</f>
        <v>0</v>
      </c>
      <c r="W178" s="6">
        <f t="shared" si="312"/>
        <v>1</v>
      </c>
      <c r="X178" s="6">
        <f t="shared" si="312"/>
        <v>0</v>
      </c>
      <c r="Y178" s="6">
        <f t="shared" si="312"/>
        <v>0</v>
      </c>
      <c r="Z178" s="6">
        <f t="shared" si="312"/>
        <v>1</v>
      </c>
      <c r="AB178" s="6">
        <f t="shared" ref="AB178:AD178" si="313">IF(AND(H27 &gt;= LARGE($H27:$L27, 2), H27&gt;=3), 1, 0)</f>
        <v>1</v>
      </c>
      <c r="AC178" s="6">
        <f t="shared" si="313"/>
        <v>1</v>
      </c>
      <c r="AD178" s="6">
        <f t="shared" si="313"/>
        <v>0</v>
      </c>
      <c r="AE178" s="6">
        <v>0</v>
      </c>
      <c r="AF178" s="6">
        <v>0</v>
      </c>
      <c r="AG178" s="6">
        <f t="shared" si="236"/>
        <v>2</v>
      </c>
      <c r="AH178" s="6">
        <f t="shared" si="237"/>
        <v>0.7</v>
      </c>
      <c r="AI178" s="6">
        <f t="shared" si="238"/>
        <v>1</v>
      </c>
      <c r="AJ178" s="6">
        <f t="shared" si="239"/>
        <v>1</v>
      </c>
      <c r="AL178" s="6">
        <f t="shared" si="240"/>
        <v>2</v>
      </c>
      <c r="AM178" s="6">
        <f t="shared" si="241"/>
        <v>4</v>
      </c>
      <c r="AO178" s="6">
        <f t="shared" ref="AO178:AR178" si="314">IF(AND(N178 &gt;= LARGE($N178:$R178, 2), N178&gt;=3), 1, 0)</f>
        <v>1</v>
      </c>
      <c r="AP178" s="6">
        <f t="shared" si="314"/>
        <v>1</v>
      </c>
      <c r="AQ178" s="6">
        <f t="shared" si="314"/>
        <v>0</v>
      </c>
      <c r="AR178" s="6">
        <f t="shared" si="314"/>
        <v>0</v>
      </c>
      <c r="AS178" s="6">
        <v>0</v>
      </c>
      <c r="AU178" s="79">
        <f t="shared" si="243"/>
        <v>2</v>
      </c>
      <c r="AV178" s="79">
        <f t="shared" si="244"/>
        <v>1</v>
      </c>
      <c r="AW178" s="79"/>
      <c r="AX178" s="79">
        <f t="shared" si="245"/>
        <v>3</v>
      </c>
      <c r="AY178" s="79"/>
      <c r="AZ178" s="96"/>
      <c r="BA178" s="96"/>
      <c r="BB178" s="96"/>
      <c r="BC178" s="96"/>
    </row>
    <row r="179" spans="1:55" ht="15.75" customHeight="1" x14ac:dyDescent="0.2">
      <c r="A179" s="89"/>
      <c r="B179" s="11">
        <v>1</v>
      </c>
      <c r="C179" s="11">
        <v>4</v>
      </c>
      <c r="D179" s="11">
        <v>1</v>
      </c>
      <c r="E179" s="11">
        <v>1</v>
      </c>
      <c r="F179" s="11">
        <v>3</v>
      </c>
      <c r="H179" s="148">
        <v>3</v>
      </c>
      <c r="I179" s="148">
        <v>4</v>
      </c>
      <c r="J179" s="148">
        <v>4</v>
      </c>
      <c r="K179" s="148">
        <v>3</v>
      </c>
      <c r="L179" s="148">
        <v>4</v>
      </c>
      <c r="N179" s="53">
        <v>3</v>
      </c>
      <c r="O179" s="53">
        <v>4</v>
      </c>
      <c r="P179" s="53">
        <v>1</v>
      </c>
      <c r="Q179" s="53">
        <v>3</v>
      </c>
      <c r="R179" s="53">
        <v>3</v>
      </c>
      <c r="T179" s="301"/>
      <c r="U179" s="31" t="s">
        <v>43</v>
      </c>
      <c r="V179" s="6">
        <f t="shared" ref="V179:Z179" si="315">IF(AND(J73 &gt;= LARGE($J73:$N73, 2), J73&gt;=3), 1, 0)</f>
        <v>0</v>
      </c>
      <c r="W179" s="6">
        <f t="shared" si="315"/>
        <v>1</v>
      </c>
      <c r="X179" s="6">
        <f t="shared" si="315"/>
        <v>0</v>
      </c>
      <c r="Y179" s="6">
        <f t="shared" si="315"/>
        <v>0</v>
      </c>
      <c r="Z179" s="6">
        <f t="shared" si="315"/>
        <v>1</v>
      </c>
      <c r="AB179" s="6">
        <f t="shared" ref="AB179:AE179" si="316">IF(AND(H28 &gt;= LARGE($H28:$L28, 2), H28&gt;=3), 1, 0)</f>
        <v>0</v>
      </c>
      <c r="AC179" s="6">
        <f t="shared" si="316"/>
        <v>1</v>
      </c>
      <c r="AD179" s="6">
        <f t="shared" si="316"/>
        <v>1</v>
      </c>
      <c r="AE179" s="6">
        <f t="shared" si="316"/>
        <v>0</v>
      </c>
      <c r="AF179" s="6">
        <v>0</v>
      </c>
      <c r="AG179" s="6">
        <f t="shared" si="236"/>
        <v>2</v>
      </c>
      <c r="AH179" s="6">
        <f t="shared" si="237"/>
        <v>0.7</v>
      </c>
      <c r="AI179" s="6">
        <f t="shared" si="238"/>
        <v>1</v>
      </c>
      <c r="AJ179" s="6">
        <f t="shared" si="239"/>
        <v>1</v>
      </c>
      <c r="AL179" s="6">
        <f t="shared" si="240"/>
        <v>2</v>
      </c>
      <c r="AM179" s="6">
        <f t="shared" si="241"/>
        <v>3</v>
      </c>
      <c r="AO179" s="6">
        <f t="shared" ref="AO179:AR179" si="317">IF(AND(N179 &gt;= LARGE($N179:$R179, 2), N179&gt;=3), 1, 0)</f>
        <v>1</v>
      </c>
      <c r="AP179" s="6">
        <f t="shared" si="317"/>
        <v>1</v>
      </c>
      <c r="AQ179" s="6">
        <f t="shared" si="317"/>
        <v>0</v>
      </c>
      <c r="AR179" s="6">
        <f t="shared" si="317"/>
        <v>1</v>
      </c>
      <c r="AS179" s="6">
        <v>0</v>
      </c>
      <c r="AU179" s="79">
        <f t="shared" si="243"/>
        <v>1</v>
      </c>
      <c r="AV179" s="79">
        <f t="shared" si="244"/>
        <v>1</v>
      </c>
      <c r="AW179" s="79"/>
      <c r="AX179" s="79">
        <f t="shared" si="245"/>
        <v>4</v>
      </c>
      <c r="AY179" s="79"/>
      <c r="AZ179" s="96"/>
      <c r="BA179" s="96"/>
      <c r="BB179" s="96"/>
      <c r="BC179" s="96"/>
    </row>
    <row r="180" spans="1:55" ht="15.75" customHeight="1" x14ac:dyDescent="0.2">
      <c r="A180" s="89"/>
      <c r="B180" s="11">
        <v>1</v>
      </c>
      <c r="C180" s="11">
        <v>3</v>
      </c>
      <c r="D180" s="11">
        <v>1</v>
      </c>
      <c r="E180" s="11">
        <v>0</v>
      </c>
      <c r="F180" s="11">
        <v>1</v>
      </c>
      <c r="H180" s="148">
        <v>3</v>
      </c>
      <c r="I180" s="148">
        <v>3</v>
      </c>
      <c r="J180" s="7">
        <v>2</v>
      </c>
      <c r="K180" s="148">
        <v>3</v>
      </c>
      <c r="L180" s="148">
        <v>4</v>
      </c>
      <c r="N180" s="53">
        <v>3</v>
      </c>
      <c r="O180" s="53">
        <v>3</v>
      </c>
      <c r="P180" s="53">
        <v>1</v>
      </c>
      <c r="Q180" s="53">
        <v>1</v>
      </c>
      <c r="R180" s="53">
        <v>4</v>
      </c>
      <c r="T180" s="301"/>
      <c r="U180" s="31" t="s">
        <v>45</v>
      </c>
      <c r="V180" s="6">
        <f t="shared" ref="V180:Z180" si="318">IF(AND(J74 &gt;= LARGE($J74:$N74, 2), J74&gt;=3), 1, 0)</f>
        <v>0</v>
      </c>
      <c r="W180" s="6">
        <f t="shared" si="318"/>
        <v>1</v>
      </c>
      <c r="X180" s="6">
        <f t="shared" si="318"/>
        <v>0</v>
      </c>
      <c r="Y180" s="6">
        <f t="shared" si="318"/>
        <v>0</v>
      </c>
      <c r="Z180" s="6">
        <f t="shared" si="318"/>
        <v>0</v>
      </c>
      <c r="AB180" s="6">
        <f t="shared" ref="AB180:AB189" si="319">IF(AND(H29 &gt;= LARGE($H29:$L29, 2), H29&gt;=3), 1, 0)</f>
        <v>1</v>
      </c>
      <c r="AC180" s="6">
        <v>0</v>
      </c>
      <c r="AD180" s="6">
        <f>IF(AND(J29 &gt;= LARGE($H29:$L29, 2), J29&gt;=3), 1, 0)</f>
        <v>0</v>
      </c>
      <c r="AE180" s="6">
        <v>0</v>
      </c>
      <c r="AF180" s="6">
        <f>IF(AND(L29 &gt;= LARGE($H29:$L29, 2), L29&gt;=3), 1, 0)</f>
        <v>1</v>
      </c>
      <c r="AG180" s="6">
        <f t="shared" si="236"/>
        <v>2</v>
      </c>
      <c r="AH180" s="6">
        <f t="shared" si="237"/>
        <v>0.7</v>
      </c>
      <c r="AI180" s="6">
        <f t="shared" si="238"/>
        <v>0</v>
      </c>
      <c r="AJ180" s="6">
        <f t="shared" si="239"/>
        <v>0</v>
      </c>
      <c r="AL180" s="6">
        <f t="shared" si="240"/>
        <v>1</v>
      </c>
      <c r="AM180" s="6">
        <f t="shared" si="241"/>
        <v>4</v>
      </c>
      <c r="AO180" s="6">
        <f t="shared" ref="AO180:AO181" si="320">IF(AND(N180 &gt;= LARGE($N180:$R180, 2), N180&gt;=3), 1, 0)</f>
        <v>1</v>
      </c>
      <c r="AP180" s="6">
        <v>0</v>
      </c>
      <c r="AQ180" s="6">
        <f t="shared" ref="AQ180:AS180" si="321">IF(AND(P180 &gt;= LARGE($N180:$R180, 2), P180&gt;=3), 1, 0)</f>
        <v>0</v>
      </c>
      <c r="AR180" s="6">
        <f t="shared" si="321"/>
        <v>0</v>
      </c>
      <c r="AS180" s="6">
        <f t="shared" si="321"/>
        <v>1</v>
      </c>
      <c r="AU180" s="79">
        <f t="shared" si="243"/>
        <v>2</v>
      </c>
      <c r="AV180" s="79">
        <f t="shared" si="244"/>
        <v>1</v>
      </c>
      <c r="AW180" s="79"/>
      <c r="AX180" s="79">
        <f t="shared" si="245"/>
        <v>3</v>
      </c>
      <c r="AY180" s="79"/>
      <c r="AZ180" s="96"/>
      <c r="BA180" s="96"/>
      <c r="BB180" s="96"/>
      <c r="BC180" s="96"/>
    </row>
    <row r="181" spans="1:55" ht="15.75" customHeight="1" x14ac:dyDescent="0.2">
      <c r="A181" s="89"/>
      <c r="B181" s="11">
        <v>1</v>
      </c>
      <c r="C181" s="11">
        <v>4</v>
      </c>
      <c r="D181" s="11">
        <v>1</v>
      </c>
      <c r="E181" s="11">
        <v>0</v>
      </c>
      <c r="F181" s="11">
        <v>1</v>
      </c>
      <c r="H181" s="148">
        <v>3</v>
      </c>
      <c r="I181" s="148">
        <v>4</v>
      </c>
      <c r="J181" s="148">
        <v>3</v>
      </c>
      <c r="K181" s="148">
        <v>3</v>
      </c>
      <c r="L181" s="148">
        <v>4</v>
      </c>
      <c r="N181" s="53">
        <v>3</v>
      </c>
      <c r="O181" s="53">
        <v>3</v>
      </c>
      <c r="P181" s="53">
        <v>1</v>
      </c>
      <c r="Q181" s="53">
        <v>2</v>
      </c>
      <c r="R181" s="53">
        <v>3</v>
      </c>
      <c r="T181" s="301"/>
      <c r="U181" s="31" t="s">
        <v>47</v>
      </c>
      <c r="V181" s="6">
        <f t="shared" ref="V181:Z181" si="322">IF(AND(J75 &gt;= LARGE($J75:$N75, 2), J75&gt;=3), 1, 0)</f>
        <v>0</v>
      </c>
      <c r="W181" s="6">
        <f t="shared" si="322"/>
        <v>1</v>
      </c>
      <c r="X181" s="6">
        <f t="shared" si="322"/>
        <v>0</v>
      </c>
      <c r="Y181" s="6">
        <f t="shared" si="322"/>
        <v>0</v>
      </c>
      <c r="Z181" s="6">
        <f t="shared" si="322"/>
        <v>0</v>
      </c>
      <c r="AB181" s="6">
        <f t="shared" si="319"/>
        <v>0</v>
      </c>
      <c r="AC181" s="6">
        <f t="shared" ref="AC181:AF181" si="323">IF(AND(I30 &gt;= LARGE($H30:$L30, 2), I30&gt;=3), 1, 0)</f>
        <v>1</v>
      </c>
      <c r="AD181" s="6">
        <f t="shared" si="323"/>
        <v>0</v>
      </c>
      <c r="AE181" s="6">
        <f t="shared" si="323"/>
        <v>0</v>
      </c>
      <c r="AF181" s="6">
        <f t="shared" si="323"/>
        <v>1</v>
      </c>
      <c r="AG181" s="6">
        <f t="shared" si="236"/>
        <v>2</v>
      </c>
      <c r="AH181" s="6">
        <f t="shared" si="237"/>
        <v>0.7</v>
      </c>
      <c r="AI181" s="6">
        <f t="shared" si="238"/>
        <v>1</v>
      </c>
      <c r="AJ181" s="6">
        <f t="shared" si="239"/>
        <v>1</v>
      </c>
      <c r="AL181" s="6">
        <f t="shared" si="240"/>
        <v>1</v>
      </c>
      <c r="AM181" s="6">
        <f t="shared" si="241"/>
        <v>2</v>
      </c>
      <c r="AO181" s="6">
        <f t="shared" si="320"/>
        <v>1</v>
      </c>
      <c r="AP181" s="6">
        <f t="shared" ref="AP181:AR181" si="324">IF(AND(O181 &gt;= LARGE($N181:$R181, 2), O181&gt;=3), 1, 0)</f>
        <v>1</v>
      </c>
      <c r="AQ181" s="6">
        <f t="shared" si="324"/>
        <v>0</v>
      </c>
      <c r="AR181" s="6">
        <f t="shared" si="324"/>
        <v>0</v>
      </c>
      <c r="AS181" s="6">
        <v>0</v>
      </c>
      <c r="AU181" s="79">
        <f t="shared" si="243"/>
        <v>1</v>
      </c>
      <c r="AV181" s="79">
        <f t="shared" si="244"/>
        <v>1</v>
      </c>
      <c r="AW181" s="79"/>
      <c r="AX181" s="79">
        <f t="shared" si="245"/>
        <v>3</v>
      </c>
      <c r="AY181" s="79"/>
      <c r="AZ181" s="96"/>
      <c r="BA181" s="96"/>
      <c r="BB181" s="96"/>
      <c r="BC181" s="96"/>
    </row>
    <row r="182" spans="1:55" ht="15.75" customHeight="1" x14ac:dyDescent="0.2">
      <c r="A182" s="89"/>
      <c r="B182" s="11">
        <v>0</v>
      </c>
      <c r="C182" s="11">
        <v>4</v>
      </c>
      <c r="D182" s="11">
        <v>0</v>
      </c>
      <c r="E182" s="11">
        <v>1</v>
      </c>
      <c r="F182" s="11">
        <v>4</v>
      </c>
      <c r="H182" s="148">
        <v>3</v>
      </c>
      <c r="I182" s="148">
        <v>4</v>
      </c>
      <c r="J182" s="7">
        <v>2</v>
      </c>
      <c r="K182" s="148">
        <v>3</v>
      </c>
      <c r="L182" s="148">
        <v>4</v>
      </c>
      <c r="N182" s="53">
        <v>3</v>
      </c>
      <c r="O182" s="53">
        <v>4</v>
      </c>
      <c r="P182" s="53">
        <v>2</v>
      </c>
      <c r="Q182" s="53">
        <v>4</v>
      </c>
      <c r="R182" s="53">
        <v>4</v>
      </c>
      <c r="T182" s="301"/>
      <c r="U182" s="31" t="s">
        <v>49</v>
      </c>
      <c r="V182" s="6">
        <f t="shared" ref="V182:Z182" si="325">IF(AND(J76 &gt;= LARGE($J76:$N76, 2), J76&gt;=3), 1, 0)</f>
        <v>0</v>
      </c>
      <c r="W182" s="6">
        <f t="shared" si="325"/>
        <v>1</v>
      </c>
      <c r="X182" s="6">
        <f t="shared" si="325"/>
        <v>0</v>
      </c>
      <c r="Y182" s="6">
        <f t="shared" si="325"/>
        <v>0</v>
      </c>
      <c r="Z182" s="6">
        <f t="shared" si="325"/>
        <v>1</v>
      </c>
      <c r="AB182" s="6">
        <f t="shared" si="319"/>
        <v>0</v>
      </c>
      <c r="AC182" s="6">
        <f t="shared" ref="AC182:AF182" si="326">IF(AND(I31 &gt;= LARGE($H31:$L31, 2), I31&gt;=3), 1, 0)</f>
        <v>1</v>
      </c>
      <c r="AD182" s="6">
        <f t="shared" si="326"/>
        <v>0</v>
      </c>
      <c r="AE182" s="6">
        <f t="shared" si="326"/>
        <v>0</v>
      </c>
      <c r="AF182" s="6">
        <f t="shared" si="326"/>
        <v>1</v>
      </c>
      <c r="AG182" s="6">
        <f t="shared" si="236"/>
        <v>2</v>
      </c>
      <c r="AH182" s="6">
        <f t="shared" si="237"/>
        <v>0.7</v>
      </c>
      <c r="AI182" s="6">
        <f t="shared" si="238"/>
        <v>2</v>
      </c>
      <c r="AJ182" s="6">
        <f t="shared" si="239"/>
        <v>1</v>
      </c>
      <c r="AL182" s="6">
        <f t="shared" si="240"/>
        <v>2</v>
      </c>
      <c r="AM182" s="6">
        <f t="shared" si="241"/>
        <v>2</v>
      </c>
      <c r="AO182" s="6">
        <v>0</v>
      </c>
      <c r="AP182" s="6">
        <f t="shared" ref="AP182:AQ182" si="327">IF(AND(O182 &gt;= LARGE($N182:$R182, 2), O182&gt;=3), 1, 0)</f>
        <v>1</v>
      </c>
      <c r="AQ182" s="6">
        <f t="shared" si="327"/>
        <v>0</v>
      </c>
      <c r="AR182" s="6">
        <v>1</v>
      </c>
      <c r="AS182" s="6">
        <v>0</v>
      </c>
      <c r="AU182" s="79">
        <f t="shared" si="243"/>
        <v>1</v>
      </c>
      <c r="AV182" s="79">
        <f t="shared" si="244"/>
        <v>1</v>
      </c>
      <c r="AW182" s="79"/>
      <c r="AX182" s="79">
        <f t="shared" si="245"/>
        <v>3</v>
      </c>
      <c r="AY182" s="79"/>
      <c r="AZ182" s="96"/>
      <c r="BA182" s="96"/>
      <c r="BB182" s="96"/>
      <c r="BC182" s="96"/>
    </row>
    <row r="183" spans="1:55" ht="15.75" customHeight="1" x14ac:dyDescent="0.2">
      <c r="A183" s="89"/>
      <c r="B183" s="110">
        <v>1</v>
      </c>
      <c r="C183" s="110">
        <v>1</v>
      </c>
      <c r="D183" s="111">
        <v>1</v>
      </c>
      <c r="E183" s="111">
        <v>2</v>
      </c>
      <c r="F183" s="111">
        <v>2</v>
      </c>
      <c r="H183" s="148">
        <v>3</v>
      </c>
      <c r="I183" s="7">
        <v>2</v>
      </c>
      <c r="J183" s="7">
        <v>2</v>
      </c>
      <c r="K183" s="148">
        <v>4</v>
      </c>
      <c r="L183" s="148">
        <v>4</v>
      </c>
      <c r="N183" s="53">
        <v>3</v>
      </c>
      <c r="O183" s="53">
        <v>1</v>
      </c>
      <c r="P183" s="53">
        <v>1</v>
      </c>
      <c r="Q183" s="53">
        <v>3</v>
      </c>
      <c r="R183" s="53">
        <v>3</v>
      </c>
      <c r="T183" s="5"/>
      <c r="U183" s="34"/>
      <c r="V183" s="6">
        <f t="shared" ref="V183:Z183" si="328">IF(AND(J77 &gt;= LARGE($J77:$N77, 2), J77&gt;=3), 1, 0)</f>
        <v>0</v>
      </c>
      <c r="W183" s="6">
        <f t="shared" si="328"/>
        <v>0</v>
      </c>
      <c r="X183" s="6">
        <f t="shared" si="328"/>
        <v>0</v>
      </c>
      <c r="Y183" s="6">
        <f t="shared" si="328"/>
        <v>0</v>
      </c>
      <c r="Z183" s="6">
        <f t="shared" si="328"/>
        <v>0</v>
      </c>
      <c r="AB183" s="6">
        <f t="shared" si="319"/>
        <v>0</v>
      </c>
      <c r="AC183" s="6">
        <f t="shared" ref="AC183:AF183" si="329">IF(AND(I32 &gt;= LARGE($H32:$L32, 2), I32&gt;=3), 1, 0)</f>
        <v>0</v>
      </c>
      <c r="AD183" s="6">
        <f t="shared" si="329"/>
        <v>0</v>
      </c>
      <c r="AE183" s="6">
        <f t="shared" si="329"/>
        <v>1</v>
      </c>
      <c r="AF183" s="6">
        <f t="shared" si="329"/>
        <v>1</v>
      </c>
      <c r="AG183" s="6">
        <f t="shared" si="236"/>
        <v>2</v>
      </c>
      <c r="AH183" s="6">
        <f t="shared" si="237"/>
        <v>0.7</v>
      </c>
      <c r="AI183" s="6">
        <f t="shared" si="238"/>
        <v>0</v>
      </c>
      <c r="AJ183" s="6">
        <f t="shared" si="239"/>
        <v>0</v>
      </c>
      <c r="AL183" s="6">
        <f t="shared" si="240"/>
        <v>0</v>
      </c>
      <c r="AM183" s="6">
        <f t="shared" si="241"/>
        <v>2</v>
      </c>
      <c r="AO183" s="6">
        <f t="shared" ref="AO183:AR183" si="330">IF(AND(N183 &gt;= LARGE($N183:$R183, 2), N183&gt;=3), 1, 0)</f>
        <v>1</v>
      </c>
      <c r="AP183" s="6">
        <f t="shared" si="330"/>
        <v>0</v>
      </c>
      <c r="AQ183" s="6">
        <f t="shared" si="330"/>
        <v>0</v>
      </c>
      <c r="AR183" s="6">
        <f t="shared" si="330"/>
        <v>1</v>
      </c>
      <c r="AS183" s="6">
        <v>0</v>
      </c>
      <c r="AU183" s="79">
        <f t="shared" si="243"/>
        <v>1</v>
      </c>
      <c r="AV183" s="79">
        <f t="shared" si="244"/>
        <v>1</v>
      </c>
      <c r="AW183" s="79"/>
      <c r="AX183" s="79">
        <f t="shared" si="245"/>
        <v>3</v>
      </c>
      <c r="AY183" s="79"/>
      <c r="AZ183" s="96"/>
      <c r="BA183" s="96"/>
      <c r="BB183" s="96"/>
      <c r="BC183" s="96"/>
    </row>
    <row r="184" spans="1:55" ht="15.75" customHeight="1" x14ac:dyDescent="0.2">
      <c r="A184" s="89"/>
      <c r="B184" s="110">
        <v>2</v>
      </c>
      <c r="C184" s="110">
        <v>0</v>
      </c>
      <c r="D184" s="111">
        <v>3</v>
      </c>
      <c r="E184" s="111">
        <v>1</v>
      </c>
      <c r="F184" s="111">
        <v>0</v>
      </c>
      <c r="H184" s="7">
        <v>2</v>
      </c>
      <c r="I184" s="7">
        <v>2</v>
      </c>
      <c r="J184" s="148">
        <v>3</v>
      </c>
      <c r="K184" s="148">
        <v>3</v>
      </c>
      <c r="L184" s="148">
        <v>4</v>
      </c>
      <c r="N184" s="53">
        <v>3</v>
      </c>
      <c r="O184" s="53">
        <v>1</v>
      </c>
      <c r="P184" s="53">
        <v>1</v>
      </c>
      <c r="Q184" s="53">
        <v>2</v>
      </c>
      <c r="R184" s="53">
        <v>3</v>
      </c>
      <c r="T184" s="5"/>
      <c r="U184" s="34"/>
      <c r="V184" s="6">
        <f t="shared" ref="V184:Z184" si="331">IF(AND(J78 &gt;= LARGE($J78:$N78, 2), J78&gt;=3), 1, 0)</f>
        <v>0</v>
      </c>
      <c r="W184" s="6">
        <f t="shared" si="331"/>
        <v>0</v>
      </c>
      <c r="X184" s="6">
        <f t="shared" si="331"/>
        <v>1</v>
      </c>
      <c r="Y184" s="6">
        <f t="shared" si="331"/>
        <v>0</v>
      </c>
      <c r="Z184" s="6">
        <f t="shared" si="331"/>
        <v>0</v>
      </c>
      <c r="AB184" s="6">
        <f t="shared" si="319"/>
        <v>0</v>
      </c>
      <c r="AC184" s="6">
        <f t="shared" ref="AC184:AD184" si="332">IF(AND(I33 &gt;= LARGE($H33:$L33, 2), I33&gt;=3), 1, 0)</f>
        <v>0</v>
      </c>
      <c r="AD184" s="6">
        <f t="shared" si="332"/>
        <v>1</v>
      </c>
      <c r="AE184" s="6">
        <v>0</v>
      </c>
      <c r="AF184" s="6">
        <f>IF(AND(L33 &gt;= LARGE($H33:$L33, 2), L33&gt;=3), 1, 0)</f>
        <v>1</v>
      </c>
      <c r="AG184" s="6">
        <f t="shared" si="236"/>
        <v>2</v>
      </c>
      <c r="AH184" s="6">
        <f t="shared" si="237"/>
        <v>0.7</v>
      </c>
      <c r="AI184" s="6">
        <f t="shared" si="238"/>
        <v>1</v>
      </c>
      <c r="AJ184" s="6">
        <f t="shared" si="239"/>
        <v>1</v>
      </c>
      <c r="AL184" s="6">
        <f t="shared" si="240"/>
        <v>1</v>
      </c>
      <c r="AM184" s="6">
        <f t="shared" si="241"/>
        <v>3</v>
      </c>
      <c r="AO184" s="6">
        <f t="shared" ref="AO184:AS184" si="333">IF(AND(N184 &gt;= LARGE($N184:$R184, 2), N184&gt;=3), 1, 0)</f>
        <v>1</v>
      </c>
      <c r="AP184" s="6">
        <f t="shared" si="333"/>
        <v>0</v>
      </c>
      <c r="AQ184" s="6">
        <f t="shared" si="333"/>
        <v>0</v>
      </c>
      <c r="AR184" s="6">
        <f t="shared" si="333"/>
        <v>0</v>
      </c>
      <c r="AS184" s="6">
        <f t="shared" si="333"/>
        <v>1</v>
      </c>
      <c r="AU184" s="79">
        <f t="shared" si="243"/>
        <v>1</v>
      </c>
      <c r="AV184" s="79">
        <f t="shared" si="244"/>
        <v>1</v>
      </c>
      <c r="AW184" s="79"/>
      <c r="AX184" s="79">
        <f t="shared" si="245"/>
        <v>2</v>
      </c>
      <c r="AY184" s="79"/>
      <c r="AZ184" s="96"/>
      <c r="BA184" s="96"/>
      <c r="BB184" s="96"/>
      <c r="BC184" s="96"/>
    </row>
    <row r="185" spans="1:55" ht="15.75" customHeight="1" x14ac:dyDescent="0.2">
      <c r="A185" s="89"/>
      <c r="B185" s="11">
        <v>3</v>
      </c>
      <c r="C185" s="11">
        <v>3</v>
      </c>
      <c r="D185" s="11">
        <v>1</v>
      </c>
      <c r="E185" s="11">
        <v>1</v>
      </c>
      <c r="F185" s="11">
        <v>1</v>
      </c>
      <c r="H185" s="148">
        <v>4</v>
      </c>
      <c r="I185" s="148">
        <v>4</v>
      </c>
      <c r="J185" s="148">
        <v>3</v>
      </c>
      <c r="K185" s="148">
        <v>3</v>
      </c>
      <c r="L185" s="148">
        <v>4</v>
      </c>
      <c r="N185" s="53">
        <v>3</v>
      </c>
      <c r="O185" s="53">
        <v>2</v>
      </c>
      <c r="P185" s="53">
        <v>1</v>
      </c>
      <c r="Q185" s="53">
        <v>1</v>
      </c>
      <c r="R185" s="53">
        <v>3</v>
      </c>
      <c r="T185" s="300" t="s">
        <v>51</v>
      </c>
      <c r="U185" s="34" t="s">
        <v>52</v>
      </c>
      <c r="V185" s="6">
        <f t="shared" ref="V185:Z185" si="334">IF(AND(J79 &gt;= LARGE($J79:$N79, 2), J79&gt;=3), 1, 0)</f>
        <v>1</v>
      </c>
      <c r="W185" s="6">
        <f t="shared" si="334"/>
        <v>1</v>
      </c>
      <c r="X185" s="6">
        <f t="shared" si="334"/>
        <v>0</v>
      </c>
      <c r="Y185" s="6">
        <f t="shared" si="334"/>
        <v>0</v>
      </c>
      <c r="Z185" s="6">
        <f t="shared" si="334"/>
        <v>0</v>
      </c>
      <c r="AB185" s="6">
        <f t="shared" si="319"/>
        <v>1</v>
      </c>
      <c r="AC185" s="6">
        <f t="shared" ref="AC185:AE185" si="335">IF(AND(I34 &gt;= LARGE($H34:$L34, 2), I34&gt;=3), 1, 0)</f>
        <v>1</v>
      </c>
      <c r="AD185" s="6">
        <f t="shared" si="335"/>
        <v>0</v>
      </c>
      <c r="AE185" s="6">
        <f t="shared" si="335"/>
        <v>0</v>
      </c>
      <c r="AF185" s="6">
        <v>0</v>
      </c>
      <c r="AG185" s="6">
        <f t="shared" si="236"/>
        <v>2</v>
      </c>
      <c r="AH185" s="6">
        <f t="shared" si="237"/>
        <v>0.7</v>
      </c>
      <c r="AI185" s="6">
        <f t="shared" si="238"/>
        <v>2</v>
      </c>
      <c r="AJ185" s="6">
        <f t="shared" si="239"/>
        <v>1</v>
      </c>
      <c r="AL185" s="6">
        <f t="shared" si="240"/>
        <v>2</v>
      </c>
      <c r="AM185" s="6">
        <f t="shared" si="241"/>
        <v>3</v>
      </c>
      <c r="AO185" s="6">
        <f t="shared" ref="AO185:AS185" si="336">IF(AND(N185 &gt;= LARGE($N185:$R185, 2), N185&gt;=3), 1, 0)</f>
        <v>1</v>
      </c>
      <c r="AP185" s="6">
        <f t="shared" si="336"/>
        <v>0</v>
      </c>
      <c r="AQ185" s="6">
        <f t="shared" si="336"/>
        <v>0</v>
      </c>
      <c r="AR185" s="6">
        <f t="shared" si="336"/>
        <v>0</v>
      </c>
      <c r="AS185" s="6">
        <f t="shared" si="336"/>
        <v>1</v>
      </c>
      <c r="AU185" s="79">
        <f t="shared" si="243"/>
        <v>1</v>
      </c>
      <c r="AV185" s="79">
        <f t="shared" si="244"/>
        <v>1</v>
      </c>
      <c r="AW185" s="79"/>
      <c r="AX185" s="79">
        <f t="shared" si="245"/>
        <v>2</v>
      </c>
      <c r="AY185" s="79"/>
      <c r="AZ185" s="96"/>
      <c r="BA185" s="96"/>
      <c r="BB185" s="96"/>
      <c r="BC185" s="96"/>
    </row>
    <row r="186" spans="1:55" ht="15.75" customHeight="1" x14ac:dyDescent="0.2">
      <c r="A186" s="89"/>
      <c r="B186" s="11">
        <v>3</v>
      </c>
      <c r="C186" s="11">
        <v>0</v>
      </c>
      <c r="D186" s="11">
        <v>0</v>
      </c>
      <c r="E186" s="11">
        <v>1</v>
      </c>
      <c r="F186" s="11">
        <v>1</v>
      </c>
      <c r="H186" s="148">
        <v>4</v>
      </c>
      <c r="I186" s="7">
        <v>1</v>
      </c>
      <c r="J186" s="7">
        <v>2</v>
      </c>
      <c r="K186" s="7">
        <v>2</v>
      </c>
      <c r="L186" s="148">
        <v>3</v>
      </c>
      <c r="N186" s="53">
        <v>3</v>
      </c>
      <c r="O186" s="53">
        <v>0</v>
      </c>
      <c r="P186" s="53">
        <v>0</v>
      </c>
      <c r="Q186" s="53">
        <v>1</v>
      </c>
      <c r="R186" s="53">
        <v>2</v>
      </c>
      <c r="T186" s="301"/>
      <c r="U186" s="34" t="s">
        <v>53</v>
      </c>
      <c r="V186" s="6">
        <f t="shared" ref="V186:Z186" si="337">IF(AND(J80 &gt;= LARGE($J80:$N80, 2), J80&gt;=3), 1, 0)</f>
        <v>1</v>
      </c>
      <c r="W186" s="6">
        <f t="shared" si="337"/>
        <v>0</v>
      </c>
      <c r="X186" s="6">
        <f t="shared" si="337"/>
        <v>0</v>
      </c>
      <c r="Y186" s="6">
        <f t="shared" si="337"/>
        <v>0</v>
      </c>
      <c r="Z186" s="6">
        <f t="shared" si="337"/>
        <v>0</v>
      </c>
      <c r="AB186" s="6">
        <f t="shared" si="319"/>
        <v>1</v>
      </c>
      <c r="AC186" s="6">
        <f t="shared" ref="AC186:AF186" si="338">IF(AND(I35 &gt;= LARGE($H35:$L35, 2), I35&gt;=3), 1, 0)</f>
        <v>0</v>
      </c>
      <c r="AD186" s="6">
        <f t="shared" si="338"/>
        <v>0</v>
      </c>
      <c r="AE186" s="6">
        <f t="shared" si="338"/>
        <v>0</v>
      </c>
      <c r="AF186" s="6">
        <f t="shared" si="338"/>
        <v>1</v>
      </c>
      <c r="AG186" s="6">
        <f t="shared" si="236"/>
        <v>2</v>
      </c>
      <c r="AH186" s="6">
        <f t="shared" si="237"/>
        <v>0.7</v>
      </c>
      <c r="AI186" s="6">
        <f t="shared" si="238"/>
        <v>1</v>
      </c>
      <c r="AJ186" s="6">
        <f t="shared" si="239"/>
        <v>1</v>
      </c>
      <c r="AL186" s="6">
        <f t="shared" si="240"/>
        <v>1</v>
      </c>
      <c r="AM186" s="6">
        <f t="shared" si="241"/>
        <v>2</v>
      </c>
      <c r="AO186" s="6">
        <f t="shared" ref="AO186:AS186" si="339">IF(AND(N186 &gt;= LARGE($N186:$R186, 2), N186&gt;=3), 1, 0)</f>
        <v>1</v>
      </c>
      <c r="AP186" s="6">
        <f t="shared" si="339"/>
        <v>0</v>
      </c>
      <c r="AQ186" s="6">
        <f t="shared" si="339"/>
        <v>0</v>
      </c>
      <c r="AR186" s="6">
        <f t="shared" si="339"/>
        <v>0</v>
      </c>
      <c r="AS186" s="6">
        <f t="shared" si="339"/>
        <v>0</v>
      </c>
      <c r="AU186" s="79">
        <f t="shared" si="243"/>
        <v>1</v>
      </c>
      <c r="AV186" s="79">
        <f t="shared" si="244"/>
        <v>1</v>
      </c>
      <c r="AW186" s="79"/>
      <c r="AX186" s="79">
        <f t="shared" si="245"/>
        <v>1</v>
      </c>
      <c r="AY186" s="79"/>
      <c r="AZ186" s="96"/>
      <c r="BA186" s="96"/>
      <c r="BB186" s="96"/>
      <c r="BC186" s="96"/>
    </row>
    <row r="187" spans="1:55" ht="15.75" customHeight="1" x14ac:dyDescent="0.2">
      <c r="A187" s="89"/>
      <c r="B187" s="11">
        <v>2</v>
      </c>
      <c r="C187" s="11">
        <v>0</v>
      </c>
      <c r="D187" s="11">
        <v>3</v>
      </c>
      <c r="E187" s="11">
        <v>1</v>
      </c>
      <c r="F187" s="11">
        <v>0</v>
      </c>
      <c r="H187" s="148">
        <v>4</v>
      </c>
      <c r="I187" s="7">
        <v>2</v>
      </c>
      <c r="J187" s="148">
        <v>3</v>
      </c>
      <c r="K187" s="7">
        <v>2</v>
      </c>
      <c r="L187" s="148">
        <v>3</v>
      </c>
      <c r="N187" s="53">
        <v>3</v>
      </c>
      <c r="O187" s="53">
        <v>0</v>
      </c>
      <c r="P187" s="53">
        <v>0</v>
      </c>
      <c r="Q187" s="53">
        <v>1</v>
      </c>
      <c r="R187" s="53">
        <v>2</v>
      </c>
      <c r="T187" s="301"/>
      <c r="U187" s="34" t="s">
        <v>55</v>
      </c>
      <c r="V187" s="6">
        <f t="shared" ref="V187:Z187" si="340">IF(AND(J81 &gt;= LARGE($J81:$N81, 2), J81&gt;=3), 1, 0)</f>
        <v>0</v>
      </c>
      <c r="W187" s="6">
        <f t="shared" si="340"/>
        <v>0</v>
      </c>
      <c r="X187" s="6">
        <f t="shared" si="340"/>
        <v>1</v>
      </c>
      <c r="Y187" s="6">
        <f t="shared" si="340"/>
        <v>0</v>
      </c>
      <c r="Z187" s="6">
        <f t="shared" si="340"/>
        <v>0</v>
      </c>
      <c r="AB187" s="6">
        <f t="shared" si="319"/>
        <v>1</v>
      </c>
      <c r="AC187" s="6">
        <f t="shared" ref="AC187:AE187" si="341">IF(AND(I36 &gt;= LARGE($H36:$L36, 2), I36&gt;=3), 1, 0)</f>
        <v>0</v>
      </c>
      <c r="AD187" s="6">
        <f t="shared" si="341"/>
        <v>1</v>
      </c>
      <c r="AE187" s="6">
        <f t="shared" si="341"/>
        <v>0</v>
      </c>
      <c r="AF187" s="6">
        <v>0</v>
      </c>
      <c r="AG187" s="6">
        <f t="shared" si="236"/>
        <v>2</v>
      </c>
      <c r="AH187" s="6">
        <f t="shared" si="237"/>
        <v>0.7</v>
      </c>
      <c r="AI187" s="6">
        <f t="shared" si="238"/>
        <v>1</v>
      </c>
      <c r="AJ187" s="6">
        <f t="shared" si="239"/>
        <v>1</v>
      </c>
      <c r="AL187" s="6">
        <f t="shared" si="240"/>
        <v>1</v>
      </c>
      <c r="AM187" s="6">
        <f t="shared" si="241"/>
        <v>3</v>
      </c>
      <c r="AO187" s="6">
        <f t="shared" ref="AO187:AS187" si="342">IF(AND(N187 &gt;= LARGE($N187:$R187, 2), N187&gt;=3), 1, 0)</f>
        <v>1</v>
      </c>
      <c r="AP187" s="6">
        <f t="shared" si="342"/>
        <v>0</v>
      </c>
      <c r="AQ187" s="6">
        <f t="shared" si="342"/>
        <v>0</v>
      </c>
      <c r="AR187" s="6">
        <f t="shared" si="342"/>
        <v>0</v>
      </c>
      <c r="AS187" s="6">
        <f t="shared" si="342"/>
        <v>0</v>
      </c>
      <c r="AU187" s="79">
        <f t="shared" si="243"/>
        <v>1</v>
      </c>
      <c r="AV187" s="79">
        <f t="shared" si="244"/>
        <v>1</v>
      </c>
      <c r="AW187" s="79"/>
      <c r="AX187" s="79">
        <f t="shared" si="245"/>
        <v>1</v>
      </c>
      <c r="AY187" s="79"/>
      <c r="AZ187" s="96"/>
      <c r="BA187" s="96"/>
      <c r="BB187" s="96"/>
      <c r="BC187" s="96"/>
    </row>
    <row r="188" spans="1:55" ht="15.75" customHeight="1" x14ac:dyDescent="0.2">
      <c r="A188" s="89"/>
      <c r="B188" s="11">
        <v>3</v>
      </c>
      <c r="C188" s="11">
        <v>1</v>
      </c>
      <c r="D188" s="11">
        <v>4</v>
      </c>
      <c r="E188" s="11">
        <v>1</v>
      </c>
      <c r="F188" s="11">
        <v>0</v>
      </c>
      <c r="H188" s="7">
        <v>3</v>
      </c>
      <c r="I188" s="7">
        <v>2</v>
      </c>
      <c r="J188" s="7">
        <v>2</v>
      </c>
      <c r="K188" s="7">
        <v>2</v>
      </c>
      <c r="L188" s="7">
        <v>4</v>
      </c>
      <c r="N188" s="53">
        <v>3</v>
      </c>
      <c r="O188" s="53">
        <v>0</v>
      </c>
      <c r="P188" s="53">
        <v>1</v>
      </c>
      <c r="Q188" s="53">
        <v>2</v>
      </c>
      <c r="R188" s="53">
        <v>2</v>
      </c>
      <c r="T188" s="301"/>
      <c r="U188" s="34" t="s">
        <v>57</v>
      </c>
      <c r="V188" s="6">
        <f t="shared" ref="V188:Z188" si="343">IF(AND(J82 &gt;= LARGE($J82:$N82, 2), J82&gt;=3), 1, 0)</f>
        <v>1</v>
      </c>
      <c r="W188" s="6">
        <f t="shared" si="343"/>
        <v>0</v>
      </c>
      <c r="X188" s="6">
        <f t="shared" si="343"/>
        <v>1</v>
      </c>
      <c r="Y188" s="6">
        <f t="shared" si="343"/>
        <v>0</v>
      </c>
      <c r="Z188" s="6">
        <f t="shared" si="343"/>
        <v>0</v>
      </c>
      <c r="AB188" s="6">
        <f t="shared" si="319"/>
        <v>1</v>
      </c>
      <c r="AC188" s="6">
        <f t="shared" ref="AC188:AF188" si="344">IF(AND(I37 &gt;= LARGE($H37:$L37, 2), I37&gt;=3), 1, 0)</f>
        <v>0</v>
      </c>
      <c r="AD188" s="6">
        <f t="shared" si="344"/>
        <v>0</v>
      </c>
      <c r="AE188" s="6">
        <f t="shared" si="344"/>
        <v>0</v>
      </c>
      <c r="AF188" s="6">
        <f t="shared" si="344"/>
        <v>1</v>
      </c>
      <c r="AG188" s="6">
        <f t="shared" si="236"/>
        <v>2</v>
      </c>
      <c r="AH188" s="6">
        <f t="shared" si="237"/>
        <v>0.7</v>
      </c>
      <c r="AI188" s="6">
        <f t="shared" si="238"/>
        <v>1</v>
      </c>
      <c r="AJ188" s="6">
        <f t="shared" si="239"/>
        <v>1</v>
      </c>
      <c r="AL188" s="6">
        <f t="shared" si="240"/>
        <v>2</v>
      </c>
      <c r="AM188" s="6">
        <f t="shared" si="241"/>
        <v>2</v>
      </c>
      <c r="AO188" s="6">
        <f t="shared" ref="AO188:AS188" si="345">IF(AND(N188 &gt;= LARGE($N188:$R188, 2), N188&gt;=3), 1, 0)</f>
        <v>1</v>
      </c>
      <c r="AP188" s="6">
        <f t="shared" si="345"/>
        <v>0</v>
      </c>
      <c r="AQ188" s="6">
        <f t="shared" si="345"/>
        <v>0</v>
      </c>
      <c r="AR188" s="6">
        <f t="shared" si="345"/>
        <v>0</v>
      </c>
      <c r="AS188" s="6">
        <f t="shared" si="345"/>
        <v>0</v>
      </c>
      <c r="AU188" s="79">
        <f t="shared" si="243"/>
        <v>1</v>
      </c>
      <c r="AV188" s="79">
        <f t="shared" si="244"/>
        <v>1</v>
      </c>
      <c r="AW188" s="79"/>
      <c r="AX188" s="79">
        <f t="shared" si="245"/>
        <v>1</v>
      </c>
      <c r="AY188" s="79"/>
      <c r="AZ188" s="96"/>
      <c r="BA188" s="96"/>
      <c r="BB188" s="96"/>
      <c r="BC188" s="96"/>
    </row>
    <row r="189" spans="1:55" ht="15.75" customHeight="1" x14ac:dyDescent="0.2">
      <c r="A189" s="89"/>
      <c r="B189" s="6">
        <v>3</v>
      </c>
      <c r="C189" s="6">
        <v>3</v>
      </c>
      <c r="D189" s="6">
        <v>2</v>
      </c>
      <c r="E189" s="6">
        <v>1</v>
      </c>
      <c r="F189" s="6">
        <v>0</v>
      </c>
      <c r="H189" s="149">
        <v>3</v>
      </c>
      <c r="I189" s="149">
        <v>3</v>
      </c>
      <c r="J189" s="149">
        <v>3</v>
      </c>
      <c r="K189" s="149">
        <v>4</v>
      </c>
      <c r="L189" s="149">
        <v>3</v>
      </c>
      <c r="N189" s="53">
        <v>4</v>
      </c>
      <c r="O189" s="53">
        <v>3</v>
      </c>
      <c r="P189" s="53">
        <v>2</v>
      </c>
      <c r="Q189" s="53">
        <v>4</v>
      </c>
      <c r="R189" s="53">
        <v>4</v>
      </c>
      <c r="T189" s="301"/>
      <c r="U189" s="34" t="s">
        <v>59</v>
      </c>
      <c r="V189" s="6">
        <f t="shared" ref="V189:Z189" si="346">IF(AND(J83 &gt;= LARGE($J83:$N83, 2), J83&gt;=3), 1, 0)</f>
        <v>1</v>
      </c>
      <c r="W189" s="6">
        <f t="shared" si="346"/>
        <v>1</v>
      </c>
      <c r="X189" s="6">
        <f t="shared" si="346"/>
        <v>0</v>
      </c>
      <c r="Y189" s="6">
        <f t="shared" si="346"/>
        <v>0</v>
      </c>
      <c r="Z189" s="6">
        <f t="shared" si="346"/>
        <v>0</v>
      </c>
      <c r="AB189" s="6">
        <f t="shared" si="319"/>
        <v>1</v>
      </c>
      <c r="AC189" s="6">
        <v>0</v>
      </c>
      <c r="AD189" s="6">
        <v>0</v>
      </c>
      <c r="AE189" s="6">
        <f>IF(AND(K38 &gt;= LARGE($H38:$L38, 2), K38&gt;=3), 1, 0)</f>
        <v>1</v>
      </c>
      <c r="AF189" s="6">
        <v>0</v>
      </c>
      <c r="AG189" s="6">
        <f t="shared" si="236"/>
        <v>2</v>
      </c>
      <c r="AH189" s="6">
        <f t="shared" si="237"/>
        <v>0.7</v>
      </c>
      <c r="AI189" s="6">
        <f t="shared" si="238"/>
        <v>1</v>
      </c>
      <c r="AJ189" s="6">
        <f t="shared" si="239"/>
        <v>1</v>
      </c>
      <c r="AL189" s="6">
        <f t="shared" si="240"/>
        <v>2</v>
      </c>
      <c r="AM189" s="6">
        <f t="shared" si="241"/>
        <v>5</v>
      </c>
      <c r="AO189" s="6">
        <f>IF(AND(N189 &gt;= LARGE($N189:$R189, 2), N189&gt;=3), 1, 0)</f>
        <v>1</v>
      </c>
      <c r="AP189" s="6">
        <v>0</v>
      </c>
      <c r="AQ189" s="6">
        <f t="shared" ref="AQ189:AR189" si="347">IF(AND(P189 &gt;= LARGE($N189:$R189, 2), P189&gt;=3), 1, 0)</f>
        <v>0</v>
      </c>
      <c r="AR189" s="6">
        <f t="shared" si="347"/>
        <v>1</v>
      </c>
      <c r="AS189" s="6">
        <v>0</v>
      </c>
      <c r="AU189" s="79">
        <f t="shared" si="243"/>
        <v>2</v>
      </c>
      <c r="AV189" s="79">
        <f t="shared" si="244"/>
        <v>1</v>
      </c>
      <c r="AW189" s="79"/>
      <c r="AX189" s="79">
        <f t="shared" si="245"/>
        <v>3</v>
      </c>
      <c r="AY189" s="79"/>
      <c r="AZ189" s="96"/>
      <c r="BA189" s="96"/>
      <c r="BB189" s="96"/>
      <c r="BC189" s="96"/>
    </row>
    <row r="190" spans="1:55" ht="15.75" customHeight="1" x14ac:dyDescent="0.2">
      <c r="A190" s="89"/>
      <c r="B190" s="89"/>
      <c r="C190" s="89"/>
      <c r="D190" s="89"/>
      <c r="E190" s="89"/>
      <c r="AG190" s="78">
        <f>AVERAGE(AG155:AG189)</f>
        <v>2</v>
      </c>
      <c r="AH190" s="79">
        <f>COUNT(AH155:AH189)</f>
        <v>35</v>
      </c>
      <c r="AK190" s="6" t="s">
        <v>132</v>
      </c>
      <c r="AL190" s="66">
        <f t="shared" ref="AL190:AM190" si="348">AVERAGE(AL155:AL189)</f>
        <v>1.3714285714285714</v>
      </c>
      <c r="AM190" s="66">
        <f t="shared" si="348"/>
        <v>2.8285714285714287</v>
      </c>
      <c r="AU190" s="72"/>
      <c r="AV190" s="72"/>
      <c r="AW190" s="6" t="s">
        <v>132</v>
      </c>
      <c r="AX190" s="72">
        <f>AVERAGE(AX155:AX189)</f>
        <v>1.8285714285714285</v>
      </c>
      <c r="AY190" s="96"/>
      <c r="AZ190" s="96"/>
      <c r="BA190" s="96"/>
      <c r="BB190" s="96"/>
      <c r="BC190" s="96"/>
    </row>
    <row r="191" spans="1:55" ht="15.75" customHeight="1" x14ac:dyDescent="0.2">
      <c r="A191" s="89"/>
      <c r="B191" s="89"/>
      <c r="C191" s="89"/>
      <c r="D191" s="89"/>
      <c r="E191" s="89"/>
      <c r="AL191" s="313" t="s">
        <v>248</v>
      </c>
      <c r="AM191" s="301"/>
      <c r="AN191" s="301"/>
      <c r="AO191" s="301"/>
      <c r="AP191" s="301"/>
      <c r="AW191" s="96"/>
      <c r="AX191" s="96"/>
      <c r="AY191" s="96"/>
      <c r="AZ191" s="96"/>
      <c r="BA191" s="96"/>
      <c r="BB191" s="96"/>
      <c r="BC191" s="96"/>
    </row>
    <row r="192" spans="1:55" ht="15.75" customHeight="1" x14ac:dyDescent="0.2">
      <c r="A192" s="89"/>
      <c r="B192" s="89"/>
      <c r="C192" s="89"/>
      <c r="D192" s="89"/>
      <c r="E192" s="89"/>
      <c r="U192" s="88">
        <v>1</v>
      </c>
      <c r="AI192" s="6" t="s">
        <v>249</v>
      </c>
      <c r="AJ192" s="62">
        <f>SUM(AJ155:AJ189)</f>
        <v>25</v>
      </c>
      <c r="AL192" s="301"/>
      <c r="AM192" s="301"/>
      <c r="AN192" s="301"/>
      <c r="AO192" s="301"/>
      <c r="AP192" s="301"/>
      <c r="AU192" s="6" t="s">
        <v>249</v>
      </c>
      <c r="AV192" s="150">
        <f>SUM(AV155:AV189)</f>
        <v>25</v>
      </c>
      <c r="AW192" s="96"/>
      <c r="AX192" s="96"/>
      <c r="AY192" s="96"/>
      <c r="AZ192" s="96"/>
      <c r="BA192" s="96"/>
      <c r="BB192" s="96"/>
      <c r="BC192" s="96"/>
    </row>
    <row r="193" spans="1:55" ht="15.75" customHeight="1" x14ac:dyDescent="0.2">
      <c r="A193" s="89"/>
      <c r="B193" s="89"/>
      <c r="C193" s="89"/>
      <c r="D193" s="89"/>
      <c r="E193" s="89" t="s">
        <v>250</v>
      </c>
      <c r="F193" s="1" t="s">
        <v>251</v>
      </c>
      <c r="G193" s="1" t="s">
        <v>1</v>
      </c>
      <c r="H193" s="1" t="s">
        <v>2</v>
      </c>
      <c r="I193" s="151" t="s">
        <v>252</v>
      </c>
      <c r="J193" s="152" t="s">
        <v>253</v>
      </c>
      <c r="K193" s="151" t="s">
        <v>254</v>
      </c>
      <c r="L193" s="152" t="s">
        <v>255</v>
      </c>
      <c r="M193" s="151" t="s">
        <v>256</v>
      </c>
      <c r="N193" s="152" t="s">
        <v>257</v>
      </c>
      <c r="O193" s="151" t="s">
        <v>258</v>
      </c>
      <c r="P193" s="152" t="s">
        <v>259</v>
      </c>
      <c r="Q193" s="151" t="s">
        <v>260</v>
      </c>
      <c r="R193" s="152" t="s">
        <v>261</v>
      </c>
      <c r="U193" s="153">
        <v>2</v>
      </c>
      <c r="AE193" s="6" t="s">
        <v>262</v>
      </c>
      <c r="AF193" s="6">
        <v>13</v>
      </c>
      <c r="AH193" s="6">
        <f>1-(3/10)</f>
        <v>0.7</v>
      </c>
      <c r="AI193" s="6" t="s">
        <v>263</v>
      </c>
      <c r="AJ193" s="118">
        <f>1-(3/10)</f>
        <v>0.7</v>
      </c>
      <c r="AK193" s="118">
        <f>AVERAGE(AH155:AH189)</f>
        <v>0.69999999999999962</v>
      </c>
      <c r="AL193" s="301"/>
      <c r="AM193" s="301"/>
      <c r="AN193" s="301"/>
      <c r="AO193" s="301"/>
      <c r="AP193" s="301"/>
      <c r="AU193" s="6" t="s">
        <v>263</v>
      </c>
      <c r="AV193" s="154">
        <f>1-(3/10)</f>
        <v>0.7</v>
      </c>
      <c r="AW193" s="96"/>
      <c r="AX193" s="96"/>
      <c r="AY193" s="96"/>
      <c r="AZ193" s="96"/>
      <c r="BA193" s="96"/>
      <c r="BB193" s="96"/>
      <c r="BC193" s="96"/>
    </row>
    <row r="194" spans="1:55" ht="15.75" customHeight="1" x14ac:dyDescent="0.2">
      <c r="A194" s="73"/>
      <c r="B194" s="73"/>
      <c r="C194" s="73"/>
      <c r="D194" s="73"/>
      <c r="E194" s="312" t="s">
        <v>8</v>
      </c>
      <c r="F194" s="18" t="s">
        <v>9</v>
      </c>
      <c r="G194" s="18">
        <v>1952</v>
      </c>
      <c r="H194" s="54" t="s">
        <v>10</v>
      </c>
      <c r="I194" s="155">
        <v>0</v>
      </c>
      <c r="J194" s="156">
        <v>3</v>
      </c>
      <c r="K194" s="155">
        <v>0</v>
      </c>
      <c r="L194" s="156">
        <v>2</v>
      </c>
      <c r="M194" s="155">
        <v>0</v>
      </c>
      <c r="N194" s="156">
        <v>4</v>
      </c>
      <c r="O194" s="155">
        <v>0</v>
      </c>
      <c r="P194" s="156">
        <v>2</v>
      </c>
      <c r="Q194" s="155">
        <v>4</v>
      </c>
      <c r="R194" s="156">
        <v>4</v>
      </c>
      <c r="V194" s="314" t="s">
        <v>239</v>
      </c>
      <c r="W194" s="301"/>
      <c r="X194" s="301"/>
      <c r="Y194" s="301"/>
      <c r="Z194" s="301"/>
      <c r="AE194" s="6" t="s">
        <v>264</v>
      </c>
      <c r="AF194" s="6">
        <v>11</v>
      </c>
      <c r="AI194" s="6" t="s">
        <v>265</v>
      </c>
      <c r="AJ194" s="6">
        <f>35*AJ193</f>
        <v>24.5</v>
      </c>
      <c r="AL194" s="301"/>
      <c r="AM194" s="301"/>
      <c r="AN194" s="301"/>
      <c r="AO194" s="301"/>
      <c r="AP194" s="301"/>
      <c r="AU194" s="6" t="s">
        <v>265</v>
      </c>
      <c r="AV194" s="6">
        <f>35*AV193</f>
        <v>24.5</v>
      </c>
      <c r="AW194" s="96"/>
      <c r="AX194" s="96"/>
      <c r="AY194" s="96"/>
      <c r="AZ194" s="96"/>
      <c r="BA194" s="96"/>
      <c r="BB194" s="96"/>
      <c r="BC194" s="96"/>
    </row>
    <row r="195" spans="1:55" ht="18" customHeight="1" x14ac:dyDescent="0.2">
      <c r="A195" s="73"/>
      <c r="B195" s="73"/>
      <c r="C195" s="73"/>
      <c r="D195" s="73"/>
      <c r="E195" s="301"/>
      <c r="F195" s="18" t="s">
        <v>11</v>
      </c>
      <c r="G195" s="18">
        <v>1945</v>
      </c>
      <c r="H195" s="54" t="s">
        <v>12</v>
      </c>
      <c r="I195" s="155">
        <v>0</v>
      </c>
      <c r="J195" s="156">
        <v>4</v>
      </c>
      <c r="K195" s="155">
        <v>2</v>
      </c>
      <c r="L195" s="156">
        <v>3</v>
      </c>
      <c r="M195" s="155">
        <v>0</v>
      </c>
      <c r="N195" s="156">
        <v>3</v>
      </c>
      <c r="O195" s="155">
        <v>4</v>
      </c>
      <c r="P195" s="156">
        <v>4</v>
      </c>
      <c r="Q195" s="155">
        <v>3</v>
      </c>
      <c r="R195" s="156">
        <v>4</v>
      </c>
      <c r="T195" s="5"/>
      <c r="U195" s="101"/>
      <c r="V195" s="75" t="s">
        <v>81</v>
      </c>
      <c r="W195" s="75" t="s">
        <v>82</v>
      </c>
      <c r="X195" s="75" t="s">
        <v>83</v>
      </c>
      <c r="Y195" s="75" t="s">
        <v>84</v>
      </c>
      <c r="Z195" s="75" t="s">
        <v>85</v>
      </c>
      <c r="AE195" s="6" t="s">
        <v>266</v>
      </c>
      <c r="AF195" s="6">
        <v>6</v>
      </c>
      <c r="AI195" s="6" t="s">
        <v>191</v>
      </c>
      <c r="AJ195" s="154">
        <f>1-_xlfn.BINOM.DIST(AJ192-1,35,AJ193,TRUE)</f>
        <v>0.50995711677064492</v>
      </c>
      <c r="AL195" s="301"/>
      <c r="AM195" s="301"/>
      <c r="AN195" s="301"/>
      <c r="AO195" s="301"/>
      <c r="AP195" s="301"/>
      <c r="AU195" s="6" t="s">
        <v>191</v>
      </c>
      <c r="AV195" s="157">
        <f>1-_xlfn.BINOM.DIST(AV192-1,35,AV193,TRUE)</f>
        <v>0.50995711677064492</v>
      </c>
      <c r="AW195" s="96"/>
      <c r="AX195" s="96"/>
      <c r="AY195" s="96"/>
      <c r="AZ195" s="96"/>
      <c r="BA195" s="96"/>
      <c r="BB195" s="96"/>
      <c r="BC195" s="96"/>
    </row>
    <row r="196" spans="1:55" ht="15.75" customHeight="1" x14ac:dyDescent="0.2">
      <c r="A196" s="73"/>
      <c r="B196" s="73"/>
      <c r="C196" s="73"/>
      <c r="D196" s="73"/>
      <c r="E196" s="301"/>
      <c r="F196" s="18" t="s">
        <v>13</v>
      </c>
      <c r="G196" s="18">
        <v>1891</v>
      </c>
      <c r="H196" s="54" t="s">
        <v>14</v>
      </c>
      <c r="I196" s="155">
        <v>0</v>
      </c>
      <c r="J196" s="156">
        <v>3</v>
      </c>
      <c r="K196" s="155">
        <v>3</v>
      </c>
      <c r="L196" s="156">
        <v>4</v>
      </c>
      <c r="M196" s="155">
        <v>2</v>
      </c>
      <c r="N196" s="156">
        <v>2</v>
      </c>
      <c r="O196" s="155">
        <v>2</v>
      </c>
      <c r="P196" s="156">
        <v>4</v>
      </c>
      <c r="Q196" s="155">
        <v>4</v>
      </c>
      <c r="R196" s="156">
        <v>4</v>
      </c>
      <c r="T196" s="300" t="s">
        <v>8</v>
      </c>
      <c r="U196" s="18" t="s">
        <v>9</v>
      </c>
      <c r="V196" s="6">
        <v>0</v>
      </c>
      <c r="W196" s="6">
        <v>0</v>
      </c>
      <c r="X196" s="6">
        <v>1</v>
      </c>
      <c r="Y196" s="6">
        <v>0</v>
      </c>
      <c r="Z196" s="6">
        <v>1</v>
      </c>
      <c r="AE196" s="6" t="s">
        <v>267</v>
      </c>
      <c r="AF196" s="6">
        <v>5</v>
      </c>
      <c r="AL196" s="6" t="s">
        <v>268</v>
      </c>
      <c r="AU196" s="96"/>
      <c r="AV196" s="96"/>
      <c r="AW196" s="96"/>
      <c r="AX196" s="96"/>
      <c r="AY196" s="96"/>
      <c r="AZ196" s="96"/>
      <c r="BA196" s="96"/>
      <c r="BB196" s="96"/>
      <c r="BC196" s="96"/>
    </row>
    <row r="197" spans="1:55" ht="15.75" customHeight="1" x14ac:dyDescent="0.2">
      <c r="A197" s="73"/>
      <c r="B197" s="73"/>
      <c r="C197" s="73"/>
      <c r="D197" s="73"/>
      <c r="E197" s="301"/>
      <c r="F197" s="18" t="s">
        <v>15</v>
      </c>
      <c r="G197" s="18">
        <v>1954</v>
      </c>
      <c r="H197" s="54" t="s">
        <v>16</v>
      </c>
      <c r="I197" s="155">
        <v>1</v>
      </c>
      <c r="J197" s="156">
        <v>4</v>
      </c>
      <c r="K197" s="155">
        <v>1</v>
      </c>
      <c r="L197" s="156">
        <v>3</v>
      </c>
      <c r="M197" s="155">
        <v>0</v>
      </c>
      <c r="N197" s="156">
        <v>3</v>
      </c>
      <c r="O197" s="155">
        <v>3</v>
      </c>
      <c r="P197" s="156">
        <v>4</v>
      </c>
      <c r="Q197" s="155">
        <v>4</v>
      </c>
      <c r="R197" s="156">
        <v>4</v>
      </c>
      <c r="T197" s="301"/>
      <c r="U197" s="18" t="s">
        <v>11</v>
      </c>
      <c r="V197" s="6">
        <v>1</v>
      </c>
      <c r="W197" s="6">
        <v>0</v>
      </c>
      <c r="X197" s="6">
        <v>0</v>
      </c>
      <c r="Y197" s="6">
        <v>1</v>
      </c>
      <c r="Z197" s="6">
        <v>1</v>
      </c>
      <c r="AS197" s="6">
        <f>5-3.09</f>
        <v>1.9100000000000001</v>
      </c>
      <c r="AU197" s="96"/>
      <c r="AV197" s="96"/>
      <c r="AW197" s="96"/>
      <c r="AX197" s="96"/>
      <c r="AY197" s="96"/>
      <c r="AZ197" s="96"/>
      <c r="BA197" s="96"/>
      <c r="BB197" s="96"/>
      <c r="BC197" s="96"/>
    </row>
    <row r="198" spans="1:55" ht="15.75" customHeight="1" x14ac:dyDescent="0.2">
      <c r="A198" s="73"/>
      <c r="B198" s="73"/>
      <c r="C198" s="73"/>
      <c r="D198" s="73"/>
      <c r="E198" s="301"/>
      <c r="F198" s="18" t="s">
        <v>17</v>
      </c>
      <c r="G198" s="18">
        <v>1960</v>
      </c>
      <c r="H198" s="54" t="s">
        <v>18</v>
      </c>
      <c r="I198" s="155">
        <v>0</v>
      </c>
      <c r="J198" s="156">
        <v>3</v>
      </c>
      <c r="K198" s="155">
        <v>1</v>
      </c>
      <c r="L198" s="156">
        <v>2</v>
      </c>
      <c r="M198" s="155">
        <v>0</v>
      </c>
      <c r="N198" s="156">
        <v>2</v>
      </c>
      <c r="O198" s="155">
        <v>3</v>
      </c>
      <c r="P198" s="156">
        <v>2</v>
      </c>
      <c r="Q198" s="155">
        <v>4</v>
      </c>
      <c r="R198" s="156">
        <v>3</v>
      </c>
      <c r="T198" s="301"/>
      <c r="U198" s="18" t="s">
        <v>13</v>
      </c>
      <c r="V198" s="6">
        <v>0</v>
      </c>
      <c r="W198" s="6">
        <v>1</v>
      </c>
      <c r="X198" s="6">
        <v>0</v>
      </c>
      <c r="Y198" s="6">
        <v>1</v>
      </c>
      <c r="Z198" s="6">
        <v>1</v>
      </c>
      <c r="AF198" s="6">
        <f>SUM(AF192:AF196)</f>
        <v>35</v>
      </c>
      <c r="AS198" s="6">
        <f>3.09*2</f>
        <v>6.18</v>
      </c>
      <c r="AU198" s="96"/>
      <c r="AV198" s="96"/>
      <c r="AW198" s="96"/>
      <c r="AX198" s="96"/>
      <c r="AY198" s="96"/>
      <c r="AZ198" s="96"/>
      <c r="BA198" s="96"/>
      <c r="BB198" s="96"/>
      <c r="BC198" s="96"/>
    </row>
    <row r="199" spans="1:55" ht="15.75" customHeight="1" x14ac:dyDescent="0.2">
      <c r="A199" s="73"/>
      <c r="B199" s="73"/>
      <c r="C199" s="73"/>
      <c r="D199" s="73"/>
      <c r="E199" s="312" t="s">
        <v>19</v>
      </c>
      <c r="F199" s="39" t="s">
        <v>20</v>
      </c>
      <c r="G199" s="39">
        <v>1970</v>
      </c>
      <c r="H199" s="108" t="s">
        <v>21</v>
      </c>
      <c r="I199" s="155">
        <v>2</v>
      </c>
      <c r="J199" s="156">
        <v>3</v>
      </c>
      <c r="K199" s="155">
        <v>0</v>
      </c>
      <c r="L199" s="156">
        <v>1</v>
      </c>
      <c r="M199" s="155">
        <v>1</v>
      </c>
      <c r="N199" s="156">
        <v>2</v>
      </c>
      <c r="O199" s="155">
        <v>4</v>
      </c>
      <c r="P199" s="156">
        <v>3</v>
      </c>
      <c r="Q199" s="155">
        <v>0</v>
      </c>
      <c r="R199" s="156">
        <v>3</v>
      </c>
      <c r="T199" s="301"/>
      <c r="U199" s="18" t="s">
        <v>15</v>
      </c>
      <c r="V199" s="6">
        <v>1</v>
      </c>
      <c r="W199" s="6">
        <v>0</v>
      </c>
      <c r="X199" s="6">
        <v>0</v>
      </c>
      <c r="Y199" s="6">
        <v>1</v>
      </c>
      <c r="Z199" s="6">
        <v>1</v>
      </c>
      <c r="AS199" s="6">
        <f>10-AS198</f>
        <v>3.8200000000000003</v>
      </c>
      <c r="AU199" s="96"/>
      <c r="AV199" s="96"/>
      <c r="AW199" s="96"/>
      <c r="AX199" s="96"/>
      <c r="AY199" s="96"/>
      <c r="AZ199" s="96"/>
      <c r="BA199" s="96"/>
      <c r="BB199" s="96"/>
      <c r="BC199" s="96"/>
    </row>
    <row r="200" spans="1:55" ht="15.75" customHeight="1" x14ac:dyDescent="0.2">
      <c r="A200" s="73"/>
      <c r="B200" s="73"/>
      <c r="C200" s="73"/>
      <c r="D200" s="73"/>
      <c r="E200" s="301"/>
      <c r="F200" s="39" t="s">
        <v>22</v>
      </c>
      <c r="G200" s="39">
        <v>1950</v>
      </c>
      <c r="H200" s="108" t="s">
        <v>23</v>
      </c>
      <c r="I200" s="155">
        <v>3</v>
      </c>
      <c r="J200" s="156">
        <v>4</v>
      </c>
      <c r="K200" s="155">
        <v>3</v>
      </c>
      <c r="L200" s="156">
        <v>4</v>
      </c>
      <c r="M200" s="155">
        <v>2</v>
      </c>
      <c r="N200" s="156">
        <v>4</v>
      </c>
      <c r="O200" s="155">
        <v>1</v>
      </c>
      <c r="P200" s="156">
        <v>4</v>
      </c>
      <c r="Q200" s="155">
        <v>1</v>
      </c>
      <c r="R200" s="156">
        <v>4</v>
      </c>
      <c r="T200" s="301"/>
      <c r="U200" s="18" t="s">
        <v>17</v>
      </c>
      <c r="V200" s="6">
        <v>1</v>
      </c>
      <c r="W200" s="6">
        <v>0</v>
      </c>
      <c r="X200" s="6">
        <v>0</v>
      </c>
      <c r="Y200" s="6">
        <v>0</v>
      </c>
      <c r="Z200" s="6">
        <v>1</v>
      </c>
      <c r="AS200" s="6">
        <f>AS199/2</f>
        <v>1.9100000000000001</v>
      </c>
      <c r="AU200" s="96"/>
      <c r="AV200" s="96"/>
      <c r="AW200" s="96"/>
      <c r="AX200" s="96"/>
      <c r="AY200" s="96"/>
      <c r="AZ200" s="96"/>
      <c r="BA200" s="96"/>
      <c r="BB200" s="96"/>
      <c r="BC200" s="96"/>
    </row>
    <row r="201" spans="1:55" ht="15.75" customHeight="1" x14ac:dyDescent="0.2">
      <c r="A201" s="73"/>
      <c r="B201" s="73"/>
      <c r="C201" s="73"/>
      <c r="D201" s="73"/>
      <c r="E201" s="301"/>
      <c r="F201" s="39" t="s">
        <v>24</v>
      </c>
      <c r="G201" s="39">
        <v>1949</v>
      </c>
      <c r="H201" s="108" t="s">
        <v>25</v>
      </c>
      <c r="I201" s="155">
        <v>2</v>
      </c>
      <c r="J201" s="156">
        <v>4</v>
      </c>
      <c r="K201" s="155">
        <v>1</v>
      </c>
      <c r="L201" s="156">
        <v>3</v>
      </c>
      <c r="M201" s="155">
        <v>0</v>
      </c>
      <c r="N201" s="156">
        <v>4</v>
      </c>
      <c r="O201" s="155">
        <v>2</v>
      </c>
      <c r="P201" s="156">
        <v>4</v>
      </c>
      <c r="Q201" s="155">
        <v>0</v>
      </c>
      <c r="R201" s="156">
        <v>4</v>
      </c>
      <c r="T201" s="300" t="s">
        <v>19</v>
      </c>
      <c r="U201" s="39" t="s">
        <v>20</v>
      </c>
      <c r="V201" s="6">
        <v>1</v>
      </c>
      <c r="W201" s="6">
        <v>0</v>
      </c>
      <c r="X201" s="6">
        <v>0</v>
      </c>
      <c r="Y201" s="6">
        <v>1</v>
      </c>
      <c r="Z201" s="6">
        <v>1</v>
      </c>
      <c r="AU201" s="96"/>
      <c r="AV201" s="96"/>
      <c r="AW201" s="96"/>
      <c r="AX201" s="96"/>
      <c r="AY201" s="96"/>
      <c r="AZ201" s="96"/>
      <c r="BA201" s="96"/>
      <c r="BB201" s="96"/>
      <c r="BC201" s="96"/>
    </row>
    <row r="202" spans="1:55" ht="15.75" customHeight="1" x14ac:dyDescent="0.2">
      <c r="A202" s="73"/>
      <c r="B202" s="73"/>
      <c r="C202" s="73"/>
      <c r="D202" s="73"/>
      <c r="E202" s="301"/>
      <c r="F202" s="39" t="s">
        <v>26</v>
      </c>
      <c r="G202" s="39">
        <v>1957</v>
      </c>
      <c r="H202" s="108" t="s">
        <v>23</v>
      </c>
      <c r="I202" s="155">
        <v>1</v>
      </c>
      <c r="J202" s="156">
        <v>4</v>
      </c>
      <c r="K202" s="155">
        <v>0</v>
      </c>
      <c r="L202" s="156">
        <v>3</v>
      </c>
      <c r="M202" s="155">
        <v>1</v>
      </c>
      <c r="N202" s="156">
        <v>3</v>
      </c>
      <c r="O202" s="155">
        <v>3</v>
      </c>
      <c r="P202" s="156">
        <v>4</v>
      </c>
      <c r="Q202" s="155">
        <v>0</v>
      </c>
      <c r="R202" s="156">
        <v>3</v>
      </c>
      <c r="T202" s="301"/>
      <c r="U202" s="39" t="s">
        <v>22</v>
      </c>
      <c r="V202" s="6">
        <v>1</v>
      </c>
      <c r="W202" s="6">
        <v>1</v>
      </c>
      <c r="X202" s="6">
        <v>1</v>
      </c>
      <c r="Y202" s="6">
        <v>1</v>
      </c>
      <c r="Z202" s="6">
        <v>1</v>
      </c>
      <c r="AU202" s="96"/>
      <c r="AV202" s="96"/>
      <c r="AW202" s="96"/>
      <c r="AX202" s="96"/>
      <c r="AY202" s="96"/>
      <c r="AZ202" s="96"/>
      <c r="BA202" s="96"/>
      <c r="BB202" s="96"/>
      <c r="BC202" s="96"/>
    </row>
    <row r="203" spans="1:55" ht="15.75" customHeight="1" x14ac:dyDescent="0.2">
      <c r="A203" s="73"/>
      <c r="B203" s="73"/>
      <c r="C203" s="73"/>
      <c r="D203" s="73"/>
      <c r="E203" s="301"/>
      <c r="F203" s="39" t="s">
        <v>27</v>
      </c>
      <c r="G203" s="39">
        <v>1980</v>
      </c>
      <c r="H203" s="108" t="s">
        <v>28</v>
      </c>
      <c r="I203" s="155">
        <v>1</v>
      </c>
      <c r="J203" s="156">
        <v>4</v>
      </c>
      <c r="K203" s="155">
        <v>3</v>
      </c>
      <c r="L203" s="156">
        <v>3</v>
      </c>
      <c r="M203" s="155">
        <v>0</v>
      </c>
      <c r="N203" s="156">
        <v>3</v>
      </c>
      <c r="O203" s="155">
        <v>3</v>
      </c>
      <c r="P203" s="156">
        <v>4</v>
      </c>
      <c r="Q203" s="155">
        <v>1</v>
      </c>
      <c r="R203" s="156">
        <v>4</v>
      </c>
      <c r="T203" s="301"/>
      <c r="U203" s="39" t="s">
        <v>24</v>
      </c>
      <c r="V203" s="6">
        <v>1</v>
      </c>
      <c r="W203" s="6">
        <v>0</v>
      </c>
      <c r="X203" s="6">
        <v>1</v>
      </c>
      <c r="Y203" s="6">
        <v>1</v>
      </c>
      <c r="Z203" s="6">
        <v>1</v>
      </c>
      <c r="AU203" s="96"/>
      <c r="AV203" s="96"/>
      <c r="AW203" s="96"/>
      <c r="AX203" s="96"/>
      <c r="AY203" s="96"/>
      <c r="AZ203" s="96"/>
      <c r="BA203" s="96"/>
      <c r="BB203" s="96"/>
      <c r="BC203" s="96"/>
    </row>
    <row r="204" spans="1:55" ht="15.75" customHeight="1" x14ac:dyDescent="0.2">
      <c r="A204" s="73"/>
      <c r="B204" s="73"/>
      <c r="C204" s="73"/>
      <c r="D204" s="73"/>
      <c r="E204" s="312" t="s">
        <v>29</v>
      </c>
      <c r="F204" s="28" t="s">
        <v>30</v>
      </c>
      <c r="G204" s="28">
        <v>2012</v>
      </c>
      <c r="H204" s="57" t="s">
        <v>31</v>
      </c>
      <c r="I204" s="155">
        <v>1</v>
      </c>
      <c r="J204" s="156">
        <v>4</v>
      </c>
      <c r="K204" s="155">
        <v>0</v>
      </c>
      <c r="L204" s="156">
        <v>4</v>
      </c>
      <c r="M204" s="155">
        <v>4</v>
      </c>
      <c r="N204" s="156">
        <v>4</v>
      </c>
      <c r="O204" s="155">
        <v>3</v>
      </c>
      <c r="P204" s="156">
        <v>3</v>
      </c>
      <c r="Q204" s="155">
        <v>1</v>
      </c>
      <c r="R204" s="156">
        <v>4</v>
      </c>
      <c r="T204" s="301"/>
      <c r="U204" s="39" t="s">
        <v>26</v>
      </c>
      <c r="V204" s="6">
        <v>1</v>
      </c>
      <c r="W204" s="6">
        <v>0</v>
      </c>
      <c r="X204" s="6">
        <v>0</v>
      </c>
      <c r="Y204" s="6">
        <v>1</v>
      </c>
      <c r="Z204" s="6">
        <v>0</v>
      </c>
      <c r="AU204" s="96"/>
      <c r="AV204" s="96"/>
      <c r="AW204" s="96"/>
      <c r="AX204" s="96"/>
      <c r="AY204" s="96"/>
      <c r="AZ204" s="96"/>
      <c r="BA204" s="96"/>
      <c r="BB204" s="96"/>
      <c r="BC204" s="96"/>
    </row>
    <row r="205" spans="1:55" ht="15.75" customHeight="1" x14ac:dyDescent="0.2">
      <c r="A205" s="73"/>
      <c r="B205" s="73"/>
      <c r="C205" s="73"/>
      <c r="D205" s="73"/>
      <c r="E205" s="301"/>
      <c r="F205" s="28" t="s">
        <v>32</v>
      </c>
      <c r="G205" s="28">
        <v>2012</v>
      </c>
      <c r="H205" s="57" t="s">
        <v>33</v>
      </c>
      <c r="I205" s="155">
        <v>0</v>
      </c>
      <c r="J205" s="156">
        <v>4</v>
      </c>
      <c r="K205" s="155">
        <v>0</v>
      </c>
      <c r="L205" s="156">
        <v>4</v>
      </c>
      <c r="M205" s="155">
        <v>3</v>
      </c>
      <c r="N205" s="156">
        <v>2</v>
      </c>
      <c r="O205" s="155">
        <v>0</v>
      </c>
      <c r="P205" s="156">
        <v>2</v>
      </c>
      <c r="Q205" s="155">
        <v>2</v>
      </c>
      <c r="R205" s="156">
        <v>4</v>
      </c>
      <c r="T205" s="301"/>
      <c r="U205" s="39" t="s">
        <v>27</v>
      </c>
      <c r="V205" s="6">
        <v>1</v>
      </c>
      <c r="W205" s="6">
        <v>0</v>
      </c>
      <c r="X205" s="6">
        <v>0</v>
      </c>
      <c r="Y205" s="6">
        <v>1</v>
      </c>
      <c r="Z205" s="6">
        <v>1</v>
      </c>
      <c r="AU205" s="96"/>
      <c r="AV205" s="96"/>
      <c r="AW205" s="96"/>
      <c r="AX205" s="96"/>
      <c r="AY205" s="96"/>
      <c r="AZ205" s="96"/>
      <c r="BA205" s="96"/>
      <c r="BB205" s="96"/>
      <c r="BC205" s="96"/>
    </row>
    <row r="206" spans="1:55" ht="15.75" customHeight="1" x14ac:dyDescent="0.2">
      <c r="A206" s="73"/>
      <c r="B206" s="73"/>
      <c r="C206" s="73"/>
      <c r="D206" s="73"/>
      <c r="E206" s="301"/>
      <c r="F206" s="28" t="s">
        <v>34</v>
      </c>
      <c r="G206" s="28">
        <v>2012</v>
      </c>
      <c r="H206" s="57" t="s">
        <v>35</v>
      </c>
      <c r="I206" s="155">
        <v>1</v>
      </c>
      <c r="J206" s="156">
        <v>3</v>
      </c>
      <c r="K206" s="155">
        <v>3</v>
      </c>
      <c r="L206" s="156">
        <v>2</v>
      </c>
      <c r="M206" s="155">
        <v>2</v>
      </c>
      <c r="N206" s="156">
        <v>4</v>
      </c>
      <c r="O206" s="155">
        <v>1</v>
      </c>
      <c r="P206" s="156">
        <v>3</v>
      </c>
      <c r="Q206" s="155">
        <v>2</v>
      </c>
      <c r="R206" s="156">
        <v>4</v>
      </c>
      <c r="T206" s="300" t="s">
        <v>29</v>
      </c>
      <c r="U206" s="28" t="s">
        <v>30</v>
      </c>
      <c r="V206" s="6">
        <v>1</v>
      </c>
      <c r="W206" s="6">
        <v>1</v>
      </c>
      <c r="X206" s="6">
        <v>1</v>
      </c>
      <c r="Y206" s="6">
        <v>0</v>
      </c>
      <c r="Z206" s="6">
        <v>1</v>
      </c>
      <c r="AU206" s="96"/>
      <c r="AV206" s="96"/>
      <c r="AW206" s="96"/>
      <c r="AX206" s="96"/>
      <c r="AY206" s="96"/>
      <c r="AZ206" s="96"/>
      <c r="BA206" s="96"/>
      <c r="BB206" s="96"/>
      <c r="BC206" s="96"/>
    </row>
    <row r="207" spans="1:55" ht="15.75" customHeight="1" x14ac:dyDescent="0.2">
      <c r="A207" s="73"/>
      <c r="B207" s="73"/>
      <c r="C207" s="73"/>
      <c r="D207" s="73"/>
      <c r="E207" s="301"/>
      <c r="F207" s="28" t="s">
        <v>36</v>
      </c>
      <c r="G207" s="28">
        <v>2012</v>
      </c>
      <c r="H207" s="57" t="s">
        <v>37</v>
      </c>
      <c r="I207" s="155">
        <v>1</v>
      </c>
      <c r="J207" s="156">
        <v>4</v>
      </c>
      <c r="K207" s="155">
        <v>0</v>
      </c>
      <c r="L207" s="156">
        <v>4</v>
      </c>
      <c r="M207" s="155">
        <v>3</v>
      </c>
      <c r="N207" s="156">
        <v>4</v>
      </c>
      <c r="O207" s="155">
        <v>1</v>
      </c>
      <c r="P207" s="156">
        <v>3</v>
      </c>
      <c r="Q207" s="155">
        <v>1</v>
      </c>
      <c r="R207" s="156">
        <v>4</v>
      </c>
      <c r="T207" s="301"/>
      <c r="U207" s="28" t="s">
        <v>32</v>
      </c>
      <c r="V207" s="6">
        <v>1</v>
      </c>
      <c r="W207" s="6">
        <v>1</v>
      </c>
      <c r="X207" s="6">
        <v>0</v>
      </c>
      <c r="Y207" s="6">
        <v>0</v>
      </c>
      <c r="Z207" s="6">
        <v>1</v>
      </c>
      <c r="AU207" s="96"/>
      <c r="AV207" s="96"/>
      <c r="AW207" s="96"/>
      <c r="AX207" s="96"/>
      <c r="AY207" s="96"/>
      <c r="AZ207" s="96"/>
      <c r="BA207" s="96"/>
      <c r="BB207" s="96"/>
      <c r="BC207" s="96"/>
    </row>
    <row r="208" spans="1:55" ht="15.75" customHeight="1" x14ac:dyDescent="0.2">
      <c r="A208" s="73"/>
      <c r="B208" s="73"/>
      <c r="C208" s="73"/>
      <c r="D208" s="73"/>
      <c r="E208" s="301"/>
      <c r="F208" s="112" t="s">
        <v>38</v>
      </c>
      <c r="G208" s="28">
        <v>2018</v>
      </c>
      <c r="H208" s="57" t="s">
        <v>39</v>
      </c>
      <c r="I208" s="155">
        <v>1</v>
      </c>
      <c r="J208" s="156">
        <v>4</v>
      </c>
      <c r="K208" s="155">
        <v>2</v>
      </c>
      <c r="L208" s="156">
        <v>3</v>
      </c>
      <c r="M208" s="155">
        <v>4</v>
      </c>
      <c r="N208" s="156">
        <v>3</v>
      </c>
      <c r="O208" s="155">
        <v>1</v>
      </c>
      <c r="P208" s="156">
        <v>4</v>
      </c>
      <c r="Q208" s="155">
        <v>1</v>
      </c>
      <c r="R208" s="156">
        <v>4</v>
      </c>
      <c r="T208" s="301"/>
      <c r="U208" s="28" t="s">
        <v>34</v>
      </c>
      <c r="V208" s="6">
        <v>0</v>
      </c>
      <c r="W208" s="6">
        <v>0</v>
      </c>
      <c r="X208" s="6">
        <v>1</v>
      </c>
      <c r="Y208" s="6">
        <v>0</v>
      </c>
      <c r="Z208" s="6">
        <v>1</v>
      </c>
      <c r="AU208" s="96"/>
      <c r="AV208" s="96"/>
      <c r="AW208" s="96"/>
      <c r="AX208" s="96"/>
      <c r="AY208" s="96"/>
      <c r="AZ208" s="96"/>
      <c r="BA208" s="96"/>
      <c r="BB208" s="96"/>
      <c r="BC208" s="96"/>
    </row>
    <row r="209" spans="1:55" ht="15.75" customHeight="1" x14ac:dyDescent="0.2">
      <c r="A209" s="73"/>
      <c r="B209" s="73"/>
      <c r="C209" s="73"/>
      <c r="D209" s="73"/>
      <c r="E209" s="312" t="s">
        <v>40</v>
      </c>
      <c r="F209" s="31" t="s">
        <v>41</v>
      </c>
      <c r="G209" s="31">
        <v>1898</v>
      </c>
      <c r="H209" s="59" t="s">
        <v>42</v>
      </c>
      <c r="I209" s="155">
        <v>0</v>
      </c>
      <c r="J209" s="156">
        <v>3</v>
      </c>
      <c r="K209" s="155">
        <v>4</v>
      </c>
      <c r="L209" s="156">
        <v>3</v>
      </c>
      <c r="M209" s="155">
        <v>0</v>
      </c>
      <c r="N209" s="156">
        <v>2</v>
      </c>
      <c r="O209" s="155">
        <v>0</v>
      </c>
      <c r="P209" s="156">
        <v>3</v>
      </c>
      <c r="Q209" s="155">
        <v>4</v>
      </c>
      <c r="R209" s="156">
        <v>4</v>
      </c>
      <c r="T209" s="301"/>
      <c r="U209" s="28" t="s">
        <v>36</v>
      </c>
      <c r="V209" s="6">
        <v>1</v>
      </c>
      <c r="W209" s="6">
        <v>1</v>
      </c>
      <c r="X209" s="6">
        <v>1</v>
      </c>
      <c r="Y209" s="6">
        <v>0</v>
      </c>
      <c r="Z209" s="6">
        <v>1</v>
      </c>
      <c r="AU209" s="96"/>
      <c r="AV209" s="96"/>
      <c r="AW209" s="96"/>
      <c r="AX209" s="96"/>
      <c r="AY209" s="96"/>
      <c r="AZ209" s="96"/>
      <c r="BA209" s="96"/>
      <c r="BB209" s="96"/>
      <c r="BC209" s="96"/>
    </row>
    <row r="210" spans="1:55" ht="15.75" customHeight="1" x14ac:dyDescent="0.2">
      <c r="A210" s="73"/>
      <c r="B210" s="73"/>
      <c r="C210" s="73"/>
      <c r="D210" s="73"/>
      <c r="E210" s="301"/>
      <c r="F210" s="31" t="s">
        <v>43</v>
      </c>
      <c r="G210" s="31">
        <v>2016</v>
      </c>
      <c r="H210" s="59" t="s">
        <v>44</v>
      </c>
      <c r="I210" s="155">
        <v>1</v>
      </c>
      <c r="J210" s="156">
        <v>3</v>
      </c>
      <c r="K210" s="155">
        <v>4</v>
      </c>
      <c r="L210" s="156">
        <v>4</v>
      </c>
      <c r="M210" s="155">
        <v>1</v>
      </c>
      <c r="N210" s="156">
        <v>4</v>
      </c>
      <c r="O210" s="155">
        <v>1</v>
      </c>
      <c r="P210" s="156">
        <v>3</v>
      </c>
      <c r="Q210" s="155">
        <v>3</v>
      </c>
      <c r="R210" s="156">
        <v>4</v>
      </c>
      <c r="T210" s="301"/>
      <c r="U210" s="28" t="s">
        <v>38</v>
      </c>
      <c r="V210" s="6">
        <v>1</v>
      </c>
      <c r="W210" s="6">
        <v>0</v>
      </c>
      <c r="X210" s="6">
        <v>0</v>
      </c>
      <c r="Y210" s="6">
        <v>1</v>
      </c>
      <c r="Z210" s="6">
        <v>1</v>
      </c>
      <c r="AU210" s="96"/>
      <c r="AV210" s="96"/>
      <c r="AW210" s="96"/>
      <c r="AX210" s="96"/>
      <c r="AY210" s="96"/>
      <c r="AZ210" s="96"/>
      <c r="BA210" s="96"/>
      <c r="BB210" s="96"/>
      <c r="BC210" s="96"/>
    </row>
    <row r="211" spans="1:55" ht="15.75" customHeight="1" x14ac:dyDescent="0.2">
      <c r="A211" s="73"/>
      <c r="B211" s="73"/>
      <c r="C211" s="73"/>
      <c r="D211" s="73"/>
      <c r="E211" s="301"/>
      <c r="F211" s="31" t="s">
        <v>45</v>
      </c>
      <c r="G211" s="31">
        <v>1896</v>
      </c>
      <c r="H211" s="59" t="s">
        <v>46</v>
      </c>
      <c r="I211" s="155">
        <v>1</v>
      </c>
      <c r="J211" s="156">
        <v>3</v>
      </c>
      <c r="K211" s="155">
        <v>3</v>
      </c>
      <c r="L211" s="156">
        <v>3</v>
      </c>
      <c r="M211" s="155">
        <v>1</v>
      </c>
      <c r="N211" s="156">
        <v>2</v>
      </c>
      <c r="O211" s="155">
        <v>0</v>
      </c>
      <c r="P211" s="156">
        <v>3</v>
      </c>
      <c r="Q211" s="155">
        <v>1</v>
      </c>
      <c r="R211" s="156">
        <v>4</v>
      </c>
      <c r="T211" s="300" t="s">
        <v>40</v>
      </c>
      <c r="U211" s="31" t="s">
        <v>41</v>
      </c>
      <c r="V211" s="6">
        <v>1</v>
      </c>
      <c r="W211" s="6">
        <v>1</v>
      </c>
      <c r="X211" s="6">
        <v>0</v>
      </c>
      <c r="Y211" s="6">
        <v>1</v>
      </c>
      <c r="Z211" s="6">
        <v>1</v>
      </c>
      <c r="AU211" s="96"/>
      <c r="AV211" s="96"/>
      <c r="AW211" s="96"/>
      <c r="AX211" s="96"/>
      <c r="AY211" s="96"/>
      <c r="AZ211" s="96"/>
      <c r="BA211" s="96"/>
      <c r="BB211" s="96"/>
      <c r="BC211" s="96"/>
    </row>
    <row r="212" spans="1:55" ht="15.75" customHeight="1" x14ac:dyDescent="0.2">
      <c r="A212" s="73"/>
      <c r="B212" s="73"/>
      <c r="C212" s="73"/>
      <c r="D212" s="73"/>
      <c r="E212" s="301"/>
      <c r="F212" s="31" t="s">
        <v>47</v>
      </c>
      <c r="G212" s="31">
        <v>2003</v>
      </c>
      <c r="H212" s="59" t="s">
        <v>48</v>
      </c>
      <c r="I212" s="155">
        <v>1</v>
      </c>
      <c r="J212" s="156">
        <v>3</v>
      </c>
      <c r="K212" s="155">
        <v>4</v>
      </c>
      <c r="L212" s="156">
        <v>4</v>
      </c>
      <c r="M212" s="155">
        <v>1</v>
      </c>
      <c r="N212" s="156">
        <v>3</v>
      </c>
      <c r="O212" s="155">
        <v>0</v>
      </c>
      <c r="P212" s="156">
        <v>3</v>
      </c>
      <c r="Q212" s="155">
        <v>1</v>
      </c>
      <c r="R212" s="156">
        <v>4</v>
      </c>
      <c r="T212" s="301"/>
      <c r="U212" s="31" t="s">
        <v>43</v>
      </c>
      <c r="V212" s="6">
        <v>0</v>
      </c>
      <c r="W212" s="6">
        <v>1</v>
      </c>
      <c r="X212" s="6">
        <v>1</v>
      </c>
      <c r="Y212" s="6">
        <v>0</v>
      </c>
      <c r="Z212" s="6">
        <v>1</v>
      </c>
      <c r="AU212" s="96"/>
      <c r="AV212" s="96"/>
      <c r="AW212" s="96"/>
      <c r="AX212" s="96"/>
      <c r="AY212" s="96"/>
      <c r="AZ212" s="96"/>
      <c r="BA212" s="96"/>
      <c r="BB212" s="96"/>
      <c r="BC212" s="96"/>
    </row>
    <row r="213" spans="1:55" ht="15.75" customHeight="1" x14ac:dyDescent="0.2">
      <c r="A213" s="73"/>
      <c r="B213" s="73"/>
      <c r="C213" s="73"/>
      <c r="D213" s="73"/>
      <c r="E213" s="301"/>
      <c r="F213" s="31" t="s">
        <v>49</v>
      </c>
      <c r="G213" s="31">
        <v>2016</v>
      </c>
      <c r="H213" s="59" t="s">
        <v>50</v>
      </c>
      <c r="I213" s="155">
        <v>0</v>
      </c>
      <c r="J213" s="156">
        <v>3</v>
      </c>
      <c r="K213" s="155">
        <v>4</v>
      </c>
      <c r="L213" s="156">
        <v>4</v>
      </c>
      <c r="M213" s="155">
        <v>0</v>
      </c>
      <c r="N213" s="156">
        <v>2</v>
      </c>
      <c r="O213" s="155">
        <v>1</v>
      </c>
      <c r="P213" s="156">
        <v>3</v>
      </c>
      <c r="Q213" s="155">
        <v>4</v>
      </c>
      <c r="R213" s="156">
        <v>4</v>
      </c>
      <c r="T213" s="301"/>
      <c r="U213" s="31" t="s">
        <v>45</v>
      </c>
      <c r="V213" s="6">
        <v>1</v>
      </c>
      <c r="W213" s="6">
        <v>1</v>
      </c>
      <c r="X213" s="6">
        <v>0</v>
      </c>
      <c r="Y213" s="6">
        <v>1</v>
      </c>
      <c r="Z213" s="6">
        <v>1</v>
      </c>
      <c r="AU213" s="96"/>
      <c r="AV213" s="96"/>
      <c r="AW213" s="96"/>
      <c r="AX213" s="96"/>
      <c r="AY213" s="96"/>
      <c r="AZ213" s="96"/>
      <c r="BA213" s="96"/>
      <c r="BB213" s="96"/>
      <c r="BC213" s="96"/>
    </row>
    <row r="214" spans="1:55" ht="15.75" customHeight="1" x14ac:dyDescent="0.2">
      <c r="A214" s="73"/>
      <c r="B214" s="73"/>
      <c r="C214" s="73"/>
      <c r="D214" s="73"/>
      <c r="E214" s="312" t="s">
        <v>51</v>
      </c>
      <c r="F214" s="34" t="s">
        <v>52</v>
      </c>
      <c r="G214" s="34">
        <v>1887</v>
      </c>
      <c r="H214" s="61" t="s">
        <v>14</v>
      </c>
      <c r="I214" s="155">
        <v>3</v>
      </c>
      <c r="J214" s="156">
        <v>4</v>
      </c>
      <c r="K214" s="155">
        <v>3</v>
      </c>
      <c r="L214" s="156">
        <v>4</v>
      </c>
      <c r="M214" s="155">
        <v>1</v>
      </c>
      <c r="N214" s="156">
        <v>3</v>
      </c>
      <c r="O214" s="155">
        <v>1</v>
      </c>
      <c r="P214" s="156">
        <v>3</v>
      </c>
      <c r="Q214" s="155">
        <v>1</v>
      </c>
      <c r="R214" s="156">
        <v>4</v>
      </c>
      <c r="T214" s="301"/>
      <c r="U214" s="31" t="s">
        <v>47</v>
      </c>
      <c r="V214" s="6">
        <v>0</v>
      </c>
      <c r="W214" s="6">
        <v>1</v>
      </c>
      <c r="X214" s="6">
        <v>0</v>
      </c>
      <c r="Y214" s="6">
        <v>0</v>
      </c>
      <c r="Z214" s="6">
        <v>1</v>
      </c>
      <c r="AU214" s="96"/>
      <c r="AV214" s="96"/>
      <c r="AW214" s="96"/>
      <c r="AX214" s="96"/>
      <c r="AY214" s="96"/>
      <c r="AZ214" s="96"/>
      <c r="BA214" s="96"/>
      <c r="BB214" s="96"/>
      <c r="BC214" s="96"/>
    </row>
    <row r="215" spans="1:55" ht="15.75" customHeight="1" x14ac:dyDescent="0.2">
      <c r="A215" s="73"/>
      <c r="B215" s="73"/>
      <c r="C215" s="73"/>
      <c r="D215" s="73"/>
      <c r="E215" s="301"/>
      <c r="F215" s="34" t="s">
        <v>53</v>
      </c>
      <c r="G215" s="34">
        <v>1945</v>
      </c>
      <c r="H215" s="61" t="s">
        <v>54</v>
      </c>
      <c r="I215" s="155">
        <v>3</v>
      </c>
      <c r="J215" s="156">
        <v>4</v>
      </c>
      <c r="K215" s="155">
        <v>0</v>
      </c>
      <c r="L215" s="156">
        <v>1</v>
      </c>
      <c r="M215" s="155">
        <v>0</v>
      </c>
      <c r="N215" s="156">
        <v>2</v>
      </c>
      <c r="O215" s="155">
        <v>1</v>
      </c>
      <c r="P215" s="156">
        <v>2</v>
      </c>
      <c r="Q215" s="155">
        <v>1</v>
      </c>
      <c r="R215" s="156">
        <v>3</v>
      </c>
      <c r="T215" s="301"/>
      <c r="U215" s="31" t="s">
        <v>49</v>
      </c>
      <c r="V215" s="6">
        <v>0</v>
      </c>
      <c r="W215" s="6">
        <v>1</v>
      </c>
      <c r="X215" s="6">
        <v>0</v>
      </c>
      <c r="Y215" s="6">
        <v>0</v>
      </c>
      <c r="Z215" s="6">
        <v>1</v>
      </c>
      <c r="AU215" s="96"/>
      <c r="AV215" s="96"/>
      <c r="AW215" s="96"/>
      <c r="AX215" s="96"/>
      <c r="AY215" s="96"/>
      <c r="AZ215" s="96"/>
      <c r="BA215" s="96"/>
      <c r="BB215" s="96"/>
      <c r="BC215" s="96"/>
    </row>
    <row r="216" spans="1:55" ht="15.75" customHeight="1" x14ac:dyDescent="0.2">
      <c r="A216" s="73"/>
      <c r="B216" s="73"/>
      <c r="C216" s="73"/>
      <c r="D216" s="73"/>
      <c r="E216" s="301"/>
      <c r="F216" s="34" t="s">
        <v>55</v>
      </c>
      <c r="G216" s="34">
        <v>1872</v>
      </c>
      <c r="H216" s="61" t="s">
        <v>56</v>
      </c>
      <c r="I216" s="155">
        <v>2</v>
      </c>
      <c r="J216" s="156">
        <v>4</v>
      </c>
      <c r="K216" s="155">
        <v>0</v>
      </c>
      <c r="L216" s="156">
        <v>2</v>
      </c>
      <c r="M216" s="155">
        <v>3</v>
      </c>
      <c r="N216" s="156">
        <v>3</v>
      </c>
      <c r="O216" s="155">
        <v>1</v>
      </c>
      <c r="P216" s="156">
        <v>2</v>
      </c>
      <c r="Q216" s="155">
        <v>0</v>
      </c>
      <c r="R216" s="156">
        <v>3</v>
      </c>
      <c r="T216" s="300" t="s">
        <v>51</v>
      </c>
      <c r="U216" s="34" t="s">
        <v>52</v>
      </c>
      <c r="V216" s="6">
        <v>1</v>
      </c>
      <c r="W216" s="6">
        <v>1</v>
      </c>
      <c r="X216" s="6">
        <v>0</v>
      </c>
      <c r="Y216" s="6">
        <v>0</v>
      </c>
      <c r="Z216" s="6">
        <v>1</v>
      </c>
      <c r="AU216" s="96"/>
      <c r="AV216" s="96"/>
      <c r="AW216" s="96"/>
      <c r="AX216" s="96"/>
      <c r="AY216" s="96"/>
      <c r="AZ216" s="96"/>
      <c r="BA216" s="96"/>
      <c r="BB216" s="96"/>
      <c r="BC216" s="96"/>
    </row>
    <row r="217" spans="1:55" ht="15.75" customHeight="1" x14ac:dyDescent="0.2">
      <c r="A217" s="73"/>
      <c r="B217" s="73"/>
      <c r="C217" s="73"/>
      <c r="D217" s="73"/>
      <c r="E217" s="301"/>
      <c r="F217" s="34" t="s">
        <v>57</v>
      </c>
      <c r="G217" s="34">
        <v>2012</v>
      </c>
      <c r="H217" s="61" t="s">
        <v>58</v>
      </c>
      <c r="I217" s="155">
        <v>3</v>
      </c>
      <c r="J217" s="156">
        <v>3</v>
      </c>
      <c r="K217" s="155">
        <v>1</v>
      </c>
      <c r="L217" s="156">
        <v>2</v>
      </c>
      <c r="M217" s="155">
        <v>4</v>
      </c>
      <c r="N217" s="156">
        <v>2</v>
      </c>
      <c r="O217" s="155">
        <v>1</v>
      </c>
      <c r="P217" s="156">
        <v>2</v>
      </c>
      <c r="Q217" s="155">
        <v>0</v>
      </c>
      <c r="R217" s="156">
        <v>4</v>
      </c>
      <c r="T217" s="301"/>
      <c r="U217" s="34" t="s">
        <v>53</v>
      </c>
      <c r="V217" s="6">
        <v>1</v>
      </c>
      <c r="W217" s="6">
        <v>0</v>
      </c>
      <c r="X217" s="6">
        <v>0</v>
      </c>
      <c r="Y217" s="6">
        <v>0</v>
      </c>
      <c r="Z217" s="6">
        <v>1</v>
      </c>
      <c r="AU217" s="96"/>
      <c r="AV217" s="96"/>
      <c r="AW217" s="96"/>
      <c r="AX217" s="96"/>
      <c r="AY217" s="96"/>
      <c r="AZ217" s="96"/>
      <c r="BA217" s="96"/>
      <c r="BB217" s="96"/>
      <c r="BC217" s="96"/>
    </row>
    <row r="218" spans="1:55" ht="15.75" customHeight="1" x14ac:dyDescent="0.2">
      <c r="A218" s="73"/>
      <c r="B218" s="73"/>
      <c r="C218" s="73"/>
      <c r="D218" s="73"/>
      <c r="E218" s="301"/>
      <c r="F218" s="34" t="s">
        <v>59</v>
      </c>
      <c r="G218" s="34">
        <v>2010</v>
      </c>
      <c r="H218" s="61" t="s">
        <v>60</v>
      </c>
      <c r="I218" s="68">
        <v>3</v>
      </c>
      <c r="J218" s="158">
        <v>3</v>
      </c>
      <c r="K218" s="68">
        <v>3</v>
      </c>
      <c r="L218" s="158">
        <v>3</v>
      </c>
      <c r="M218" s="68">
        <v>2</v>
      </c>
      <c r="N218" s="158">
        <v>3</v>
      </c>
      <c r="O218" s="68">
        <v>1</v>
      </c>
      <c r="P218" s="158">
        <v>4</v>
      </c>
      <c r="Q218" s="68">
        <v>0</v>
      </c>
      <c r="R218" s="158">
        <v>3</v>
      </c>
      <c r="T218" s="301"/>
      <c r="U218" s="34" t="s">
        <v>55</v>
      </c>
      <c r="V218" s="6">
        <v>1</v>
      </c>
      <c r="W218" s="6">
        <v>0</v>
      </c>
      <c r="X218" s="6">
        <v>1</v>
      </c>
      <c r="Y218" s="6">
        <v>0</v>
      </c>
      <c r="Z218" s="6">
        <v>1</v>
      </c>
      <c r="AU218" s="96"/>
      <c r="AV218" s="96"/>
      <c r="AW218" s="96"/>
      <c r="AX218" s="96"/>
      <c r="AY218" s="96"/>
      <c r="AZ218" s="96"/>
      <c r="BA218" s="96"/>
      <c r="BB218" s="96"/>
      <c r="BC218" s="96"/>
    </row>
    <row r="219" spans="1:55" ht="15.75" customHeight="1" x14ac:dyDescent="0.2">
      <c r="A219" s="89"/>
      <c r="B219" s="89"/>
      <c r="C219" s="89"/>
      <c r="D219" s="89"/>
      <c r="E219" s="89"/>
      <c r="T219" s="301"/>
      <c r="U219" s="34" t="s">
        <v>57</v>
      </c>
      <c r="V219" s="6">
        <v>1</v>
      </c>
      <c r="W219" s="6">
        <v>0</v>
      </c>
      <c r="X219" s="6">
        <v>0</v>
      </c>
      <c r="Y219" s="6">
        <v>0</v>
      </c>
      <c r="Z219" s="6">
        <v>1</v>
      </c>
      <c r="AU219" s="96"/>
      <c r="AV219" s="96"/>
      <c r="AW219" s="96"/>
      <c r="AX219" s="96"/>
      <c r="AY219" s="96"/>
      <c r="AZ219" s="96"/>
      <c r="BA219" s="96"/>
      <c r="BB219" s="96"/>
      <c r="BC219" s="96"/>
    </row>
    <row r="220" spans="1:55" ht="15.75" customHeight="1" x14ac:dyDescent="0.2">
      <c r="A220" s="89"/>
      <c r="B220" s="89"/>
      <c r="C220" s="89"/>
      <c r="D220" s="89"/>
      <c r="E220" s="89"/>
      <c r="T220" s="301"/>
      <c r="U220" s="34" t="s">
        <v>59</v>
      </c>
      <c r="V220" s="6">
        <v>1</v>
      </c>
      <c r="W220" s="6">
        <v>1</v>
      </c>
      <c r="X220" s="6">
        <v>1</v>
      </c>
      <c r="Y220" s="6">
        <v>1</v>
      </c>
      <c r="Z220" s="6">
        <v>1</v>
      </c>
      <c r="AU220" s="96"/>
      <c r="AV220" s="96"/>
      <c r="AW220" s="96"/>
      <c r="AX220" s="96"/>
      <c r="AY220" s="96"/>
      <c r="AZ220" s="96"/>
      <c r="BA220" s="96"/>
      <c r="BB220" s="96"/>
      <c r="BC220" s="96"/>
    </row>
    <row r="221" spans="1:55" ht="15.75" customHeight="1" x14ac:dyDescent="0.2">
      <c r="A221" s="89"/>
      <c r="B221" s="89"/>
      <c r="C221" s="89"/>
      <c r="D221" s="89"/>
      <c r="E221" s="89"/>
      <c r="AU221" s="96"/>
      <c r="AV221" s="96"/>
      <c r="AW221" s="96"/>
      <c r="AX221" s="96"/>
      <c r="AY221" s="96"/>
      <c r="AZ221" s="96"/>
      <c r="BA221" s="96"/>
      <c r="BB221" s="96"/>
      <c r="BC221" s="96"/>
    </row>
    <row r="222" spans="1:55" ht="15.75" customHeight="1" x14ac:dyDescent="0.2">
      <c r="A222" s="89"/>
      <c r="B222" s="89"/>
      <c r="C222" s="89"/>
      <c r="D222" s="89"/>
      <c r="E222" s="89"/>
      <c r="AU222" s="96"/>
      <c r="AV222" s="96"/>
      <c r="AW222" s="96"/>
      <c r="AX222" s="96"/>
      <c r="AY222" s="96"/>
      <c r="AZ222" s="96"/>
      <c r="BA222" s="96"/>
      <c r="BB222" s="96"/>
      <c r="BC222" s="96"/>
    </row>
    <row r="223" spans="1:55" ht="15.75" customHeight="1" x14ac:dyDescent="0.2">
      <c r="A223" s="89"/>
      <c r="B223" s="89"/>
      <c r="C223" s="89"/>
      <c r="D223" s="89"/>
      <c r="E223" s="89"/>
      <c r="G223" s="1"/>
      <c r="H223" s="1" t="s">
        <v>251</v>
      </c>
      <c r="I223" s="151" t="s">
        <v>269</v>
      </c>
      <c r="J223" s="2" t="s">
        <v>3</v>
      </c>
      <c r="K223" s="159" t="s">
        <v>67</v>
      </c>
      <c r="L223" s="2" t="s">
        <v>5</v>
      </c>
      <c r="M223" s="160" t="s">
        <v>69</v>
      </c>
      <c r="N223" s="2" t="s">
        <v>7</v>
      </c>
      <c r="O223" s="159" t="s">
        <v>68</v>
      </c>
      <c r="P223" s="2" t="s">
        <v>6</v>
      </c>
      <c r="Q223" s="161" t="s">
        <v>66</v>
      </c>
      <c r="R223" s="2" t="s">
        <v>4</v>
      </c>
      <c r="S223" s="86" t="s">
        <v>129</v>
      </c>
      <c r="T223" s="85" t="s">
        <v>128</v>
      </c>
      <c r="U223" s="85" t="s">
        <v>130</v>
      </c>
      <c r="V223" s="84" t="s">
        <v>127</v>
      </c>
      <c r="W223" s="80" t="s">
        <v>131</v>
      </c>
      <c r="Y223" s="162" t="s">
        <v>144</v>
      </c>
      <c r="Z223" s="163" t="s">
        <v>146</v>
      </c>
      <c r="AA223" s="163" t="s">
        <v>148</v>
      </c>
      <c r="AB223" s="164" t="s">
        <v>147</v>
      </c>
      <c r="AC223" s="165" t="s">
        <v>145</v>
      </c>
      <c r="AU223" s="96"/>
      <c r="AV223" s="96"/>
      <c r="AW223" s="96"/>
      <c r="AX223" s="96"/>
      <c r="AY223" s="96"/>
      <c r="AZ223" s="96"/>
      <c r="BA223" s="96"/>
      <c r="BB223" s="96"/>
      <c r="BC223" s="96"/>
    </row>
    <row r="224" spans="1:55" ht="15.75" customHeight="1" x14ac:dyDescent="0.2">
      <c r="A224" s="89"/>
      <c r="B224" s="89"/>
      <c r="C224" s="89"/>
      <c r="D224" s="89"/>
      <c r="E224" s="89"/>
      <c r="G224" s="18"/>
      <c r="H224" s="18" t="s">
        <v>9</v>
      </c>
      <c r="I224" s="166">
        <v>0</v>
      </c>
      <c r="J224" s="7">
        <v>3</v>
      </c>
      <c r="K224" s="105">
        <v>0</v>
      </c>
      <c r="L224" s="7">
        <v>4</v>
      </c>
      <c r="M224" s="167">
        <v>4</v>
      </c>
      <c r="N224" s="7">
        <v>4</v>
      </c>
      <c r="O224" s="105">
        <v>0</v>
      </c>
      <c r="P224" s="7">
        <v>2</v>
      </c>
      <c r="Q224" s="168">
        <v>0</v>
      </c>
      <c r="R224" s="7">
        <v>2</v>
      </c>
      <c r="S224" s="80">
        <v>1</v>
      </c>
      <c r="T224" s="80">
        <v>4</v>
      </c>
      <c r="U224" s="80">
        <v>4</v>
      </c>
      <c r="V224" s="80">
        <v>0</v>
      </c>
      <c r="W224" s="80">
        <v>0</v>
      </c>
      <c r="Y224" s="169">
        <v>1</v>
      </c>
      <c r="Z224" s="169">
        <v>2</v>
      </c>
      <c r="AA224" s="169">
        <v>3</v>
      </c>
      <c r="AB224" s="169">
        <v>1</v>
      </c>
      <c r="AC224" s="169">
        <v>1</v>
      </c>
      <c r="AU224" s="96"/>
      <c r="AV224" s="96"/>
      <c r="AW224" s="96"/>
      <c r="AX224" s="96"/>
      <c r="AY224" s="96"/>
      <c r="AZ224" s="96"/>
      <c r="BA224" s="96"/>
      <c r="BB224" s="96"/>
      <c r="BC224" s="96"/>
    </row>
    <row r="225" spans="1:55" ht="15.75" customHeight="1" x14ac:dyDescent="0.2">
      <c r="A225" s="89"/>
      <c r="B225" s="89"/>
      <c r="C225" s="89"/>
      <c r="D225" s="89"/>
      <c r="E225" s="89"/>
      <c r="G225" s="18"/>
      <c r="H225" s="18" t="s">
        <v>11</v>
      </c>
      <c r="I225" s="166">
        <v>0</v>
      </c>
      <c r="J225" s="7">
        <v>4</v>
      </c>
      <c r="K225" s="105">
        <v>0</v>
      </c>
      <c r="L225" s="7">
        <v>3</v>
      </c>
      <c r="M225" s="167">
        <v>3</v>
      </c>
      <c r="N225" s="7">
        <v>4</v>
      </c>
      <c r="O225" s="105">
        <v>4</v>
      </c>
      <c r="P225" s="7">
        <v>4</v>
      </c>
      <c r="Q225" s="168">
        <v>2</v>
      </c>
      <c r="R225" s="7">
        <v>3</v>
      </c>
      <c r="S225" s="80">
        <v>2</v>
      </c>
      <c r="T225" s="80">
        <v>2</v>
      </c>
      <c r="U225" s="80">
        <v>4</v>
      </c>
      <c r="V225" s="80">
        <v>4</v>
      </c>
      <c r="W225" s="80">
        <v>0</v>
      </c>
      <c r="Y225" s="169">
        <v>2</v>
      </c>
      <c r="Z225" s="169">
        <v>2</v>
      </c>
      <c r="AA225" s="169">
        <v>2</v>
      </c>
      <c r="AB225" s="169">
        <v>4</v>
      </c>
      <c r="AC225" s="169">
        <v>1</v>
      </c>
      <c r="AU225" s="96"/>
      <c r="AV225" s="96"/>
      <c r="AW225" s="96"/>
      <c r="AX225" s="96"/>
      <c r="AY225" s="96"/>
      <c r="AZ225" s="96"/>
      <c r="BA225" s="96"/>
      <c r="BB225" s="96"/>
      <c r="BC225" s="96"/>
    </row>
    <row r="226" spans="1:55" ht="15.75" customHeight="1" x14ac:dyDescent="0.2">
      <c r="A226" s="89"/>
      <c r="B226" s="89"/>
      <c r="C226" s="89"/>
      <c r="D226" s="89"/>
      <c r="E226" s="89"/>
      <c r="G226" s="18"/>
      <c r="H226" s="18" t="s">
        <v>13</v>
      </c>
      <c r="I226" s="166">
        <v>0</v>
      </c>
      <c r="J226" s="7">
        <v>3</v>
      </c>
      <c r="K226" s="105">
        <v>2</v>
      </c>
      <c r="L226" s="7">
        <v>2</v>
      </c>
      <c r="M226" s="167">
        <v>4</v>
      </c>
      <c r="N226" s="7">
        <v>4</v>
      </c>
      <c r="O226" s="105">
        <v>2</v>
      </c>
      <c r="P226" s="7">
        <v>4</v>
      </c>
      <c r="Q226" s="168">
        <v>3</v>
      </c>
      <c r="R226" s="7">
        <v>4</v>
      </c>
      <c r="S226" s="80">
        <v>4</v>
      </c>
      <c r="T226" s="80">
        <v>3</v>
      </c>
      <c r="U226" s="80">
        <v>4</v>
      </c>
      <c r="V226" s="80">
        <v>3</v>
      </c>
      <c r="W226" s="80">
        <v>1</v>
      </c>
      <c r="Y226" s="169">
        <v>3</v>
      </c>
      <c r="Z226" s="169">
        <v>1</v>
      </c>
      <c r="AA226" s="169">
        <v>3</v>
      </c>
      <c r="AB226" s="169">
        <v>4</v>
      </c>
      <c r="AC226" s="169">
        <v>1</v>
      </c>
      <c r="AU226" s="96"/>
      <c r="AV226" s="96"/>
      <c r="AW226" s="96"/>
      <c r="AX226" s="96"/>
      <c r="AY226" s="96"/>
      <c r="AZ226" s="96"/>
      <c r="BA226" s="96"/>
      <c r="BB226" s="96"/>
      <c r="BC226" s="96"/>
    </row>
    <row r="227" spans="1:55" ht="15.75" customHeight="1" x14ac:dyDescent="0.2">
      <c r="A227" s="89"/>
      <c r="B227" s="89"/>
      <c r="C227" s="89"/>
      <c r="D227" s="89"/>
      <c r="E227" s="89"/>
      <c r="G227" s="18"/>
      <c r="H227" s="18" t="s">
        <v>15</v>
      </c>
      <c r="I227" s="166">
        <v>1</v>
      </c>
      <c r="J227" s="7">
        <v>4</v>
      </c>
      <c r="K227" s="105">
        <v>0</v>
      </c>
      <c r="L227" s="7">
        <v>3</v>
      </c>
      <c r="M227" s="167">
        <v>4</v>
      </c>
      <c r="N227" s="7">
        <v>4</v>
      </c>
      <c r="O227" s="105">
        <v>3</v>
      </c>
      <c r="P227" s="7">
        <v>4</v>
      </c>
      <c r="Q227" s="168">
        <v>1</v>
      </c>
      <c r="R227" s="7">
        <v>3</v>
      </c>
      <c r="S227" s="80">
        <v>3</v>
      </c>
      <c r="T227" s="80">
        <v>2</v>
      </c>
      <c r="U227" s="80">
        <v>4</v>
      </c>
      <c r="V227" s="80">
        <v>1</v>
      </c>
      <c r="W227" s="80">
        <v>2</v>
      </c>
      <c r="Y227" s="169">
        <v>2</v>
      </c>
      <c r="Z227" s="169">
        <v>1</v>
      </c>
      <c r="AA227" s="169">
        <v>2</v>
      </c>
      <c r="AB227" s="169">
        <v>4</v>
      </c>
      <c r="AC227" s="169">
        <v>1</v>
      </c>
      <c r="AU227" s="96"/>
      <c r="AV227" s="96"/>
      <c r="AW227" s="96"/>
      <c r="AX227" s="96"/>
      <c r="AY227" s="96"/>
      <c r="AZ227" s="96"/>
      <c r="BA227" s="96"/>
      <c r="BB227" s="96"/>
      <c r="BC227" s="96"/>
    </row>
    <row r="228" spans="1:55" ht="15.75" customHeight="1" x14ac:dyDescent="0.2">
      <c r="A228" s="89"/>
      <c r="B228" s="89"/>
      <c r="C228" s="89"/>
      <c r="D228" s="89"/>
      <c r="E228" s="89"/>
      <c r="G228" s="18"/>
      <c r="H228" s="18" t="s">
        <v>17</v>
      </c>
      <c r="I228" s="166">
        <v>0</v>
      </c>
      <c r="J228" s="7">
        <v>3</v>
      </c>
      <c r="K228" s="105">
        <v>0</v>
      </c>
      <c r="L228" s="7">
        <v>2</v>
      </c>
      <c r="M228" s="167">
        <v>4</v>
      </c>
      <c r="N228" s="7">
        <v>3</v>
      </c>
      <c r="O228" s="105">
        <v>3</v>
      </c>
      <c r="P228" s="7">
        <v>2</v>
      </c>
      <c r="Q228" s="168">
        <v>1</v>
      </c>
      <c r="R228" s="7">
        <v>2</v>
      </c>
      <c r="S228" s="80">
        <v>4</v>
      </c>
      <c r="T228" s="80">
        <v>3</v>
      </c>
      <c r="U228" s="80">
        <v>2</v>
      </c>
      <c r="V228" s="80">
        <v>0</v>
      </c>
      <c r="W228" s="80">
        <v>1</v>
      </c>
      <c r="Y228" s="169">
        <v>3</v>
      </c>
      <c r="Z228" s="169">
        <v>1</v>
      </c>
      <c r="AA228" s="169">
        <v>3</v>
      </c>
      <c r="AB228" s="169">
        <v>3</v>
      </c>
      <c r="AC228" s="169">
        <v>1</v>
      </c>
      <c r="AU228" s="96"/>
      <c r="AV228" s="96"/>
      <c r="AW228" s="96"/>
      <c r="AX228" s="96"/>
      <c r="AY228" s="96"/>
      <c r="AZ228" s="96"/>
      <c r="BA228" s="96"/>
      <c r="BB228" s="96"/>
      <c r="BC228" s="96"/>
    </row>
    <row r="229" spans="1:55" ht="15.75" customHeight="1" x14ac:dyDescent="0.2">
      <c r="A229" s="89"/>
      <c r="B229" s="89"/>
      <c r="C229" s="89"/>
      <c r="D229" s="89"/>
      <c r="E229" s="89"/>
      <c r="G229" s="39"/>
      <c r="H229" s="39" t="s">
        <v>20</v>
      </c>
      <c r="I229" s="166">
        <v>2</v>
      </c>
      <c r="J229" s="7">
        <v>3</v>
      </c>
      <c r="K229" s="105">
        <v>1</v>
      </c>
      <c r="L229" s="7">
        <v>2</v>
      </c>
      <c r="M229" s="167">
        <v>0</v>
      </c>
      <c r="N229" s="7">
        <v>3</v>
      </c>
      <c r="O229" s="105">
        <v>4</v>
      </c>
      <c r="P229" s="7">
        <v>3</v>
      </c>
      <c r="Q229" s="168">
        <v>0</v>
      </c>
      <c r="R229" s="7">
        <v>1</v>
      </c>
      <c r="S229" s="80">
        <v>4</v>
      </c>
      <c r="T229" s="80">
        <v>3</v>
      </c>
      <c r="U229" s="80">
        <v>4</v>
      </c>
      <c r="V229" s="80">
        <v>0</v>
      </c>
      <c r="W229" s="80">
        <v>1</v>
      </c>
      <c r="Y229" s="169">
        <v>3</v>
      </c>
      <c r="Z229" s="169">
        <v>1</v>
      </c>
      <c r="AA229" s="169">
        <v>2</v>
      </c>
      <c r="AB229" s="169">
        <v>2</v>
      </c>
      <c r="AC229" s="169">
        <v>1</v>
      </c>
      <c r="AU229" s="96"/>
      <c r="AV229" s="96"/>
      <c r="AW229" s="96"/>
      <c r="AX229" s="96"/>
      <c r="AY229" s="96"/>
      <c r="AZ229" s="96"/>
      <c r="BA229" s="96"/>
      <c r="BB229" s="96"/>
      <c r="BC229" s="96"/>
    </row>
    <row r="230" spans="1:55" ht="15.75" customHeight="1" x14ac:dyDescent="0.2">
      <c r="A230" s="89"/>
      <c r="B230" s="89"/>
      <c r="C230" s="89"/>
      <c r="D230" s="89"/>
      <c r="E230" s="89"/>
      <c r="G230" s="39"/>
      <c r="H230" s="39" t="s">
        <v>22</v>
      </c>
      <c r="I230" s="166">
        <v>3</v>
      </c>
      <c r="J230" s="7">
        <v>4</v>
      </c>
      <c r="K230" s="105">
        <v>2</v>
      </c>
      <c r="L230" s="7">
        <v>4</v>
      </c>
      <c r="M230" s="167">
        <v>1</v>
      </c>
      <c r="N230" s="7">
        <v>4</v>
      </c>
      <c r="O230" s="105">
        <v>1</v>
      </c>
      <c r="P230" s="7">
        <v>4</v>
      </c>
      <c r="Q230" s="168">
        <v>3</v>
      </c>
      <c r="R230" s="7">
        <v>4</v>
      </c>
      <c r="S230" s="80">
        <v>4</v>
      </c>
      <c r="T230" s="80">
        <v>4</v>
      </c>
      <c r="U230" s="80">
        <v>4</v>
      </c>
      <c r="V230" s="80">
        <v>3</v>
      </c>
      <c r="W230" s="80">
        <v>1</v>
      </c>
      <c r="Y230" s="169">
        <v>4</v>
      </c>
      <c r="Z230" s="169">
        <v>4</v>
      </c>
      <c r="AA230" s="169">
        <v>2</v>
      </c>
      <c r="AB230" s="169">
        <v>4</v>
      </c>
      <c r="AC230" s="169">
        <v>3</v>
      </c>
      <c r="AU230" s="96"/>
      <c r="AV230" s="96"/>
      <c r="AW230" s="96"/>
      <c r="AX230" s="96"/>
      <c r="AY230" s="96"/>
      <c r="AZ230" s="96"/>
      <c r="BA230" s="96"/>
      <c r="BB230" s="96"/>
      <c r="BC230" s="96"/>
    </row>
    <row r="231" spans="1:55" ht="15.75" customHeight="1" x14ac:dyDescent="0.2">
      <c r="A231" s="89"/>
      <c r="B231" s="89"/>
      <c r="C231" s="89"/>
      <c r="D231" s="89"/>
      <c r="E231" s="89"/>
      <c r="G231" s="39"/>
      <c r="H231" s="39" t="s">
        <v>24</v>
      </c>
      <c r="I231" s="166">
        <v>2</v>
      </c>
      <c r="J231" s="7">
        <v>4</v>
      </c>
      <c r="K231" s="105">
        <v>0</v>
      </c>
      <c r="L231" s="7">
        <v>4</v>
      </c>
      <c r="M231" s="167">
        <v>0</v>
      </c>
      <c r="N231" s="7">
        <v>4</v>
      </c>
      <c r="O231" s="105">
        <v>2</v>
      </c>
      <c r="P231" s="7">
        <v>4</v>
      </c>
      <c r="Q231" s="168">
        <v>1</v>
      </c>
      <c r="R231" s="7">
        <v>3</v>
      </c>
      <c r="S231" s="80">
        <v>4</v>
      </c>
      <c r="T231" s="80">
        <v>2</v>
      </c>
      <c r="U231" s="80">
        <v>2</v>
      </c>
      <c r="V231" s="80">
        <v>0</v>
      </c>
      <c r="W231" s="80">
        <v>1</v>
      </c>
      <c r="Y231" s="169">
        <v>4</v>
      </c>
      <c r="Z231" s="169">
        <v>2</v>
      </c>
      <c r="AA231" s="169">
        <v>1</v>
      </c>
      <c r="AB231" s="169">
        <v>3</v>
      </c>
      <c r="AC231" s="169">
        <v>3</v>
      </c>
      <c r="AU231" s="96"/>
      <c r="AV231" s="96"/>
      <c r="AW231" s="96"/>
      <c r="AX231" s="96"/>
      <c r="AY231" s="96"/>
      <c r="AZ231" s="96"/>
      <c r="BA231" s="96"/>
      <c r="BB231" s="96"/>
      <c r="BC231" s="96"/>
    </row>
    <row r="232" spans="1:55" ht="15.75" customHeight="1" x14ac:dyDescent="0.2">
      <c r="A232" s="89"/>
      <c r="B232" s="89"/>
      <c r="C232" s="89"/>
      <c r="D232" s="89"/>
      <c r="E232" s="89"/>
      <c r="G232" s="39"/>
      <c r="H232" s="39" t="s">
        <v>26</v>
      </c>
      <c r="I232" s="166">
        <v>1</v>
      </c>
      <c r="J232" s="7">
        <v>4</v>
      </c>
      <c r="K232" s="105">
        <v>1</v>
      </c>
      <c r="L232" s="7">
        <v>3</v>
      </c>
      <c r="M232" s="167">
        <v>0</v>
      </c>
      <c r="N232" s="7">
        <v>3</v>
      </c>
      <c r="O232" s="105">
        <v>3</v>
      </c>
      <c r="P232" s="7">
        <v>4</v>
      </c>
      <c r="Q232" s="168">
        <v>0</v>
      </c>
      <c r="R232" s="7">
        <v>3</v>
      </c>
      <c r="S232" s="80">
        <v>4</v>
      </c>
      <c r="T232" s="80">
        <v>4</v>
      </c>
      <c r="U232" s="80">
        <v>1</v>
      </c>
      <c r="V232" s="80">
        <v>1</v>
      </c>
      <c r="W232" s="80">
        <v>1</v>
      </c>
      <c r="Y232" s="169">
        <v>3</v>
      </c>
      <c r="Z232" s="169">
        <v>1</v>
      </c>
      <c r="AA232" s="169">
        <v>1</v>
      </c>
      <c r="AB232" s="169">
        <v>4</v>
      </c>
      <c r="AC232" s="169">
        <v>2</v>
      </c>
      <c r="AU232" s="96"/>
      <c r="AV232" s="96"/>
      <c r="AW232" s="96"/>
      <c r="AX232" s="96"/>
      <c r="AY232" s="96"/>
      <c r="AZ232" s="96"/>
      <c r="BA232" s="96"/>
      <c r="BB232" s="96"/>
      <c r="BC232" s="96"/>
    </row>
    <row r="233" spans="1:55" ht="15.75" customHeight="1" x14ac:dyDescent="0.2">
      <c r="A233" s="89"/>
      <c r="B233" s="89"/>
      <c r="C233" s="89"/>
      <c r="D233" s="89"/>
      <c r="E233" s="89"/>
      <c r="G233" s="39"/>
      <c r="H233" s="39" t="s">
        <v>27</v>
      </c>
      <c r="I233" s="166">
        <v>1</v>
      </c>
      <c r="J233" s="7">
        <v>4</v>
      </c>
      <c r="K233" s="105">
        <v>0</v>
      </c>
      <c r="L233" s="7">
        <v>3</v>
      </c>
      <c r="M233" s="167">
        <v>1</v>
      </c>
      <c r="N233" s="7">
        <v>4</v>
      </c>
      <c r="O233" s="105">
        <v>3</v>
      </c>
      <c r="P233" s="7">
        <v>4</v>
      </c>
      <c r="Q233" s="168">
        <v>3</v>
      </c>
      <c r="R233" s="7">
        <v>3</v>
      </c>
      <c r="S233" s="80">
        <v>4</v>
      </c>
      <c r="T233" s="80">
        <v>4</v>
      </c>
      <c r="U233" s="80">
        <v>3</v>
      </c>
      <c r="V233" s="80">
        <v>0</v>
      </c>
      <c r="W233" s="80">
        <v>3</v>
      </c>
      <c r="Y233" s="169">
        <v>2</v>
      </c>
      <c r="Z233" s="169">
        <v>1</v>
      </c>
      <c r="AA233" s="169">
        <v>2</v>
      </c>
      <c r="AB233" s="169">
        <v>4</v>
      </c>
      <c r="AC233" s="169">
        <v>2</v>
      </c>
      <c r="AU233" s="96"/>
      <c r="AV233" s="96"/>
      <c r="AW233" s="96"/>
      <c r="AX233" s="96"/>
      <c r="AY233" s="96"/>
      <c r="AZ233" s="96"/>
      <c r="BA233" s="96"/>
      <c r="BB233" s="96"/>
      <c r="BC233" s="96"/>
    </row>
    <row r="234" spans="1:55" ht="15.75" customHeight="1" x14ac:dyDescent="0.2">
      <c r="A234" s="89"/>
      <c r="B234" s="89"/>
      <c r="C234" s="89"/>
      <c r="D234" s="89"/>
      <c r="E234" s="89"/>
      <c r="G234" s="28"/>
      <c r="H234" s="28" t="s">
        <v>30</v>
      </c>
      <c r="I234" s="155">
        <v>1</v>
      </c>
      <c r="J234" s="7">
        <v>4</v>
      </c>
      <c r="K234" s="11">
        <v>4</v>
      </c>
      <c r="L234" s="7">
        <v>4</v>
      </c>
      <c r="M234" s="170">
        <v>1</v>
      </c>
      <c r="N234" s="7">
        <v>4</v>
      </c>
      <c r="O234" s="11">
        <v>3</v>
      </c>
      <c r="P234" s="7">
        <v>3</v>
      </c>
      <c r="Q234" s="168">
        <v>0</v>
      </c>
      <c r="R234" s="7">
        <v>4</v>
      </c>
      <c r="S234" s="80">
        <v>4</v>
      </c>
      <c r="T234" s="80">
        <v>4</v>
      </c>
      <c r="U234" s="80">
        <v>2</v>
      </c>
      <c r="V234" s="80">
        <v>1</v>
      </c>
      <c r="W234" s="80">
        <v>1</v>
      </c>
      <c r="Y234" s="169">
        <v>4</v>
      </c>
      <c r="Z234" s="169">
        <v>1</v>
      </c>
      <c r="AA234" s="169">
        <v>3</v>
      </c>
      <c r="AB234" s="169">
        <v>4</v>
      </c>
      <c r="AC234" s="169">
        <v>3</v>
      </c>
      <c r="AU234" s="96"/>
      <c r="AV234" s="96"/>
      <c r="AW234" s="96"/>
      <c r="AX234" s="96"/>
      <c r="AY234" s="96"/>
      <c r="AZ234" s="96"/>
      <c r="BA234" s="96"/>
      <c r="BB234" s="96"/>
      <c r="BC234" s="96"/>
    </row>
    <row r="235" spans="1:55" ht="15.75" customHeight="1" x14ac:dyDescent="0.2">
      <c r="A235" s="89"/>
      <c r="B235" s="89"/>
      <c r="C235" s="89"/>
      <c r="D235" s="89"/>
      <c r="E235" s="89"/>
      <c r="G235" s="28"/>
      <c r="H235" s="28" t="s">
        <v>32</v>
      </c>
      <c r="I235" s="155">
        <v>0</v>
      </c>
      <c r="J235" s="7">
        <v>4</v>
      </c>
      <c r="K235" s="11">
        <v>3</v>
      </c>
      <c r="L235" s="7">
        <v>2</v>
      </c>
      <c r="M235" s="170">
        <v>2</v>
      </c>
      <c r="N235" s="7">
        <v>4</v>
      </c>
      <c r="O235" s="11">
        <v>0</v>
      </c>
      <c r="P235" s="7">
        <v>2</v>
      </c>
      <c r="Q235" s="168">
        <v>0</v>
      </c>
      <c r="R235" s="7">
        <v>4</v>
      </c>
      <c r="S235" s="80">
        <v>4</v>
      </c>
      <c r="T235" s="80">
        <v>4</v>
      </c>
      <c r="U235" s="80">
        <v>1</v>
      </c>
      <c r="V235" s="80">
        <v>0</v>
      </c>
      <c r="W235" s="80">
        <v>0</v>
      </c>
      <c r="Y235" s="169">
        <v>4</v>
      </c>
      <c r="Z235" s="169">
        <v>1</v>
      </c>
      <c r="AA235" s="169">
        <v>1</v>
      </c>
      <c r="AB235" s="169">
        <v>0</v>
      </c>
      <c r="AC235" s="169">
        <v>1</v>
      </c>
      <c r="AU235" s="96"/>
      <c r="AV235" s="96"/>
      <c r="AW235" s="96"/>
      <c r="AX235" s="96"/>
      <c r="AY235" s="96"/>
      <c r="AZ235" s="96"/>
      <c r="BA235" s="96"/>
      <c r="BB235" s="96"/>
      <c r="BC235" s="96"/>
    </row>
    <row r="236" spans="1:55" ht="15.75" customHeight="1" x14ac:dyDescent="0.2">
      <c r="A236" s="89"/>
      <c r="B236" s="89"/>
      <c r="C236" s="89"/>
      <c r="D236" s="89"/>
      <c r="E236" s="89"/>
      <c r="G236" s="28"/>
      <c r="H236" s="28" t="s">
        <v>34</v>
      </c>
      <c r="I236" s="155">
        <v>1</v>
      </c>
      <c r="J236" s="7">
        <v>3</v>
      </c>
      <c r="K236" s="11">
        <v>2</v>
      </c>
      <c r="L236" s="7">
        <v>4</v>
      </c>
      <c r="M236" s="170">
        <v>2</v>
      </c>
      <c r="N236" s="7">
        <v>4</v>
      </c>
      <c r="O236" s="11">
        <v>1</v>
      </c>
      <c r="P236" s="7">
        <v>3</v>
      </c>
      <c r="Q236" s="168">
        <v>3</v>
      </c>
      <c r="R236" s="7">
        <v>2</v>
      </c>
      <c r="S236" s="80">
        <v>4</v>
      </c>
      <c r="T236" s="80">
        <v>1</v>
      </c>
      <c r="U236" s="80">
        <v>1</v>
      </c>
      <c r="V236" s="80">
        <v>0</v>
      </c>
      <c r="W236" s="80">
        <v>1</v>
      </c>
      <c r="Y236" s="169">
        <v>3</v>
      </c>
      <c r="Z236" s="169">
        <v>1</v>
      </c>
      <c r="AA236" s="169">
        <v>1</v>
      </c>
      <c r="AB236" s="169">
        <v>2</v>
      </c>
      <c r="AC236" s="169">
        <v>1</v>
      </c>
      <c r="AU236" s="96"/>
      <c r="AV236" s="96"/>
      <c r="AW236" s="96"/>
      <c r="AX236" s="96"/>
      <c r="AY236" s="96"/>
      <c r="AZ236" s="96"/>
      <c r="BA236" s="96"/>
      <c r="BB236" s="96"/>
      <c r="BC236" s="96"/>
    </row>
    <row r="237" spans="1:55" ht="15.75" customHeight="1" x14ac:dyDescent="0.2">
      <c r="A237" s="89"/>
      <c r="B237" s="89"/>
      <c r="C237" s="89"/>
      <c r="D237" s="89"/>
      <c r="E237" s="89"/>
      <c r="G237" s="28"/>
      <c r="H237" s="28" t="s">
        <v>36</v>
      </c>
      <c r="I237" s="155">
        <v>1</v>
      </c>
      <c r="J237" s="7">
        <v>4</v>
      </c>
      <c r="K237" s="11">
        <v>3</v>
      </c>
      <c r="L237" s="7">
        <v>4</v>
      </c>
      <c r="M237" s="170">
        <v>1</v>
      </c>
      <c r="N237" s="7">
        <v>4</v>
      </c>
      <c r="O237" s="11">
        <v>1</v>
      </c>
      <c r="P237" s="7">
        <v>3</v>
      </c>
      <c r="Q237" s="168">
        <v>0</v>
      </c>
      <c r="R237" s="7">
        <v>4</v>
      </c>
      <c r="S237" s="80">
        <v>4</v>
      </c>
      <c r="T237" s="80">
        <v>3</v>
      </c>
      <c r="U237" s="80">
        <v>1</v>
      </c>
      <c r="V237" s="80">
        <v>0</v>
      </c>
      <c r="W237" s="80">
        <v>2</v>
      </c>
      <c r="Y237" s="169">
        <v>4</v>
      </c>
      <c r="Z237" s="169">
        <v>2</v>
      </c>
      <c r="AA237" s="169">
        <v>2</v>
      </c>
      <c r="AB237" s="169">
        <v>0</v>
      </c>
      <c r="AC237" s="169">
        <v>4</v>
      </c>
      <c r="AU237" s="96"/>
      <c r="AV237" s="96"/>
      <c r="AW237" s="96"/>
      <c r="AX237" s="96"/>
      <c r="AY237" s="96"/>
      <c r="AZ237" s="96"/>
      <c r="BA237" s="96"/>
      <c r="BB237" s="96"/>
      <c r="BC237" s="96"/>
    </row>
    <row r="238" spans="1:55" ht="15.75" customHeight="1" x14ac:dyDescent="0.2">
      <c r="A238" s="89"/>
      <c r="B238" s="89"/>
      <c r="C238" s="89"/>
      <c r="D238" s="89"/>
      <c r="E238" s="89"/>
      <c r="G238" s="28"/>
      <c r="H238" s="112" t="s">
        <v>38</v>
      </c>
      <c r="I238" s="155">
        <v>1</v>
      </c>
      <c r="J238" s="7">
        <v>4</v>
      </c>
      <c r="K238" s="11">
        <v>4</v>
      </c>
      <c r="L238" s="7">
        <v>3</v>
      </c>
      <c r="M238" s="170">
        <v>1</v>
      </c>
      <c r="N238" s="7">
        <v>4</v>
      </c>
      <c r="O238" s="11">
        <v>1</v>
      </c>
      <c r="P238" s="7">
        <v>4</v>
      </c>
      <c r="Q238" s="168">
        <v>2</v>
      </c>
      <c r="R238" s="7">
        <v>3</v>
      </c>
      <c r="S238" s="80">
        <v>4</v>
      </c>
      <c r="T238" s="80">
        <v>4</v>
      </c>
      <c r="U238" s="80">
        <v>1</v>
      </c>
      <c r="V238" s="80">
        <v>0</v>
      </c>
      <c r="W238" s="80">
        <v>2</v>
      </c>
      <c r="Y238" s="169">
        <v>4</v>
      </c>
      <c r="Z238" s="169">
        <v>1</v>
      </c>
      <c r="AA238" s="169">
        <v>3</v>
      </c>
      <c r="AB238" s="169">
        <v>4</v>
      </c>
      <c r="AC238" s="169">
        <v>4</v>
      </c>
      <c r="AU238" s="96"/>
      <c r="AV238" s="96"/>
      <c r="AW238" s="96"/>
      <c r="AX238" s="96"/>
      <c r="AY238" s="96"/>
      <c r="AZ238" s="96"/>
      <c r="BA238" s="96"/>
      <c r="BB238" s="96"/>
      <c r="BC238" s="96"/>
    </row>
    <row r="239" spans="1:55" ht="15.75" customHeight="1" x14ac:dyDescent="0.2">
      <c r="A239" s="89"/>
      <c r="B239" s="89"/>
      <c r="C239" s="89"/>
      <c r="D239" s="89"/>
      <c r="E239" s="89"/>
      <c r="G239" s="31"/>
      <c r="H239" s="31" t="s">
        <v>41</v>
      </c>
      <c r="I239" s="155">
        <v>0</v>
      </c>
      <c r="J239" s="7">
        <v>3</v>
      </c>
      <c r="K239" s="11">
        <v>0</v>
      </c>
      <c r="L239" s="7">
        <v>2</v>
      </c>
      <c r="M239" s="170">
        <v>4</v>
      </c>
      <c r="N239" s="7">
        <v>4</v>
      </c>
      <c r="O239" s="11">
        <v>0</v>
      </c>
      <c r="P239" s="7">
        <v>3</v>
      </c>
      <c r="Q239" s="168">
        <v>4</v>
      </c>
      <c r="R239" s="7">
        <v>3</v>
      </c>
      <c r="S239" s="80">
        <v>4</v>
      </c>
      <c r="T239" s="80">
        <v>4</v>
      </c>
      <c r="U239" s="80">
        <v>1</v>
      </c>
      <c r="V239" s="80">
        <v>3</v>
      </c>
      <c r="W239" s="80">
        <v>1</v>
      </c>
      <c r="Y239" s="169">
        <v>1</v>
      </c>
      <c r="Z239" s="169">
        <v>1</v>
      </c>
      <c r="AA239" s="169">
        <v>2</v>
      </c>
      <c r="AB239" s="169">
        <v>4</v>
      </c>
      <c r="AC239" s="169">
        <v>2</v>
      </c>
      <c r="AU239" s="96"/>
      <c r="AV239" s="96"/>
      <c r="AW239" s="96"/>
      <c r="AX239" s="96"/>
      <c r="AY239" s="96"/>
      <c r="AZ239" s="96"/>
      <c r="BA239" s="96"/>
      <c r="BB239" s="96"/>
      <c r="BC239" s="96"/>
    </row>
    <row r="240" spans="1:55" ht="15.75" customHeight="1" x14ac:dyDescent="0.2">
      <c r="A240" s="89"/>
      <c r="B240" s="89"/>
      <c r="C240" s="89"/>
      <c r="D240" s="89"/>
      <c r="E240" s="89"/>
      <c r="G240" s="31"/>
      <c r="H240" s="31" t="s">
        <v>43</v>
      </c>
      <c r="I240" s="155">
        <v>1</v>
      </c>
      <c r="J240" s="7">
        <v>3</v>
      </c>
      <c r="K240" s="11">
        <v>1</v>
      </c>
      <c r="L240" s="7">
        <v>4</v>
      </c>
      <c r="M240" s="170">
        <v>3</v>
      </c>
      <c r="N240" s="7">
        <v>4</v>
      </c>
      <c r="O240" s="11">
        <v>1</v>
      </c>
      <c r="P240" s="7">
        <v>3</v>
      </c>
      <c r="Q240" s="168">
        <v>4</v>
      </c>
      <c r="R240" s="7">
        <v>4</v>
      </c>
      <c r="S240" s="80">
        <v>2</v>
      </c>
      <c r="T240" s="80">
        <v>3</v>
      </c>
      <c r="U240" s="80">
        <v>2</v>
      </c>
      <c r="V240" s="80">
        <v>0</v>
      </c>
      <c r="W240" s="80">
        <v>2</v>
      </c>
      <c r="Y240" s="169">
        <v>2</v>
      </c>
      <c r="Z240" s="169">
        <v>1</v>
      </c>
      <c r="AA240" s="169">
        <v>2</v>
      </c>
      <c r="AB240" s="169">
        <v>4</v>
      </c>
      <c r="AC240" s="169">
        <v>2</v>
      </c>
      <c r="AU240" s="96"/>
      <c r="AV240" s="96"/>
      <c r="AW240" s="96"/>
      <c r="AX240" s="96"/>
      <c r="AY240" s="96"/>
      <c r="AZ240" s="96"/>
      <c r="BA240" s="96"/>
      <c r="BB240" s="96"/>
      <c r="BC240" s="96"/>
    </row>
    <row r="241" spans="1:55" ht="15.75" customHeight="1" x14ac:dyDescent="0.2">
      <c r="A241" s="89"/>
      <c r="B241" s="89"/>
      <c r="C241" s="89"/>
      <c r="D241" s="89"/>
      <c r="E241" s="89"/>
      <c r="G241" s="31"/>
      <c r="H241" s="31" t="s">
        <v>45</v>
      </c>
      <c r="I241" s="155">
        <v>1</v>
      </c>
      <c r="J241" s="7">
        <v>3</v>
      </c>
      <c r="K241" s="11">
        <v>1</v>
      </c>
      <c r="L241" s="7">
        <v>2</v>
      </c>
      <c r="M241" s="170">
        <v>1</v>
      </c>
      <c r="N241" s="7">
        <v>4</v>
      </c>
      <c r="O241" s="11">
        <v>0</v>
      </c>
      <c r="P241" s="7">
        <v>3</v>
      </c>
      <c r="Q241" s="168">
        <v>3</v>
      </c>
      <c r="R241" s="7">
        <v>3</v>
      </c>
      <c r="S241" s="80">
        <v>4</v>
      </c>
      <c r="T241" s="80">
        <v>3</v>
      </c>
      <c r="U241" s="80">
        <v>1</v>
      </c>
      <c r="V241" s="80">
        <v>0</v>
      </c>
      <c r="W241" s="80">
        <v>3</v>
      </c>
      <c r="Y241" s="169">
        <v>3</v>
      </c>
      <c r="Z241" s="169">
        <v>1</v>
      </c>
      <c r="AA241" s="169">
        <v>3</v>
      </c>
      <c r="AB241" s="169">
        <v>4</v>
      </c>
      <c r="AC241" s="169">
        <v>3</v>
      </c>
      <c r="AU241" s="96"/>
      <c r="AV241" s="96"/>
      <c r="AW241" s="96"/>
      <c r="AX241" s="96"/>
      <c r="AY241" s="96"/>
      <c r="AZ241" s="96"/>
      <c r="BA241" s="96"/>
      <c r="BB241" s="96"/>
      <c r="BC241" s="96"/>
    </row>
    <row r="242" spans="1:55" ht="15.75" customHeight="1" x14ac:dyDescent="0.2">
      <c r="A242" s="89"/>
      <c r="B242" s="89"/>
      <c r="C242" s="89"/>
      <c r="D242" s="89"/>
      <c r="E242" s="89"/>
      <c r="G242" s="31"/>
      <c r="H242" s="31" t="s">
        <v>47</v>
      </c>
      <c r="I242" s="155">
        <v>1</v>
      </c>
      <c r="J242" s="7">
        <v>3</v>
      </c>
      <c r="K242" s="11">
        <v>1</v>
      </c>
      <c r="L242" s="7">
        <v>3</v>
      </c>
      <c r="M242" s="170">
        <v>1</v>
      </c>
      <c r="N242" s="7">
        <v>4</v>
      </c>
      <c r="O242" s="11">
        <v>0</v>
      </c>
      <c r="P242" s="7">
        <v>3</v>
      </c>
      <c r="Q242" s="168">
        <v>4</v>
      </c>
      <c r="R242" s="7">
        <v>4</v>
      </c>
      <c r="S242" s="80">
        <v>4</v>
      </c>
      <c r="T242" s="80">
        <v>3</v>
      </c>
      <c r="U242" s="80">
        <v>1</v>
      </c>
      <c r="V242" s="80">
        <v>0</v>
      </c>
      <c r="W242" s="80">
        <v>1</v>
      </c>
      <c r="Y242" s="169">
        <v>3</v>
      </c>
      <c r="Z242" s="169">
        <v>1</v>
      </c>
      <c r="AA242" s="169">
        <v>1</v>
      </c>
      <c r="AB242" s="169">
        <v>2</v>
      </c>
      <c r="AC242" s="169">
        <v>4</v>
      </c>
      <c r="AU242" s="96"/>
      <c r="AV242" s="96"/>
      <c r="AW242" s="96"/>
      <c r="AX242" s="96"/>
      <c r="AY242" s="96"/>
      <c r="AZ242" s="96"/>
      <c r="BA242" s="96"/>
      <c r="BB242" s="96"/>
      <c r="BC242" s="96"/>
    </row>
    <row r="243" spans="1:55" ht="15.75" customHeight="1" x14ac:dyDescent="0.2">
      <c r="A243" s="89"/>
      <c r="B243" s="89"/>
      <c r="C243" s="89"/>
      <c r="D243" s="89"/>
      <c r="E243" s="89"/>
      <c r="G243" s="31"/>
      <c r="H243" s="31" t="s">
        <v>49</v>
      </c>
      <c r="I243" s="155">
        <v>0</v>
      </c>
      <c r="J243" s="7">
        <v>3</v>
      </c>
      <c r="K243" s="11">
        <v>0</v>
      </c>
      <c r="L243" s="7">
        <v>2</v>
      </c>
      <c r="M243" s="170">
        <v>4</v>
      </c>
      <c r="N243" s="7">
        <v>4</v>
      </c>
      <c r="O243" s="11">
        <v>1</v>
      </c>
      <c r="P243" s="7">
        <v>3</v>
      </c>
      <c r="Q243" s="168">
        <v>4</v>
      </c>
      <c r="R243" s="7">
        <v>4</v>
      </c>
      <c r="S243" s="80">
        <v>4</v>
      </c>
      <c r="T243" s="80">
        <v>3</v>
      </c>
      <c r="U243" s="80">
        <v>1</v>
      </c>
      <c r="V243" s="80">
        <v>1</v>
      </c>
      <c r="W243" s="80">
        <v>1</v>
      </c>
      <c r="Y243" s="169">
        <v>2</v>
      </c>
      <c r="Z243" s="169">
        <v>2</v>
      </c>
      <c r="AA243" s="169">
        <v>3</v>
      </c>
      <c r="AB243" s="169">
        <v>4</v>
      </c>
      <c r="AC243" s="169">
        <v>4</v>
      </c>
      <c r="AU243" s="96"/>
      <c r="AV243" s="96"/>
      <c r="AW243" s="96"/>
      <c r="AX243" s="96"/>
      <c r="AY243" s="96"/>
      <c r="AZ243" s="96"/>
      <c r="BA243" s="96"/>
      <c r="BB243" s="96"/>
      <c r="BC243" s="96"/>
    </row>
    <row r="244" spans="1:55" ht="15.75" customHeight="1" x14ac:dyDescent="0.2">
      <c r="A244" s="89"/>
      <c r="B244" s="89"/>
      <c r="C244" s="89"/>
      <c r="D244" s="89"/>
      <c r="E244" s="89"/>
      <c r="G244" s="34"/>
      <c r="H244" s="34" t="s">
        <v>52</v>
      </c>
      <c r="I244" s="155">
        <v>3</v>
      </c>
      <c r="J244" s="7">
        <v>4</v>
      </c>
      <c r="K244" s="11">
        <v>1</v>
      </c>
      <c r="L244" s="7">
        <v>3</v>
      </c>
      <c r="M244" s="170">
        <v>1</v>
      </c>
      <c r="N244" s="7">
        <v>4</v>
      </c>
      <c r="O244" s="11">
        <v>1</v>
      </c>
      <c r="P244" s="7">
        <v>3</v>
      </c>
      <c r="Q244" s="168">
        <v>3</v>
      </c>
      <c r="R244" s="7">
        <v>4</v>
      </c>
      <c r="S244" s="80">
        <v>2</v>
      </c>
      <c r="T244" s="80">
        <v>3</v>
      </c>
      <c r="U244" s="80">
        <v>2</v>
      </c>
      <c r="V244" s="80">
        <v>0</v>
      </c>
      <c r="W244" s="80">
        <v>1</v>
      </c>
      <c r="Y244" s="169">
        <v>4</v>
      </c>
      <c r="Z244" s="169">
        <v>1</v>
      </c>
      <c r="AA244" s="169">
        <v>1</v>
      </c>
      <c r="AB244" s="169">
        <v>3</v>
      </c>
      <c r="AC244" s="169">
        <v>2</v>
      </c>
      <c r="AU244" s="96"/>
      <c r="AV244" s="96"/>
      <c r="AW244" s="96"/>
      <c r="AX244" s="96"/>
      <c r="AY244" s="96"/>
      <c r="AZ244" s="96"/>
      <c r="BA244" s="96"/>
      <c r="BB244" s="96"/>
      <c r="BC244" s="96"/>
    </row>
    <row r="245" spans="1:55" ht="15.75" customHeight="1" x14ac:dyDescent="0.2">
      <c r="A245" s="89"/>
      <c r="B245" s="89"/>
      <c r="C245" s="89"/>
      <c r="D245" s="89"/>
      <c r="E245" s="89"/>
      <c r="G245" s="34"/>
      <c r="H245" s="34" t="s">
        <v>53</v>
      </c>
      <c r="I245" s="155">
        <v>3</v>
      </c>
      <c r="J245" s="7">
        <v>4</v>
      </c>
      <c r="K245" s="11">
        <v>0</v>
      </c>
      <c r="L245" s="7">
        <v>2</v>
      </c>
      <c r="M245" s="170">
        <v>1</v>
      </c>
      <c r="N245" s="7">
        <v>3</v>
      </c>
      <c r="O245" s="11">
        <v>1</v>
      </c>
      <c r="P245" s="7">
        <v>2</v>
      </c>
      <c r="Q245" s="168">
        <v>0</v>
      </c>
      <c r="R245" s="7">
        <v>1</v>
      </c>
      <c r="S245" s="80">
        <v>4</v>
      </c>
      <c r="T245" s="80">
        <v>2</v>
      </c>
      <c r="U245" s="80">
        <v>2</v>
      </c>
      <c r="V245" s="80">
        <v>2</v>
      </c>
      <c r="W245" s="80">
        <v>1</v>
      </c>
      <c r="Y245" s="169">
        <v>3</v>
      </c>
      <c r="Z245" s="169">
        <v>1</v>
      </c>
      <c r="AA245" s="169">
        <v>1</v>
      </c>
      <c r="AB245" s="169">
        <v>1</v>
      </c>
      <c r="AC245" s="169">
        <v>1</v>
      </c>
      <c r="AU245" s="96"/>
      <c r="AV245" s="96"/>
      <c r="AW245" s="96"/>
      <c r="AX245" s="96"/>
      <c r="AY245" s="96"/>
      <c r="AZ245" s="96"/>
      <c r="BA245" s="96"/>
      <c r="BB245" s="96"/>
      <c r="BC245" s="96"/>
    </row>
    <row r="246" spans="1:55" ht="15.75" customHeight="1" x14ac:dyDescent="0.2">
      <c r="A246" s="89"/>
      <c r="B246" s="89"/>
      <c r="C246" s="89"/>
      <c r="D246" s="89"/>
      <c r="E246" s="89"/>
      <c r="G246" s="34"/>
      <c r="H246" s="34" t="s">
        <v>55</v>
      </c>
      <c r="I246" s="155">
        <v>2</v>
      </c>
      <c r="J246" s="7">
        <v>4</v>
      </c>
      <c r="K246" s="11">
        <v>3</v>
      </c>
      <c r="L246" s="7">
        <v>3</v>
      </c>
      <c r="M246" s="170">
        <v>0</v>
      </c>
      <c r="N246" s="7">
        <v>3</v>
      </c>
      <c r="O246" s="11">
        <v>1</v>
      </c>
      <c r="P246" s="7">
        <v>2</v>
      </c>
      <c r="Q246" s="168">
        <v>0</v>
      </c>
      <c r="R246" s="7">
        <v>2</v>
      </c>
      <c r="S246" s="80">
        <v>4</v>
      </c>
      <c r="T246" s="80">
        <v>4</v>
      </c>
      <c r="U246" s="80">
        <v>1</v>
      </c>
      <c r="V246" s="80">
        <v>0</v>
      </c>
      <c r="W246" s="80">
        <v>1</v>
      </c>
      <c r="Y246" s="169">
        <v>4</v>
      </c>
      <c r="Z246" s="169">
        <v>1</v>
      </c>
      <c r="AA246" s="169">
        <v>1</v>
      </c>
      <c r="AB246" s="169">
        <v>1</v>
      </c>
      <c r="AC246" s="169">
        <v>1</v>
      </c>
      <c r="AU246" s="96"/>
      <c r="AV246" s="96"/>
      <c r="AW246" s="96"/>
      <c r="AX246" s="96"/>
      <c r="AY246" s="96"/>
      <c r="AZ246" s="96"/>
      <c r="BA246" s="96"/>
      <c r="BB246" s="96"/>
      <c r="BC246" s="96"/>
    </row>
    <row r="247" spans="1:55" ht="15.75" customHeight="1" x14ac:dyDescent="0.2">
      <c r="A247" s="89"/>
      <c r="B247" s="89"/>
      <c r="C247" s="89"/>
      <c r="D247" s="89"/>
      <c r="E247" s="89"/>
      <c r="G247" s="34"/>
      <c r="H247" s="34" t="s">
        <v>57</v>
      </c>
      <c r="I247" s="155">
        <v>3</v>
      </c>
      <c r="J247" s="7">
        <v>3</v>
      </c>
      <c r="K247" s="11">
        <v>4</v>
      </c>
      <c r="L247" s="7">
        <v>2</v>
      </c>
      <c r="M247" s="170">
        <v>0</v>
      </c>
      <c r="N247" s="7">
        <v>4</v>
      </c>
      <c r="O247" s="11">
        <v>1</v>
      </c>
      <c r="P247" s="7">
        <v>2</v>
      </c>
      <c r="Q247" s="168">
        <v>1</v>
      </c>
      <c r="R247" s="7">
        <v>2</v>
      </c>
      <c r="S247" s="80">
        <v>2</v>
      </c>
      <c r="T247" s="80">
        <v>3</v>
      </c>
      <c r="U247" s="80">
        <v>3</v>
      </c>
      <c r="V247" s="80">
        <v>3</v>
      </c>
      <c r="W247" s="80">
        <v>4</v>
      </c>
      <c r="Y247" s="169">
        <v>4</v>
      </c>
      <c r="Z247" s="169">
        <v>1</v>
      </c>
      <c r="AA247" s="169">
        <v>2</v>
      </c>
      <c r="AB247" s="169">
        <v>4</v>
      </c>
      <c r="AC247" s="169">
        <v>1</v>
      </c>
      <c r="AU247" s="96"/>
      <c r="AV247" s="96"/>
      <c r="AW247" s="96"/>
      <c r="AX247" s="96"/>
      <c r="AY247" s="96"/>
      <c r="AZ247" s="96"/>
      <c r="BA247" s="96"/>
      <c r="BB247" s="96"/>
      <c r="BC247" s="96"/>
    </row>
    <row r="248" spans="1:55" ht="15.75" customHeight="1" x14ac:dyDescent="0.2">
      <c r="A248" s="89"/>
      <c r="B248" s="89"/>
      <c r="C248" s="89"/>
      <c r="D248" s="89"/>
      <c r="E248" s="89"/>
      <c r="G248" s="34"/>
      <c r="H248" s="34" t="s">
        <v>59</v>
      </c>
      <c r="I248" s="68">
        <v>3</v>
      </c>
      <c r="J248" s="12">
        <v>3</v>
      </c>
      <c r="K248" s="69">
        <v>2</v>
      </c>
      <c r="L248" s="12">
        <v>3</v>
      </c>
      <c r="M248" s="87">
        <v>0</v>
      </c>
      <c r="N248" s="12">
        <v>3</v>
      </c>
      <c r="O248" s="69">
        <v>1</v>
      </c>
      <c r="P248" s="12">
        <v>4</v>
      </c>
      <c r="Q248" s="83">
        <v>3</v>
      </c>
      <c r="R248" s="12">
        <v>3</v>
      </c>
      <c r="S248" s="80">
        <v>4</v>
      </c>
      <c r="T248" s="80">
        <v>3</v>
      </c>
      <c r="U248" s="80">
        <v>1</v>
      </c>
      <c r="V248" s="80">
        <v>1</v>
      </c>
      <c r="W248" s="80">
        <v>1</v>
      </c>
      <c r="Y248" s="169">
        <v>2</v>
      </c>
      <c r="Z248" s="169">
        <v>1</v>
      </c>
      <c r="AA248" s="169">
        <v>2</v>
      </c>
      <c r="AB248" s="169">
        <v>4</v>
      </c>
      <c r="AC248" s="169">
        <v>2</v>
      </c>
      <c r="AU248" s="96"/>
      <c r="AV248" s="96"/>
      <c r="AW248" s="96"/>
      <c r="AX248" s="96"/>
      <c r="AY248" s="96"/>
      <c r="AZ248" s="96"/>
      <c r="BA248" s="96"/>
      <c r="BB248" s="96"/>
      <c r="BC248" s="96"/>
    </row>
    <row r="249" spans="1:55" ht="15.75" customHeight="1" x14ac:dyDescent="0.2">
      <c r="A249" s="89"/>
      <c r="B249" s="89"/>
      <c r="C249" s="89"/>
      <c r="D249" s="89"/>
      <c r="E249" s="89"/>
      <c r="AU249" s="96"/>
      <c r="AV249" s="96"/>
      <c r="AW249" s="96"/>
      <c r="AX249" s="96"/>
      <c r="AY249" s="96"/>
      <c r="AZ249" s="96"/>
      <c r="BA249" s="96"/>
      <c r="BB249" s="96"/>
      <c r="BC249" s="96"/>
    </row>
    <row r="250" spans="1:55" ht="15.75" customHeight="1" x14ac:dyDescent="0.2">
      <c r="A250" s="89"/>
      <c r="B250" s="89"/>
      <c r="C250" s="89"/>
      <c r="D250" s="89"/>
      <c r="E250" s="89"/>
      <c r="AU250" s="96"/>
      <c r="AV250" s="96"/>
      <c r="AW250" s="96"/>
      <c r="AX250" s="96"/>
      <c r="AY250" s="96"/>
      <c r="AZ250" s="96"/>
      <c r="BA250" s="96"/>
      <c r="BB250" s="96"/>
      <c r="BC250" s="96"/>
    </row>
    <row r="251" spans="1:55" ht="15.75" customHeight="1" x14ac:dyDescent="0.2">
      <c r="A251" s="89"/>
      <c r="B251" s="89"/>
      <c r="C251" s="89"/>
      <c r="D251" s="89"/>
      <c r="E251" s="89"/>
      <c r="AU251" s="96"/>
      <c r="AV251" s="96"/>
      <c r="AW251" s="96"/>
      <c r="AX251" s="96"/>
      <c r="AY251" s="96"/>
      <c r="AZ251" s="96"/>
      <c r="BA251" s="96"/>
      <c r="BB251" s="96"/>
      <c r="BC251" s="96"/>
    </row>
    <row r="252" spans="1:55" ht="15.75" customHeight="1" x14ac:dyDescent="0.2">
      <c r="A252" s="89"/>
      <c r="B252" s="89"/>
      <c r="C252" s="89"/>
      <c r="D252" s="89"/>
      <c r="E252" s="89"/>
      <c r="AU252" s="96"/>
      <c r="AV252" s="96"/>
      <c r="AW252" s="96"/>
      <c r="AX252" s="96"/>
      <c r="AY252" s="96"/>
      <c r="AZ252" s="96"/>
      <c r="BA252" s="96"/>
      <c r="BB252" s="96"/>
      <c r="BC252" s="96"/>
    </row>
    <row r="253" spans="1:55" ht="15.75" customHeight="1" x14ac:dyDescent="0.2">
      <c r="A253" s="89"/>
      <c r="B253" s="89"/>
      <c r="C253" s="89"/>
      <c r="D253" s="89"/>
      <c r="E253" s="89"/>
      <c r="AU253" s="96"/>
      <c r="AV253" s="96"/>
      <c r="AW253" s="96"/>
      <c r="AX253" s="96"/>
      <c r="AY253" s="96"/>
      <c r="AZ253" s="96"/>
      <c r="BA253" s="96"/>
      <c r="BB253" s="96"/>
      <c r="BC253" s="96"/>
    </row>
    <row r="254" spans="1:55" ht="15.75" customHeight="1" x14ac:dyDescent="0.2">
      <c r="A254" s="89"/>
      <c r="B254" s="89"/>
      <c r="C254" s="89"/>
      <c r="D254" s="89"/>
      <c r="E254" s="89"/>
      <c r="AU254" s="96"/>
      <c r="AV254" s="96"/>
      <c r="AW254" s="96"/>
      <c r="AX254" s="96"/>
      <c r="AY254" s="96"/>
      <c r="AZ254" s="96"/>
      <c r="BA254" s="96"/>
      <c r="BB254" s="96"/>
      <c r="BC254" s="96"/>
    </row>
    <row r="255" spans="1:55" ht="15.75" customHeight="1" x14ac:dyDescent="0.2">
      <c r="A255" s="89"/>
      <c r="B255" s="89"/>
      <c r="C255" s="89"/>
      <c r="D255" s="89"/>
      <c r="E255" s="89"/>
      <c r="AU255" s="96"/>
      <c r="AV255" s="96"/>
      <c r="AW255" s="96"/>
      <c r="AX255" s="96"/>
      <c r="AY255" s="96"/>
      <c r="AZ255" s="96"/>
      <c r="BA255" s="96"/>
      <c r="BB255" s="96"/>
      <c r="BC255" s="96"/>
    </row>
    <row r="256" spans="1:55" ht="15.75" customHeight="1" x14ac:dyDescent="0.2">
      <c r="A256" s="89"/>
      <c r="B256" s="89"/>
      <c r="C256" s="89"/>
      <c r="D256" s="89"/>
      <c r="E256" s="89"/>
      <c r="AU256" s="96"/>
      <c r="AV256" s="96"/>
      <c r="AW256" s="96"/>
      <c r="AX256" s="96"/>
      <c r="AY256" s="96"/>
      <c r="AZ256" s="96"/>
      <c r="BA256" s="96"/>
      <c r="BB256" s="96"/>
      <c r="BC256" s="96"/>
    </row>
    <row r="257" spans="1:55" ht="15.75" customHeight="1" x14ac:dyDescent="0.2">
      <c r="A257" s="89"/>
      <c r="B257" s="89"/>
      <c r="C257" s="89"/>
      <c r="D257" s="89"/>
      <c r="E257" s="89"/>
      <c r="AU257" s="96"/>
      <c r="AV257" s="96"/>
      <c r="AW257" s="96"/>
      <c r="AX257" s="96"/>
      <c r="AY257" s="96"/>
      <c r="AZ257" s="96"/>
      <c r="BA257" s="96"/>
      <c r="BB257" s="96"/>
      <c r="BC257" s="96"/>
    </row>
    <row r="258" spans="1:55" ht="15.75" customHeight="1" x14ac:dyDescent="0.2">
      <c r="A258" s="89"/>
      <c r="B258" s="89"/>
      <c r="C258" s="89"/>
      <c r="D258" s="89"/>
      <c r="E258" s="89"/>
      <c r="AU258" s="96"/>
      <c r="AV258" s="96"/>
      <c r="AW258" s="96"/>
      <c r="AX258" s="96"/>
      <c r="AY258" s="96"/>
      <c r="AZ258" s="96"/>
      <c r="BA258" s="96"/>
      <c r="BB258" s="96"/>
      <c r="BC258" s="96"/>
    </row>
    <row r="259" spans="1:55" ht="15.75" customHeight="1" x14ac:dyDescent="0.2">
      <c r="A259" s="89"/>
      <c r="B259" s="89"/>
      <c r="C259" s="89"/>
      <c r="D259" s="89"/>
      <c r="E259" s="89"/>
      <c r="AU259" s="96"/>
      <c r="AV259" s="96"/>
      <c r="AW259" s="96"/>
      <c r="AX259" s="96"/>
      <c r="AY259" s="96"/>
      <c r="AZ259" s="96"/>
      <c r="BA259" s="96"/>
      <c r="BB259" s="96"/>
      <c r="BC259" s="96"/>
    </row>
    <row r="260" spans="1:55" ht="15.75" customHeight="1" x14ac:dyDescent="0.2">
      <c r="A260" s="89"/>
      <c r="B260" s="89"/>
      <c r="C260" s="89"/>
      <c r="D260" s="89"/>
      <c r="E260" s="89"/>
      <c r="AU260" s="96"/>
      <c r="AV260" s="96"/>
      <c r="AW260" s="96"/>
      <c r="AX260" s="96"/>
      <c r="AY260" s="96"/>
      <c r="AZ260" s="96"/>
      <c r="BA260" s="96"/>
      <c r="BB260" s="96"/>
      <c r="BC260" s="96"/>
    </row>
    <row r="261" spans="1:55" ht="15.75" customHeight="1" x14ac:dyDescent="0.2">
      <c r="A261" s="89"/>
      <c r="B261" s="89"/>
      <c r="C261" s="89"/>
      <c r="D261" s="89"/>
      <c r="E261" s="89"/>
      <c r="AU261" s="96"/>
      <c r="AV261" s="96"/>
      <c r="AW261" s="96"/>
      <c r="AX261" s="96"/>
      <c r="AY261" s="96"/>
      <c r="AZ261" s="96"/>
      <c r="BA261" s="96"/>
      <c r="BB261" s="96"/>
      <c r="BC261" s="96"/>
    </row>
    <row r="262" spans="1:55" ht="15.75" customHeight="1" x14ac:dyDescent="0.2">
      <c r="A262" s="89"/>
      <c r="B262" s="89"/>
      <c r="C262" s="89"/>
      <c r="D262" s="89"/>
      <c r="E262" s="89"/>
      <c r="AU262" s="96"/>
      <c r="AV262" s="96"/>
      <c r="AW262" s="96"/>
      <c r="AX262" s="96"/>
      <c r="AY262" s="96"/>
      <c r="AZ262" s="96"/>
      <c r="BA262" s="96"/>
      <c r="BB262" s="96"/>
      <c r="BC262" s="96"/>
    </row>
    <row r="263" spans="1:55" ht="15.75" customHeight="1" x14ac:dyDescent="0.2">
      <c r="A263" s="89"/>
      <c r="B263" s="89"/>
      <c r="C263" s="89"/>
      <c r="D263" s="89"/>
      <c r="E263" s="89"/>
      <c r="AU263" s="96"/>
      <c r="AV263" s="96"/>
      <c r="AW263" s="96"/>
      <c r="AX263" s="96"/>
      <c r="AY263" s="96"/>
      <c r="AZ263" s="96"/>
      <c r="BA263" s="96"/>
      <c r="BB263" s="96"/>
      <c r="BC263" s="96"/>
    </row>
    <row r="264" spans="1:55" ht="15.75" customHeight="1" x14ac:dyDescent="0.2">
      <c r="A264" s="89"/>
      <c r="B264" s="89"/>
      <c r="C264" s="89"/>
      <c r="D264" s="89"/>
      <c r="E264" s="89"/>
      <c r="AU264" s="96"/>
      <c r="AV264" s="96"/>
      <c r="AW264" s="96"/>
      <c r="AX264" s="96"/>
      <c r="AY264" s="96"/>
      <c r="AZ264" s="96"/>
      <c r="BA264" s="96"/>
      <c r="BB264" s="96"/>
      <c r="BC264" s="96"/>
    </row>
    <row r="265" spans="1:55" ht="15.75" customHeight="1" x14ac:dyDescent="0.2">
      <c r="A265" s="89"/>
      <c r="B265" s="89"/>
      <c r="C265" s="89"/>
      <c r="D265" s="89"/>
      <c r="E265" s="89"/>
      <c r="AU265" s="96"/>
      <c r="AV265" s="96"/>
      <c r="AW265" s="96"/>
      <c r="AX265" s="96"/>
      <c r="AY265" s="96"/>
      <c r="AZ265" s="96"/>
      <c r="BA265" s="96"/>
      <c r="BB265" s="96"/>
      <c r="BC265" s="96"/>
    </row>
    <row r="266" spans="1:55" ht="15.75" customHeight="1" x14ac:dyDescent="0.2">
      <c r="A266" s="89"/>
      <c r="B266" s="89"/>
      <c r="C266" s="89"/>
      <c r="D266" s="89"/>
      <c r="E266" s="89"/>
      <c r="AU266" s="96"/>
      <c r="AV266" s="96"/>
      <c r="AW266" s="96"/>
      <c r="AX266" s="96"/>
      <c r="AY266" s="96"/>
      <c r="AZ266" s="96"/>
      <c r="BA266" s="96"/>
      <c r="BB266" s="96"/>
      <c r="BC266" s="96"/>
    </row>
    <row r="267" spans="1:55" ht="15.75" customHeight="1" x14ac:dyDescent="0.2">
      <c r="A267" s="89"/>
      <c r="B267" s="89"/>
      <c r="C267" s="89"/>
      <c r="D267" s="89"/>
      <c r="E267" s="89"/>
      <c r="AU267" s="96"/>
      <c r="AV267" s="96"/>
      <c r="AW267" s="96"/>
      <c r="AX267" s="96"/>
      <c r="AY267" s="96"/>
      <c r="AZ267" s="96"/>
      <c r="BA267" s="96"/>
      <c r="BB267" s="96"/>
      <c r="BC267" s="96"/>
    </row>
    <row r="268" spans="1:55" ht="15.75" customHeight="1" x14ac:dyDescent="0.2">
      <c r="A268" s="89"/>
      <c r="B268" s="89"/>
      <c r="C268" s="89"/>
      <c r="D268" s="89"/>
      <c r="E268" s="89"/>
      <c r="AU268" s="96"/>
      <c r="AV268" s="96"/>
      <c r="AW268" s="96"/>
      <c r="AX268" s="96"/>
      <c r="AY268" s="96"/>
      <c r="AZ268" s="96"/>
      <c r="BA268" s="96"/>
      <c r="BB268" s="96"/>
      <c r="BC268" s="96"/>
    </row>
    <row r="269" spans="1:55" ht="15.75" customHeight="1" x14ac:dyDescent="0.2">
      <c r="A269" s="89"/>
      <c r="B269" s="89"/>
      <c r="C269" s="89"/>
      <c r="D269" s="89"/>
      <c r="E269" s="89"/>
      <c r="AU269" s="96"/>
      <c r="AV269" s="96"/>
      <c r="AW269" s="96"/>
      <c r="AX269" s="96"/>
      <c r="AY269" s="96"/>
      <c r="AZ269" s="96"/>
      <c r="BA269" s="96"/>
      <c r="BB269" s="96"/>
      <c r="BC269" s="96"/>
    </row>
    <row r="270" spans="1:55" ht="15.75" customHeight="1" x14ac:dyDescent="0.2">
      <c r="A270" s="89"/>
      <c r="B270" s="89"/>
      <c r="C270" s="89"/>
      <c r="D270" s="89"/>
      <c r="E270" s="89"/>
      <c r="AU270" s="96"/>
      <c r="AV270" s="96"/>
      <c r="AW270" s="96"/>
      <c r="AX270" s="96"/>
      <c r="AY270" s="96"/>
      <c r="AZ270" s="96"/>
      <c r="BA270" s="96"/>
      <c r="BB270" s="96"/>
      <c r="BC270" s="96"/>
    </row>
    <row r="271" spans="1:55" ht="15.75" customHeight="1" x14ac:dyDescent="0.2">
      <c r="A271" s="89"/>
      <c r="B271" s="89"/>
      <c r="C271" s="89"/>
      <c r="D271" s="89"/>
      <c r="E271" s="89"/>
      <c r="AU271" s="96"/>
      <c r="AV271" s="96"/>
      <c r="AW271" s="96"/>
      <c r="AX271" s="96"/>
      <c r="AY271" s="96"/>
      <c r="AZ271" s="96"/>
      <c r="BA271" s="96"/>
      <c r="BB271" s="96"/>
      <c r="BC271" s="96"/>
    </row>
    <row r="272" spans="1:55" ht="15.75" customHeight="1" x14ac:dyDescent="0.2">
      <c r="A272" s="89"/>
      <c r="B272" s="89"/>
      <c r="C272" s="89"/>
      <c r="D272" s="89"/>
      <c r="E272" s="89"/>
      <c r="AU272" s="96"/>
      <c r="AV272" s="96"/>
      <c r="AW272" s="96"/>
      <c r="AX272" s="96"/>
      <c r="AY272" s="96"/>
      <c r="AZ272" s="96"/>
      <c r="BA272" s="96"/>
      <c r="BB272" s="96"/>
      <c r="BC272" s="96"/>
    </row>
    <row r="273" spans="1:55" ht="15.75" customHeight="1" x14ac:dyDescent="0.2">
      <c r="A273" s="89"/>
      <c r="B273" s="89"/>
      <c r="C273" s="89"/>
      <c r="D273" s="89"/>
      <c r="E273" s="89"/>
      <c r="AU273" s="96"/>
      <c r="AV273" s="96"/>
      <c r="AW273" s="96"/>
      <c r="AX273" s="96"/>
      <c r="AY273" s="96"/>
      <c r="AZ273" s="96"/>
      <c r="BA273" s="96"/>
      <c r="BB273" s="96"/>
      <c r="BC273" s="96"/>
    </row>
    <row r="274" spans="1:55" ht="15.75" customHeight="1" x14ac:dyDescent="0.2">
      <c r="A274" s="89"/>
      <c r="B274" s="89"/>
      <c r="C274" s="89"/>
      <c r="D274" s="89"/>
      <c r="E274" s="89"/>
      <c r="AU274" s="96"/>
      <c r="AV274" s="96"/>
      <c r="AW274" s="96"/>
      <c r="AX274" s="96"/>
      <c r="AY274" s="96"/>
      <c r="AZ274" s="96"/>
      <c r="BA274" s="96"/>
      <c r="BB274" s="96"/>
      <c r="BC274" s="96"/>
    </row>
    <row r="275" spans="1:55" ht="15.75" customHeight="1" x14ac:dyDescent="0.2">
      <c r="A275" s="89"/>
      <c r="B275" s="89"/>
      <c r="C275" s="89"/>
      <c r="D275" s="89"/>
      <c r="E275" s="89"/>
      <c r="AU275" s="96"/>
      <c r="AV275" s="96"/>
      <c r="AW275" s="96"/>
      <c r="AX275" s="96"/>
      <c r="AY275" s="96"/>
      <c r="AZ275" s="96"/>
      <c r="BA275" s="96"/>
      <c r="BB275" s="96"/>
      <c r="BC275" s="96"/>
    </row>
    <row r="276" spans="1:55" ht="15.75" customHeight="1" x14ac:dyDescent="0.2">
      <c r="A276" s="89"/>
      <c r="B276" s="89"/>
      <c r="C276" s="89"/>
      <c r="D276" s="89"/>
      <c r="E276" s="89"/>
      <c r="AU276" s="96"/>
      <c r="AV276" s="96"/>
      <c r="AW276" s="96"/>
      <c r="AX276" s="96"/>
      <c r="AY276" s="96"/>
      <c r="AZ276" s="96"/>
      <c r="BA276" s="96"/>
      <c r="BB276" s="96"/>
      <c r="BC276" s="96"/>
    </row>
    <row r="277" spans="1:55" ht="15.75" customHeight="1" x14ac:dyDescent="0.2">
      <c r="A277" s="89"/>
      <c r="B277" s="89"/>
      <c r="C277" s="89"/>
      <c r="D277" s="89"/>
      <c r="E277" s="89"/>
      <c r="AU277" s="96"/>
      <c r="AV277" s="96"/>
      <c r="AW277" s="96"/>
      <c r="AX277" s="96"/>
      <c r="AY277" s="96"/>
      <c r="AZ277" s="96"/>
      <c r="BA277" s="96"/>
      <c r="BB277" s="96"/>
      <c r="BC277" s="96"/>
    </row>
    <row r="278" spans="1:55" ht="15.75" customHeight="1" x14ac:dyDescent="0.2">
      <c r="A278" s="89"/>
      <c r="B278" s="89"/>
      <c r="C278" s="89"/>
      <c r="D278" s="89"/>
      <c r="E278" s="89"/>
      <c r="AU278" s="96"/>
      <c r="AV278" s="96"/>
      <c r="AW278" s="96"/>
      <c r="AX278" s="96"/>
      <c r="AY278" s="96"/>
      <c r="AZ278" s="96"/>
      <c r="BA278" s="96"/>
      <c r="BB278" s="96"/>
      <c r="BC278" s="96"/>
    </row>
    <row r="279" spans="1:55" ht="15.75" customHeight="1" x14ac:dyDescent="0.2">
      <c r="A279" s="89"/>
      <c r="B279" s="89"/>
      <c r="C279" s="89"/>
      <c r="D279" s="89"/>
      <c r="E279" s="89"/>
      <c r="AU279" s="96"/>
      <c r="AV279" s="96"/>
      <c r="AW279" s="96"/>
      <c r="AX279" s="96"/>
      <c r="AY279" s="96"/>
      <c r="AZ279" s="96"/>
      <c r="BA279" s="96"/>
      <c r="BB279" s="96"/>
      <c r="BC279" s="96"/>
    </row>
    <row r="280" spans="1:55" ht="15.75" customHeight="1" x14ac:dyDescent="0.2">
      <c r="A280" s="89"/>
      <c r="B280" s="89"/>
      <c r="C280" s="89"/>
      <c r="D280" s="89"/>
      <c r="E280" s="89"/>
      <c r="AU280" s="96"/>
      <c r="AV280" s="96"/>
      <c r="AW280" s="96"/>
      <c r="AX280" s="96"/>
      <c r="AY280" s="96"/>
      <c r="AZ280" s="96"/>
      <c r="BA280" s="96"/>
      <c r="BB280" s="96"/>
      <c r="BC280" s="96"/>
    </row>
    <row r="281" spans="1:55" ht="15.75" customHeight="1" x14ac:dyDescent="0.2">
      <c r="A281" s="89"/>
      <c r="B281" s="89"/>
      <c r="C281" s="89"/>
      <c r="D281" s="89"/>
      <c r="E281" s="89"/>
      <c r="AU281" s="96"/>
      <c r="AV281" s="96"/>
      <c r="AW281" s="96"/>
      <c r="AX281" s="96"/>
      <c r="AY281" s="96"/>
      <c r="AZ281" s="96"/>
      <c r="BA281" s="96"/>
      <c r="BB281" s="96"/>
      <c r="BC281" s="96"/>
    </row>
    <row r="282" spans="1:55" ht="15.75" customHeight="1" x14ac:dyDescent="0.2">
      <c r="A282" s="89"/>
      <c r="B282" s="89"/>
      <c r="C282" s="89"/>
      <c r="D282" s="89"/>
      <c r="E282" s="89"/>
      <c r="AU282" s="96"/>
      <c r="AV282" s="96"/>
      <c r="AW282" s="96"/>
      <c r="AX282" s="96"/>
      <c r="AY282" s="96"/>
      <c r="AZ282" s="96"/>
      <c r="BA282" s="96"/>
      <c r="BB282" s="96"/>
      <c r="BC282" s="96"/>
    </row>
    <row r="283" spans="1:55" ht="15.75" customHeight="1" x14ac:dyDescent="0.2">
      <c r="A283" s="89"/>
      <c r="B283" s="89"/>
      <c r="C283" s="89"/>
      <c r="D283" s="89"/>
      <c r="E283" s="89"/>
      <c r="AU283" s="96"/>
      <c r="AV283" s="96"/>
      <c r="AW283" s="96"/>
      <c r="AX283" s="96"/>
      <c r="AY283" s="96"/>
      <c r="AZ283" s="96"/>
      <c r="BA283" s="96"/>
      <c r="BB283" s="96"/>
      <c r="BC283" s="96"/>
    </row>
    <row r="284" spans="1:55" ht="15.75" customHeight="1" x14ac:dyDescent="0.2">
      <c r="A284" s="89"/>
      <c r="B284" s="89"/>
      <c r="C284" s="89"/>
      <c r="D284" s="89"/>
      <c r="E284" s="89"/>
      <c r="AU284" s="96"/>
      <c r="AV284" s="96"/>
      <c r="AW284" s="96"/>
      <c r="AX284" s="96"/>
      <c r="AY284" s="96"/>
      <c r="AZ284" s="96"/>
      <c r="BA284" s="96"/>
      <c r="BB284" s="96"/>
      <c r="BC284" s="96"/>
    </row>
    <row r="285" spans="1:55" ht="15.75" customHeight="1" x14ac:dyDescent="0.2">
      <c r="A285" s="89"/>
      <c r="B285" s="89"/>
      <c r="C285" s="89"/>
      <c r="D285" s="89"/>
      <c r="E285" s="89"/>
      <c r="AU285" s="96"/>
      <c r="AV285" s="96"/>
      <c r="AW285" s="96"/>
      <c r="AX285" s="96"/>
      <c r="AY285" s="96"/>
      <c r="AZ285" s="96"/>
      <c r="BA285" s="96"/>
      <c r="BB285" s="96"/>
      <c r="BC285" s="96"/>
    </row>
    <row r="286" spans="1:55" ht="15.75" customHeight="1" x14ac:dyDescent="0.2">
      <c r="A286" s="89"/>
      <c r="B286" s="89"/>
      <c r="C286" s="89"/>
      <c r="D286" s="89"/>
      <c r="E286" s="89"/>
      <c r="AU286" s="96"/>
      <c r="AV286" s="96"/>
      <c r="AW286" s="96"/>
      <c r="AX286" s="96"/>
      <c r="AY286" s="96"/>
      <c r="AZ286" s="96"/>
      <c r="BA286" s="96"/>
      <c r="BB286" s="96"/>
      <c r="BC286" s="96"/>
    </row>
    <row r="287" spans="1:55" ht="15.75" customHeight="1" x14ac:dyDescent="0.2">
      <c r="A287" s="89"/>
      <c r="B287" s="89"/>
      <c r="C287" s="89"/>
      <c r="D287" s="89"/>
      <c r="E287" s="89"/>
      <c r="AU287" s="96"/>
      <c r="AV287" s="96"/>
      <c r="AW287" s="96"/>
      <c r="AX287" s="96"/>
      <c r="AY287" s="96"/>
      <c r="AZ287" s="96"/>
      <c r="BA287" s="96"/>
      <c r="BB287" s="96"/>
      <c r="BC287" s="96"/>
    </row>
    <row r="288" spans="1:55" ht="15.75" customHeight="1" x14ac:dyDescent="0.2">
      <c r="A288" s="89"/>
      <c r="B288" s="89"/>
      <c r="C288" s="89"/>
      <c r="D288" s="89"/>
      <c r="E288" s="89"/>
      <c r="AU288" s="96"/>
      <c r="AV288" s="96"/>
      <c r="AW288" s="96"/>
      <c r="AX288" s="96"/>
      <c r="AY288" s="96"/>
      <c r="AZ288" s="96"/>
      <c r="BA288" s="96"/>
      <c r="BB288" s="96"/>
      <c r="BC288" s="96"/>
    </row>
    <row r="289" spans="1:55" ht="15.75" customHeight="1" x14ac:dyDescent="0.2">
      <c r="A289" s="89"/>
      <c r="B289" s="89"/>
      <c r="C289" s="89"/>
      <c r="D289" s="89"/>
      <c r="E289" s="89"/>
      <c r="AU289" s="96"/>
      <c r="AV289" s="96"/>
      <c r="AW289" s="96"/>
      <c r="AX289" s="96"/>
      <c r="AY289" s="96"/>
      <c r="AZ289" s="96"/>
      <c r="BA289" s="96"/>
      <c r="BB289" s="96"/>
      <c r="BC289" s="96"/>
    </row>
    <row r="290" spans="1:55" ht="15.75" customHeight="1" x14ac:dyDescent="0.2">
      <c r="A290" s="89"/>
      <c r="B290" s="89"/>
      <c r="C290" s="89"/>
      <c r="D290" s="89"/>
      <c r="E290" s="89"/>
      <c r="AU290" s="96"/>
      <c r="AV290" s="96"/>
      <c r="AW290" s="96"/>
      <c r="AX290" s="96"/>
      <c r="AY290" s="96"/>
      <c r="AZ290" s="96"/>
      <c r="BA290" s="96"/>
      <c r="BB290" s="96"/>
      <c r="BC290" s="96"/>
    </row>
    <row r="291" spans="1:55" ht="15.75" customHeight="1" x14ac:dyDescent="0.2">
      <c r="A291" s="89"/>
      <c r="B291" s="89"/>
      <c r="C291" s="89"/>
      <c r="D291" s="89"/>
      <c r="E291" s="89"/>
      <c r="AU291" s="96"/>
      <c r="AV291" s="96"/>
      <c r="AW291" s="96"/>
      <c r="AX291" s="96"/>
      <c r="AY291" s="96"/>
      <c r="AZ291" s="96"/>
      <c r="BA291" s="96"/>
      <c r="BB291" s="96"/>
      <c r="BC291" s="96"/>
    </row>
    <row r="292" spans="1:55" ht="15.75" customHeight="1" x14ac:dyDescent="0.2">
      <c r="A292" s="89"/>
      <c r="B292" s="89"/>
      <c r="C292" s="89"/>
      <c r="D292" s="89"/>
      <c r="E292" s="89"/>
      <c r="AU292" s="96"/>
      <c r="AV292" s="96"/>
      <c r="AW292" s="96"/>
      <c r="AX292" s="96"/>
      <c r="AY292" s="96"/>
      <c r="AZ292" s="96"/>
      <c r="BA292" s="96"/>
      <c r="BB292" s="96"/>
      <c r="BC292" s="96"/>
    </row>
    <row r="293" spans="1:55" ht="15.75" customHeight="1" x14ac:dyDescent="0.2">
      <c r="A293" s="89"/>
      <c r="B293" s="89"/>
      <c r="C293" s="89"/>
      <c r="D293" s="89"/>
      <c r="E293" s="89"/>
      <c r="AU293" s="96"/>
      <c r="AV293" s="96"/>
      <c r="AW293" s="96"/>
      <c r="AX293" s="96"/>
      <c r="AY293" s="96"/>
      <c r="AZ293" s="96"/>
      <c r="BA293" s="96"/>
      <c r="BB293" s="96"/>
      <c r="BC293" s="96"/>
    </row>
    <row r="294" spans="1:55" ht="15.75" customHeight="1" x14ac:dyDescent="0.2">
      <c r="A294" s="89"/>
      <c r="B294" s="89"/>
      <c r="C294" s="89"/>
      <c r="D294" s="89"/>
      <c r="E294" s="89"/>
      <c r="AU294" s="96"/>
      <c r="AV294" s="96"/>
      <c r="AW294" s="96"/>
      <c r="AX294" s="96"/>
      <c r="AY294" s="96"/>
      <c r="AZ294" s="96"/>
      <c r="BA294" s="96"/>
      <c r="BB294" s="96"/>
      <c r="BC294" s="96"/>
    </row>
    <row r="295" spans="1:55" ht="15.75" customHeight="1" x14ac:dyDescent="0.2">
      <c r="A295" s="89"/>
      <c r="B295" s="89"/>
      <c r="C295" s="89"/>
      <c r="D295" s="89"/>
      <c r="E295" s="89"/>
      <c r="AU295" s="96"/>
      <c r="AV295" s="96"/>
      <c r="AW295" s="96"/>
      <c r="AX295" s="96"/>
      <c r="AY295" s="96"/>
      <c r="AZ295" s="96"/>
      <c r="BA295" s="96"/>
      <c r="BB295" s="96"/>
      <c r="BC295" s="96"/>
    </row>
    <row r="296" spans="1:55" ht="15.75" customHeight="1" x14ac:dyDescent="0.2">
      <c r="A296" s="89"/>
      <c r="B296" s="89"/>
      <c r="C296" s="89"/>
      <c r="D296" s="89"/>
      <c r="E296" s="89"/>
      <c r="AU296" s="96"/>
      <c r="AV296" s="96"/>
      <c r="AW296" s="96"/>
      <c r="AX296" s="96"/>
      <c r="AY296" s="96"/>
      <c r="AZ296" s="96"/>
      <c r="BA296" s="96"/>
      <c r="BB296" s="96"/>
      <c r="BC296" s="96"/>
    </row>
    <row r="297" spans="1:55" ht="15.75" customHeight="1" x14ac:dyDescent="0.2">
      <c r="A297" s="89"/>
      <c r="B297" s="89"/>
      <c r="C297" s="89"/>
      <c r="D297" s="89"/>
      <c r="E297" s="89"/>
      <c r="AU297" s="96"/>
      <c r="AV297" s="96"/>
      <c r="AW297" s="96"/>
      <c r="AX297" s="96"/>
      <c r="AY297" s="96"/>
      <c r="AZ297" s="96"/>
      <c r="BA297" s="96"/>
      <c r="BB297" s="96"/>
      <c r="BC297" s="96"/>
    </row>
    <row r="298" spans="1:55" ht="15.75" customHeight="1" x14ac:dyDescent="0.2">
      <c r="A298" s="89"/>
      <c r="B298" s="89"/>
      <c r="C298" s="89"/>
      <c r="D298" s="89"/>
      <c r="E298" s="89"/>
      <c r="AU298" s="96"/>
      <c r="AV298" s="96"/>
      <c r="AW298" s="96"/>
      <c r="AX298" s="96"/>
      <c r="AY298" s="96"/>
      <c r="AZ298" s="96"/>
      <c r="BA298" s="96"/>
      <c r="BB298" s="96"/>
      <c r="BC298" s="96"/>
    </row>
    <row r="299" spans="1:55" ht="15.75" customHeight="1" x14ac:dyDescent="0.2">
      <c r="A299" s="89"/>
      <c r="B299" s="89"/>
      <c r="C299" s="89"/>
      <c r="D299" s="89"/>
      <c r="E299" s="89"/>
      <c r="AU299" s="96"/>
      <c r="AV299" s="96"/>
      <c r="AW299" s="96"/>
      <c r="AX299" s="96"/>
      <c r="AY299" s="96"/>
      <c r="AZ299" s="96"/>
      <c r="BA299" s="96"/>
      <c r="BB299" s="96"/>
      <c r="BC299" s="96"/>
    </row>
    <row r="300" spans="1:55" ht="15.75" customHeight="1" x14ac:dyDescent="0.2">
      <c r="A300" s="89"/>
      <c r="B300" s="89"/>
      <c r="C300" s="89"/>
      <c r="D300" s="89"/>
      <c r="E300" s="89"/>
      <c r="AU300" s="96"/>
      <c r="AV300" s="96"/>
      <c r="AW300" s="96"/>
      <c r="AX300" s="96"/>
      <c r="AY300" s="96"/>
      <c r="AZ300" s="96"/>
      <c r="BA300" s="96"/>
      <c r="BB300" s="96"/>
      <c r="BC300" s="96"/>
    </row>
    <row r="301" spans="1:55" ht="15.75" customHeight="1" x14ac:dyDescent="0.2">
      <c r="A301" s="89"/>
      <c r="B301" s="89"/>
      <c r="C301" s="89"/>
      <c r="D301" s="89"/>
      <c r="E301" s="89"/>
      <c r="AU301" s="96"/>
      <c r="AV301" s="96"/>
      <c r="AW301" s="96"/>
      <c r="AX301" s="96"/>
      <c r="AY301" s="96"/>
      <c r="AZ301" s="96"/>
      <c r="BA301" s="96"/>
      <c r="BB301" s="96"/>
      <c r="BC301" s="96"/>
    </row>
    <row r="302" spans="1:55" ht="15.75" customHeight="1" x14ac:dyDescent="0.2">
      <c r="A302" s="89"/>
      <c r="B302" s="89"/>
      <c r="C302" s="89"/>
      <c r="D302" s="89"/>
      <c r="E302" s="89"/>
      <c r="AU302" s="96"/>
      <c r="AV302" s="96"/>
      <c r="AW302" s="96"/>
      <c r="AX302" s="96"/>
      <c r="AY302" s="96"/>
      <c r="AZ302" s="96"/>
      <c r="BA302" s="96"/>
      <c r="BB302" s="96"/>
      <c r="BC302" s="96"/>
    </row>
    <row r="303" spans="1:55" ht="15.75" customHeight="1" x14ac:dyDescent="0.2">
      <c r="A303" s="89"/>
      <c r="B303" s="89"/>
      <c r="C303" s="89"/>
      <c r="D303" s="89"/>
      <c r="E303" s="89"/>
      <c r="AU303" s="96"/>
      <c r="AV303" s="96"/>
      <c r="AW303" s="96"/>
      <c r="AX303" s="96"/>
      <c r="AY303" s="96"/>
      <c r="AZ303" s="96"/>
      <c r="BA303" s="96"/>
      <c r="BB303" s="96"/>
      <c r="BC303" s="96"/>
    </row>
    <row r="304" spans="1:55" ht="15.75" customHeight="1" x14ac:dyDescent="0.2">
      <c r="A304" s="89"/>
      <c r="B304" s="89"/>
      <c r="C304" s="89"/>
      <c r="D304" s="89"/>
      <c r="E304" s="89"/>
      <c r="AU304" s="96"/>
      <c r="AV304" s="96"/>
      <c r="AW304" s="96"/>
      <c r="AX304" s="96"/>
      <c r="AY304" s="96"/>
      <c r="AZ304" s="96"/>
      <c r="BA304" s="96"/>
      <c r="BB304" s="96"/>
      <c r="BC304" s="96"/>
    </row>
    <row r="305" spans="1:55" ht="15.75" customHeight="1" x14ac:dyDescent="0.2">
      <c r="A305" s="89"/>
      <c r="B305" s="89"/>
      <c r="C305" s="89"/>
      <c r="D305" s="89"/>
      <c r="E305" s="89"/>
      <c r="AU305" s="96"/>
      <c r="AV305" s="96"/>
      <c r="AW305" s="96"/>
      <c r="AX305" s="96"/>
      <c r="AY305" s="96"/>
      <c r="AZ305" s="96"/>
      <c r="BA305" s="96"/>
      <c r="BB305" s="96"/>
      <c r="BC305" s="96"/>
    </row>
    <row r="306" spans="1:55" ht="15.75" customHeight="1" x14ac:dyDescent="0.2">
      <c r="A306" s="89"/>
      <c r="B306" s="89"/>
      <c r="C306" s="89"/>
      <c r="D306" s="89"/>
      <c r="E306" s="89"/>
      <c r="AU306" s="96"/>
      <c r="AV306" s="96"/>
      <c r="AW306" s="96"/>
      <c r="AX306" s="96"/>
      <c r="AY306" s="96"/>
      <c r="AZ306" s="96"/>
      <c r="BA306" s="96"/>
      <c r="BB306" s="96"/>
      <c r="BC306" s="96"/>
    </row>
    <row r="307" spans="1:55" ht="15.75" customHeight="1" x14ac:dyDescent="0.2">
      <c r="A307" s="89"/>
      <c r="B307" s="89"/>
      <c r="C307" s="89"/>
      <c r="D307" s="89"/>
      <c r="E307" s="89"/>
      <c r="AU307" s="96"/>
      <c r="AV307" s="96"/>
      <c r="AW307" s="96"/>
      <c r="AX307" s="96"/>
      <c r="AY307" s="96"/>
      <c r="AZ307" s="96"/>
      <c r="BA307" s="96"/>
      <c r="BB307" s="96"/>
      <c r="BC307" s="96"/>
    </row>
    <row r="308" spans="1:55" ht="15.75" customHeight="1" x14ac:dyDescent="0.2">
      <c r="A308" s="89"/>
      <c r="B308" s="89"/>
      <c r="C308" s="89"/>
      <c r="D308" s="89"/>
      <c r="E308" s="89"/>
      <c r="AU308" s="96"/>
      <c r="AV308" s="96"/>
      <c r="AW308" s="96"/>
      <c r="AX308" s="96"/>
      <c r="AY308" s="96"/>
      <c r="AZ308" s="96"/>
      <c r="BA308" s="96"/>
      <c r="BB308" s="96"/>
      <c r="BC308" s="96"/>
    </row>
    <row r="309" spans="1:55" ht="15.75" customHeight="1" x14ac:dyDescent="0.2">
      <c r="A309" s="89"/>
      <c r="B309" s="89"/>
      <c r="C309" s="89"/>
      <c r="D309" s="89"/>
      <c r="E309" s="89"/>
      <c r="AU309" s="96"/>
      <c r="AV309" s="96"/>
      <c r="AW309" s="96"/>
      <c r="AX309" s="96"/>
      <c r="AY309" s="96"/>
      <c r="AZ309" s="96"/>
      <c r="BA309" s="96"/>
      <c r="BB309" s="96"/>
      <c r="BC309" s="96"/>
    </row>
    <row r="310" spans="1:55" ht="15.75" customHeight="1" x14ac:dyDescent="0.2">
      <c r="A310" s="89"/>
      <c r="B310" s="89"/>
      <c r="C310" s="89"/>
      <c r="D310" s="89"/>
      <c r="E310" s="89"/>
      <c r="AU310" s="96"/>
      <c r="AV310" s="96"/>
      <c r="AW310" s="96"/>
      <c r="AX310" s="96"/>
      <c r="AY310" s="96"/>
      <c r="AZ310" s="96"/>
      <c r="BA310" s="96"/>
      <c r="BB310" s="96"/>
      <c r="BC310" s="96"/>
    </row>
    <row r="311" spans="1:55" ht="15.75" customHeight="1" x14ac:dyDescent="0.2">
      <c r="A311" s="89"/>
      <c r="B311" s="89"/>
      <c r="C311" s="89"/>
      <c r="D311" s="89"/>
      <c r="E311" s="89"/>
      <c r="AU311" s="96"/>
      <c r="AV311" s="96"/>
      <c r="AW311" s="96"/>
      <c r="AX311" s="96"/>
      <c r="AY311" s="96"/>
      <c r="AZ311" s="96"/>
      <c r="BA311" s="96"/>
      <c r="BB311" s="96"/>
      <c r="BC311" s="96"/>
    </row>
    <row r="312" spans="1:55" ht="15.75" customHeight="1" x14ac:dyDescent="0.2">
      <c r="A312" s="89"/>
      <c r="B312" s="89"/>
      <c r="C312" s="89"/>
      <c r="D312" s="89"/>
      <c r="E312" s="89"/>
      <c r="AU312" s="96"/>
      <c r="AV312" s="96"/>
      <c r="AW312" s="96"/>
      <c r="AX312" s="96"/>
      <c r="AY312" s="96"/>
      <c r="AZ312" s="96"/>
      <c r="BA312" s="96"/>
      <c r="BB312" s="96"/>
      <c r="BC312" s="96"/>
    </row>
    <row r="313" spans="1:55" ht="15.75" customHeight="1" x14ac:dyDescent="0.2">
      <c r="A313" s="89"/>
      <c r="B313" s="89"/>
      <c r="C313" s="89"/>
      <c r="D313" s="89"/>
      <c r="E313" s="89"/>
      <c r="AU313" s="96"/>
      <c r="AV313" s="96"/>
      <c r="AW313" s="96"/>
      <c r="AX313" s="96"/>
      <c r="AY313" s="96"/>
      <c r="AZ313" s="96"/>
      <c r="BA313" s="96"/>
      <c r="BB313" s="96"/>
      <c r="BC313" s="96"/>
    </row>
    <row r="314" spans="1:55" ht="15.75" customHeight="1" x14ac:dyDescent="0.2">
      <c r="A314" s="89"/>
      <c r="B314" s="89"/>
      <c r="C314" s="89"/>
      <c r="D314" s="89"/>
      <c r="E314" s="89"/>
      <c r="AU314" s="96"/>
      <c r="AV314" s="96"/>
      <c r="AW314" s="96"/>
      <c r="AX314" s="96"/>
      <c r="AY314" s="96"/>
      <c r="AZ314" s="96"/>
      <c r="BA314" s="96"/>
      <c r="BB314" s="96"/>
      <c r="BC314" s="96"/>
    </row>
    <row r="315" spans="1:55" ht="15.75" customHeight="1" x14ac:dyDescent="0.2">
      <c r="A315" s="89"/>
      <c r="B315" s="89"/>
      <c r="C315" s="89"/>
      <c r="D315" s="89"/>
      <c r="E315" s="89"/>
      <c r="AU315" s="96"/>
      <c r="AV315" s="96"/>
      <c r="AW315" s="96"/>
      <c r="AX315" s="96"/>
      <c r="AY315" s="96"/>
      <c r="AZ315" s="96"/>
      <c r="BA315" s="96"/>
      <c r="BB315" s="96"/>
      <c r="BC315" s="96"/>
    </row>
    <row r="316" spans="1:55" ht="15.75" customHeight="1" x14ac:dyDescent="0.2">
      <c r="A316" s="89"/>
      <c r="B316" s="89"/>
      <c r="C316" s="89"/>
      <c r="D316" s="89"/>
      <c r="E316" s="89"/>
      <c r="AU316" s="96"/>
      <c r="AV316" s="96"/>
      <c r="AW316" s="96"/>
      <c r="AX316" s="96"/>
      <c r="AY316" s="96"/>
      <c r="AZ316" s="96"/>
      <c r="BA316" s="96"/>
      <c r="BB316" s="96"/>
      <c r="BC316" s="96"/>
    </row>
    <row r="317" spans="1:55" ht="15.75" customHeight="1" x14ac:dyDescent="0.2">
      <c r="A317" s="89"/>
      <c r="B317" s="89"/>
      <c r="C317" s="89"/>
      <c r="D317" s="89"/>
      <c r="E317" s="89"/>
      <c r="AU317" s="96"/>
      <c r="AV317" s="96"/>
      <c r="AW317" s="96"/>
      <c r="AX317" s="96"/>
      <c r="AY317" s="96"/>
      <c r="AZ317" s="96"/>
      <c r="BA317" s="96"/>
      <c r="BB317" s="96"/>
      <c r="BC317" s="96"/>
    </row>
    <row r="318" spans="1:55" ht="15.75" customHeight="1" x14ac:dyDescent="0.2">
      <c r="A318" s="89"/>
      <c r="B318" s="89"/>
      <c r="C318" s="89"/>
      <c r="D318" s="89"/>
      <c r="E318" s="89"/>
      <c r="AU318" s="96"/>
      <c r="AV318" s="96"/>
      <c r="AW318" s="96"/>
      <c r="AX318" s="96"/>
      <c r="AY318" s="96"/>
      <c r="AZ318" s="96"/>
      <c r="BA318" s="96"/>
      <c r="BB318" s="96"/>
      <c r="BC318" s="96"/>
    </row>
    <row r="319" spans="1:55" ht="15.75" customHeight="1" x14ac:dyDescent="0.2">
      <c r="A319" s="89"/>
      <c r="B319" s="89"/>
      <c r="C319" s="89"/>
      <c r="D319" s="89"/>
      <c r="E319" s="89"/>
      <c r="AU319" s="96"/>
      <c r="AV319" s="96"/>
      <c r="AW319" s="96"/>
      <c r="AX319" s="96"/>
      <c r="AY319" s="96"/>
      <c r="AZ319" s="96"/>
      <c r="BA319" s="96"/>
      <c r="BB319" s="96"/>
      <c r="BC319" s="96"/>
    </row>
    <row r="320" spans="1:55" ht="15.75" customHeight="1" x14ac:dyDescent="0.2">
      <c r="A320" s="89"/>
      <c r="B320" s="89"/>
      <c r="C320" s="89"/>
      <c r="D320" s="89"/>
      <c r="E320" s="89"/>
      <c r="AU320" s="96"/>
      <c r="AV320" s="96"/>
      <c r="AW320" s="96"/>
      <c r="AX320" s="96"/>
      <c r="AY320" s="96"/>
      <c r="AZ320" s="96"/>
      <c r="BA320" s="96"/>
      <c r="BB320" s="96"/>
      <c r="BC320" s="96"/>
    </row>
    <row r="321" spans="1:55" ht="15.75" customHeight="1" x14ac:dyDescent="0.2">
      <c r="A321" s="89"/>
      <c r="B321" s="89"/>
      <c r="C321" s="89"/>
      <c r="D321" s="89"/>
      <c r="E321" s="89"/>
      <c r="AU321" s="96"/>
      <c r="AV321" s="96"/>
      <c r="AW321" s="96"/>
      <c r="AX321" s="96"/>
      <c r="AY321" s="96"/>
      <c r="AZ321" s="96"/>
      <c r="BA321" s="96"/>
      <c r="BB321" s="96"/>
      <c r="BC321" s="96"/>
    </row>
    <row r="322" spans="1:55" ht="15.75" customHeight="1" x14ac:dyDescent="0.2">
      <c r="A322" s="89"/>
      <c r="B322" s="89"/>
      <c r="C322" s="89"/>
      <c r="D322" s="89"/>
      <c r="E322" s="89"/>
      <c r="AU322" s="96"/>
      <c r="AV322" s="96"/>
      <c r="AW322" s="96"/>
      <c r="AX322" s="96"/>
      <c r="AY322" s="96"/>
      <c r="AZ322" s="96"/>
      <c r="BA322" s="96"/>
      <c r="BB322" s="96"/>
      <c r="BC322" s="96"/>
    </row>
    <row r="323" spans="1:55" ht="15.75" customHeight="1" x14ac:dyDescent="0.2">
      <c r="A323" s="89"/>
      <c r="B323" s="89"/>
      <c r="C323" s="89"/>
      <c r="D323" s="89"/>
      <c r="E323" s="89"/>
      <c r="AU323" s="96"/>
      <c r="AV323" s="96"/>
      <c r="AW323" s="96"/>
      <c r="AX323" s="96"/>
      <c r="AY323" s="96"/>
      <c r="AZ323" s="96"/>
      <c r="BA323" s="96"/>
      <c r="BB323" s="96"/>
      <c r="BC323" s="96"/>
    </row>
    <row r="324" spans="1:55" ht="15.75" customHeight="1" x14ac:dyDescent="0.2">
      <c r="A324" s="89"/>
      <c r="B324" s="89"/>
      <c r="C324" s="89"/>
      <c r="D324" s="89"/>
      <c r="E324" s="89"/>
      <c r="AU324" s="96"/>
      <c r="AV324" s="96"/>
      <c r="AW324" s="96"/>
      <c r="AX324" s="96"/>
      <c r="AY324" s="96"/>
      <c r="AZ324" s="96"/>
      <c r="BA324" s="96"/>
      <c r="BB324" s="96"/>
      <c r="BC324" s="96"/>
    </row>
    <row r="325" spans="1:55" ht="15.75" customHeight="1" x14ac:dyDescent="0.2">
      <c r="A325" s="89"/>
      <c r="B325" s="89"/>
      <c r="C325" s="89"/>
      <c r="D325" s="89"/>
      <c r="E325" s="89"/>
      <c r="AU325" s="96"/>
      <c r="AV325" s="96"/>
      <c r="AW325" s="96"/>
      <c r="AX325" s="96"/>
      <c r="AY325" s="96"/>
      <c r="AZ325" s="96"/>
      <c r="BA325" s="96"/>
      <c r="BB325" s="96"/>
      <c r="BC325" s="96"/>
    </row>
    <row r="326" spans="1:55" ht="15.75" customHeight="1" x14ac:dyDescent="0.2">
      <c r="A326" s="89"/>
      <c r="B326" s="89"/>
      <c r="C326" s="89"/>
      <c r="D326" s="89"/>
      <c r="E326" s="89"/>
      <c r="AU326" s="96"/>
      <c r="AV326" s="96"/>
      <c r="AW326" s="96"/>
      <c r="AX326" s="96"/>
      <c r="AY326" s="96"/>
      <c r="AZ326" s="96"/>
      <c r="BA326" s="96"/>
      <c r="BB326" s="96"/>
      <c r="BC326" s="96"/>
    </row>
    <row r="327" spans="1:55" ht="15.75" customHeight="1" x14ac:dyDescent="0.2">
      <c r="A327" s="89"/>
      <c r="B327" s="89"/>
      <c r="C327" s="89"/>
      <c r="D327" s="89"/>
      <c r="E327" s="89"/>
      <c r="AU327" s="96"/>
      <c r="AV327" s="96"/>
      <c r="AW327" s="96"/>
      <c r="AX327" s="96"/>
      <c r="AY327" s="96"/>
      <c r="AZ327" s="96"/>
      <c r="BA327" s="96"/>
      <c r="BB327" s="96"/>
      <c r="BC327" s="96"/>
    </row>
    <row r="328" spans="1:55" ht="15.75" customHeight="1" x14ac:dyDescent="0.2">
      <c r="A328" s="89"/>
      <c r="B328" s="89"/>
      <c r="C328" s="89"/>
      <c r="D328" s="89"/>
      <c r="E328" s="89"/>
      <c r="AU328" s="96"/>
      <c r="AV328" s="96"/>
      <c r="AW328" s="96"/>
      <c r="AX328" s="96"/>
      <c r="AY328" s="96"/>
      <c r="AZ328" s="96"/>
      <c r="BA328" s="96"/>
      <c r="BB328" s="96"/>
      <c r="BC328" s="96"/>
    </row>
    <row r="329" spans="1:55" ht="15.75" customHeight="1" x14ac:dyDescent="0.2">
      <c r="A329" s="89"/>
      <c r="B329" s="89"/>
      <c r="C329" s="89"/>
      <c r="D329" s="89"/>
      <c r="E329" s="89"/>
      <c r="AU329" s="96"/>
      <c r="AV329" s="96"/>
      <c r="AW329" s="96"/>
      <c r="AX329" s="96"/>
      <c r="AY329" s="96"/>
      <c r="AZ329" s="96"/>
      <c r="BA329" s="96"/>
      <c r="BB329" s="96"/>
      <c r="BC329" s="96"/>
    </row>
    <row r="330" spans="1:55" ht="15.75" customHeight="1" x14ac:dyDescent="0.2">
      <c r="A330" s="89"/>
      <c r="B330" s="89"/>
      <c r="C330" s="89"/>
      <c r="D330" s="89"/>
      <c r="E330" s="89"/>
      <c r="AU330" s="96"/>
      <c r="AV330" s="96"/>
      <c r="AW330" s="96"/>
      <c r="AX330" s="96"/>
      <c r="AY330" s="96"/>
      <c r="AZ330" s="96"/>
      <c r="BA330" s="96"/>
      <c r="BB330" s="96"/>
      <c r="BC330" s="96"/>
    </row>
    <row r="331" spans="1:55" ht="15.75" customHeight="1" x14ac:dyDescent="0.2">
      <c r="A331" s="89"/>
      <c r="B331" s="89"/>
      <c r="C331" s="89"/>
      <c r="D331" s="89"/>
      <c r="E331" s="89"/>
      <c r="AU331" s="96"/>
      <c r="AV331" s="96"/>
      <c r="AW331" s="96"/>
      <c r="AX331" s="96"/>
      <c r="AY331" s="96"/>
      <c r="AZ331" s="96"/>
      <c r="BA331" s="96"/>
      <c r="BB331" s="96"/>
      <c r="BC331" s="96"/>
    </row>
    <row r="332" spans="1:55" ht="15.75" customHeight="1" x14ac:dyDescent="0.2">
      <c r="A332" s="89"/>
      <c r="B332" s="89"/>
      <c r="C332" s="89"/>
      <c r="D332" s="89"/>
      <c r="E332" s="89"/>
      <c r="AU332" s="96"/>
      <c r="AV332" s="96"/>
      <c r="AW332" s="96"/>
      <c r="AX332" s="96"/>
      <c r="AY332" s="96"/>
      <c r="AZ332" s="96"/>
      <c r="BA332" s="96"/>
      <c r="BB332" s="96"/>
      <c r="BC332" s="96"/>
    </row>
    <row r="333" spans="1:55" ht="15.75" customHeight="1" x14ac:dyDescent="0.2">
      <c r="A333" s="89"/>
      <c r="B333" s="89"/>
      <c r="C333" s="89"/>
      <c r="D333" s="89"/>
      <c r="E333" s="89"/>
      <c r="AU333" s="96"/>
      <c r="AV333" s="96"/>
      <c r="AW333" s="96"/>
      <c r="AX333" s="96"/>
      <c r="AY333" s="96"/>
      <c r="AZ333" s="96"/>
      <c r="BA333" s="96"/>
      <c r="BB333" s="96"/>
      <c r="BC333" s="96"/>
    </row>
    <row r="334" spans="1:55" ht="15.75" customHeight="1" x14ac:dyDescent="0.2">
      <c r="A334" s="89"/>
      <c r="B334" s="89"/>
      <c r="C334" s="89"/>
      <c r="D334" s="89"/>
      <c r="E334" s="89"/>
      <c r="AU334" s="96"/>
      <c r="AV334" s="96"/>
      <c r="AW334" s="96"/>
      <c r="AX334" s="96"/>
      <c r="AY334" s="96"/>
      <c r="AZ334" s="96"/>
      <c r="BA334" s="96"/>
      <c r="BB334" s="96"/>
      <c r="BC334" s="96"/>
    </row>
    <row r="335" spans="1:55" ht="15.75" customHeight="1" x14ac:dyDescent="0.2">
      <c r="A335" s="89"/>
      <c r="B335" s="89"/>
      <c r="C335" s="89"/>
      <c r="D335" s="89"/>
      <c r="E335" s="89"/>
      <c r="AU335" s="96"/>
      <c r="AV335" s="96"/>
      <c r="AW335" s="96"/>
      <c r="AX335" s="96"/>
      <c r="AY335" s="96"/>
      <c r="AZ335" s="96"/>
      <c r="BA335" s="96"/>
      <c r="BB335" s="96"/>
      <c r="BC335" s="96"/>
    </row>
    <row r="336" spans="1:55" ht="15.75" customHeight="1" x14ac:dyDescent="0.2">
      <c r="A336" s="89"/>
      <c r="B336" s="89"/>
      <c r="C336" s="89"/>
      <c r="D336" s="89"/>
      <c r="E336" s="89"/>
      <c r="AU336" s="96"/>
      <c r="AV336" s="96"/>
      <c r="AW336" s="96"/>
      <c r="AX336" s="96"/>
      <c r="AY336" s="96"/>
      <c r="AZ336" s="96"/>
      <c r="BA336" s="96"/>
      <c r="BB336" s="96"/>
      <c r="BC336" s="96"/>
    </row>
    <row r="337" spans="1:55" ht="15.75" customHeight="1" x14ac:dyDescent="0.2">
      <c r="A337" s="89"/>
      <c r="B337" s="89"/>
      <c r="C337" s="89"/>
      <c r="D337" s="89"/>
      <c r="E337" s="89"/>
      <c r="AU337" s="96"/>
      <c r="AV337" s="96"/>
      <c r="AW337" s="96"/>
      <c r="AX337" s="96"/>
      <c r="AY337" s="96"/>
      <c r="AZ337" s="96"/>
      <c r="BA337" s="96"/>
      <c r="BB337" s="96"/>
      <c r="BC337" s="96"/>
    </row>
    <row r="338" spans="1:55" ht="15.75" customHeight="1" x14ac:dyDescent="0.2">
      <c r="A338" s="89"/>
      <c r="B338" s="89"/>
      <c r="C338" s="89"/>
      <c r="D338" s="89"/>
      <c r="E338" s="89"/>
      <c r="AU338" s="96"/>
      <c r="AV338" s="96"/>
      <c r="AW338" s="96"/>
      <c r="AX338" s="96"/>
      <c r="AY338" s="96"/>
      <c r="AZ338" s="96"/>
      <c r="BA338" s="96"/>
      <c r="BB338" s="96"/>
      <c r="BC338" s="96"/>
    </row>
    <row r="339" spans="1:55" ht="15.75" customHeight="1" x14ac:dyDescent="0.2">
      <c r="A339" s="89"/>
      <c r="B339" s="89"/>
      <c r="C339" s="89"/>
      <c r="D339" s="89"/>
      <c r="E339" s="89"/>
      <c r="AU339" s="96"/>
      <c r="AV339" s="96"/>
      <c r="AW339" s="96"/>
      <c r="AX339" s="96"/>
      <c r="AY339" s="96"/>
      <c r="AZ339" s="96"/>
      <c r="BA339" s="96"/>
      <c r="BB339" s="96"/>
      <c r="BC339" s="96"/>
    </row>
    <row r="340" spans="1:55" ht="15.75" customHeight="1" x14ac:dyDescent="0.2">
      <c r="A340" s="89"/>
      <c r="B340" s="89"/>
      <c r="C340" s="89"/>
      <c r="D340" s="89"/>
      <c r="E340" s="89"/>
      <c r="AU340" s="96"/>
      <c r="AV340" s="96"/>
      <c r="AW340" s="96"/>
      <c r="AX340" s="96"/>
      <c r="AY340" s="96"/>
      <c r="AZ340" s="96"/>
      <c r="BA340" s="96"/>
      <c r="BB340" s="96"/>
      <c r="BC340" s="96"/>
    </row>
    <row r="341" spans="1:55" ht="15.75" customHeight="1" x14ac:dyDescent="0.2">
      <c r="A341" s="89"/>
      <c r="B341" s="89"/>
      <c r="C341" s="89"/>
      <c r="D341" s="89"/>
      <c r="E341" s="89"/>
      <c r="AU341" s="96"/>
      <c r="AV341" s="96"/>
      <c r="AW341" s="96"/>
      <c r="AX341" s="96"/>
      <c r="AY341" s="96"/>
      <c r="AZ341" s="96"/>
      <c r="BA341" s="96"/>
      <c r="BB341" s="96"/>
      <c r="BC341" s="96"/>
    </row>
    <row r="342" spans="1:55" ht="15.75" customHeight="1" x14ac:dyDescent="0.2">
      <c r="A342" s="89"/>
      <c r="B342" s="89"/>
      <c r="C342" s="89"/>
      <c r="D342" s="89"/>
      <c r="E342" s="89"/>
      <c r="AU342" s="96"/>
      <c r="AV342" s="96"/>
      <c r="AW342" s="96"/>
      <c r="AX342" s="96"/>
      <c r="AY342" s="96"/>
      <c r="AZ342" s="96"/>
      <c r="BA342" s="96"/>
      <c r="BB342" s="96"/>
      <c r="BC342" s="96"/>
    </row>
    <row r="343" spans="1:55" ht="15.75" customHeight="1" x14ac:dyDescent="0.2">
      <c r="A343" s="89"/>
      <c r="B343" s="89"/>
      <c r="C343" s="89"/>
      <c r="D343" s="89"/>
      <c r="E343" s="89"/>
      <c r="AU343" s="96"/>
      <c r="AV343" s="96"/>
      <c r="AW343" s="96"/>
      <c r="AX343" s="96"/>
      <c r="AY343" s="96"/>
      <c r="AZ343" s="96"/>
      <c r="BA343" s="96"/>
      <c r="BB343" s="96"/>
      <c r="BC343" s="96"/>
    </row>
    <row r="344" spans="1:55" ht="15.75" customHeight="1" x14ac:dyDescent="0.2">
      <c r="A344" s="89"/>
      <c r="B344" s="89"/>
      <c r="C344" s="89"/>
      <c r="D344" s="89"/>
      <c r="E344" s="89"/>
      <c r="AU344" s="96"/>
      <c r="AV344" s="96"/>
      <c r="AW344" s="96"/>
      <c r="AX344" s="96"/>
      <c r="AY344" s="96"/>
      <c r="AZ344" s="96"/>
      <c r="BA344" s="96"/>
      <c r="BB344" s="96"/>
      <c r="BC344" s="96"/>
    </row>
    <row r="345" spans="1:55" ht="15.75" customHeight="1" x14ac:dyDescent="0.2">
      <c r="A345" s="89"/>
      <c r="B345" s="89"/>
      <c r="C345" s="89"/>
      <c r="D345" s="89"/>
      <c r="E345" s="89"/>
      <c r="AU345" s="96"/>
      <c r="AV345" s="96"/>
      <c r="AW345" s="96"/>
      <c r="AX345" s="96"/>
      <c r="AY345" s="96"/>
      <c r="AZ345" s="96"/>
      <c r="BA345" s="96"/>
      <c r="BB345" s="96"/>
      <c r="BC345" s="96"/>
    </row>
    <row r="346" spans="1:55" ht="15.75" customHeight="1" x14ac:dyDescent="0.2">
      <c r="A346" s="89"/>
      <c r="B346" s="89"/>
      <c r="C346" s="89"/>
      <c r="D346" s="89"/>
      <c r="E346" s="89"/>
      <c r="AU346" s="96"/>
      <c r="AV346" s="96"/>
      <c r="AW346" s="96"/>
      <c r="AX346" s="96"/>
      <c r="AY346" s="96"/>
      <c r="AZ346" s="96"/>
      <c r="BA346" s="96"/>
      <c r="BB346" s="96"/>
      <c r="BC346" s="96"/>
    </row>
    <row r="347" spans="1:55" ht="15.75" customHeight="1" x14ac:dyDescent="0.2">
      <c r="A347" s="89"/>
      <c r="B347" s="89"/>
      <c r="C347" s="89"/>
      <c r="D347" s="89"/>
      <c r="E347" s="89"/>
      <c r="AU347" s="96"/>
      <c r="AV347" s="96"/>
      <c r="AW347" s="96"/>
      <c r="AX347" s="96"/>
      <c r="AY347" s="96"/>
      <c r="AZ347" s="96"/>
      <c r="BA347" s="96"/>
      <c r="BB347" s="96"/>
      <c r="BC347" s="96"/>
    </row>
    <row r="348" spans="1:55" ht="15.75" customHeight="1" x14ac:dyDescent="0.2">
      <c r="A348" s="89"/>
      <c r="B348" s="89"/>
      <c r="C348" s="89"/>
      <c r="D348" s="89"/>
      <c r="E348" s="89"/>
      <c r="AU348" s="96"/>
      <c r="AV348" s="96"/>
      <c r="AW348" s="96"/>
      <c r="AX348" s="96"/>
      <c r="AY348" s="96"/>
      <c r="AZ348" s="96"/>
      <c r="BA348" s="96"/>
      <c r="BB348" s="96"/>
      <c r="BC348" s="96"/>
    </row>
    <row r="349" spans="1:55" ht="15.75" customHeight="1" x14ac:dyDescent="0.2">
      <c r="A349" s="89"/>
      <c r="B349" s="89"/>
      <c r="C349" s="89"/>
      <c r="D349" s="89"/>
      <c r="E349" s="89"/>
      <c r="AU349" s="96"/>
      <c r="AV349" s="96"/>
      <c r="AW349" s="96"/>
      <c r="AX349" s="96"/>
      <c r="AY349" s="96"/>
      <c r="AZ349" s="96"/>
      <c r="BA349" s="96"/>
      <c r="BB349" s="96"/>
      <c r="BC349" s="96"/>
    </row>
    <row r="350" spans="1:55" ht="15.75" customHeight="1" x14ac:dyDescent="0.2">
      <c r="A350" s="89"/>
      <c r="B350" s="89"/>
      <c r="C350" s="89"/>
      <c r="D350" s="89"/>
      <c r="E350" s="89"/>
      <c r="AU350" s="96"/>
      <c r="AV350" s="96"/>
      <c r="AW350" s="96"/>
      <c r="AX350" s="96"/>
      <c r="AY350" s="96"/>
      <c r="AZ350" s="96"/>
      <c r="BA350" s="96"/>
      <c r="BB350" s="96"/>
      <c r="BC350" s="96"/>
    </row>
    <row r="351" spans="1:55" ht="15.75" customHeight="1" x14ac:dyDescent="0.2">
      <c r="A351" s="89"/>
      <c r="B351" s="89"/>
      <c r="C351" s="89"/>
      <c r="D351" s="89"/>
      <c r="E351" s="89"/>
      <c r="AU351" s="96"/>
      <c r="AV351" s="96"/>
      <c r="AW351" s="96"/>
      <c r="AX351" s="96"/>
      <c r="AY351" s="96"/>
      <c r="AZ351" s="96"/>
      <c r="BA351" s="96"/>
      <c r="BB351" s="96"/>
      <c r="BC351" s="96"/>
    </row>
    <row r="352" spans="1:55" ht="15.75" customHeight="1" x14ac:dyDescent="0.2">
      <c r="A352" s="89"/>
      <c r="B352" s="89"/>
      <c r="C352" s="89"/>
      <c r="D352" s="89"/>
      <c r="E352" s="89"/>
      <c r="AU352" s="96"/>
      <c r="AV352" s="96"/>
      <c r="AW352" s="96"/>
      <c r="AX352" s="96"/>
      <c r="AY352" s="96"/>
      <c r="AZ352" s="96"/>
      <c r="BA352" s="96"/>
      <c r="BB352" s="96"/>
      <c r="BC352" s="96"/>
    </row>
    <row r="353" spans="1:55" ht="15.75" customHeight="1" x14ac:dyDescent="0.2">
      <c r="A353" s="89"/>
      <c r="B353" s="89"/>
      <c r="C353" s="89"/>
      <c r="D353" s="89"/>
      <c r="E353" s="89"/>
      <c r="AU353" s="96"/>
      <c r="AV353" s="96"/>
      <c r="AW353" s="96"/>
      <c r="AX353" s="96"/>
      <c r="AY353" s="96"/>
      <c r="AZ353" s="96"/>
      <c r="BA353" s="96"/>
      <c r="BB353" s="96"/>
      <c r="BC353" s="96"/>
    </row>
    <row r="354" spans="1:55" ht="15.75" customHeight="1" x14ac:dyDescent="0.2">
      <c r="A354" s="89"/>
      <c r="B354" s="89"/>
      <c r="C354" s="89"/>
      <c r="D354" s="89"/>
      <c r="E354" s="89"/>
      <c r="AU354" s="96"/>
      <c r="AV354" s="96"/>
      <c r="AW354" s="96"/>
      <c r="AX354" s="96"/>
      <c r="AY354" s="96"/>
      <c r="AZ354" s="96"/>
      <c r="BA354" s="96"/>
      <c r="BB354" s="96"/>
      <c r="BC354" s="96"/>
    </row>
    <row r="355" spans="1:55" ht="15.75" customHeight="1" x14ac:dyDescent="0.2">
      <c r="A355" s="89"/>
      <c r="B355" s="89"/>
      <c r="C355" s="89"/>
      <c r="D355" s="89"/>
      <c r="E355" s="89"/>
      <c r="AU355" s="96"/>
      <c r="AV355" s="96"/>
      <c r="AW355" s="96"/>
      <c r="AX355" s="96"/>
      <c r="AY355" s="96"/>
      <c r="AZ355" s="96"/>
      <c r="BA355" s="96"/>
      <c r="BB355" s="96"/>
      <c r="BC355" s="96"/>
    </row>
    <row r="356" spans="1:55" ht="15.75" customHeight="1" x14ac:dyDescent="0.2">
      <c r="A356" s="89"/>
      <c r="B356" s="89"/>
      <c r="C356" s="89"/>
      <c r="D356" s="89"/>
      <c r="E356" s="89"/>
      <c r="AU356" s="96"/>
      <c r="AV356" s="96"/>
      <c r="AW356" s="96"/>
      <c r="AX356" s="96"/>
      <c r="AY356" s="96"/>
      <c r="AZ356" s="96"/>
      <c r="BA356" s="96"/>
      <c r="BB356" s="96"/>
      <c r="BC356" s="96"/>
    </row>
    <row r="357" spans="1:55" ht="15.75" customHeight="1" x14ac:dyDescent="0.2">
      <c r="A357" s="89"/>
      <c r="B357" s="89"/>
      <c r="C357" s="89"/>
      <c r="D357" s="89"/>
      <c r="E357" s="89"/>
      <c r="AU357" s="96"/>
      <c r="AV357" s="96"/>
      <c r="AW357" s="96"/>
      <c r="AX357" s="96"/>
      <c r="AY357" s="96"/>
      <c r="AZ357" s="96"/>
      <c r="BA357" s="96"/>
      <c r="BB357" s="96"/>
      <c r="BC357" s="96"/>
    </row>
    <row r="358" spans="1:55" ht="15.75" customHeight="1" x14ac:dyDescent="0.2">
      <c r="A358" s="89"/>
      <c r="B358" s="89"/>
      <c r="C358" s="89"/>
      <c r="D358" s="89"/>
      <c r="E358" s="89"/>
      <c r="AU358" s="96"/>
      <c r="AV358" s="96"/>
      <c r="AW358" s="96"/>
      <c r="AX358" s="96"/>
      <c r="AY358" s="96"/>
      <c r="AZ358" s="96"/>
      <c r="BA358" s="96"/>
      <c r="BB358" s="96"/>
      <c r="BC358" s="96"/>
    </row>
    <row r="359" spans="1:55" ht="15.75" customHeight="1" x14ac:dyDescent="0.2">
      <c r="A359" s="89"/>
      <c r="B359" s="89"/>
      <c r="C359" s="89"/>
      <c r="D359" s="89"/>
      <c r="E359" s="89"/>
      <c r="AU359" s="96"/>
      <c r="AV359" s="96"/>
      <c r="AW359" s="96"/>
      <c r="AX359" s="96"/>
      <c r="AY359" s="96"/>
      <c r="AZ359" s="96"/>
      <c r="BA359" s="96"/>
      <c r="BB359" s="96"/>
      <c r="BC359" s="96"/>
    </row>
    <row r="360" spans="1:55" ht="15.75" customHeight="1" x14ac:dyDescent="0.2">
      <c r="A360" s="89"/>
      <c r="B360" s="89"/>
      <c r="C360" s="89"/>
      <c r="D360" s="89"/>
      <c r="E360" s="89"/>
      <c r="AU360" s="96"/>
      <c r="AV360" s="96"/>
      <c r="AW360" s="96"/>
      <c r="AX360" s="96"/>
      <c r="AY360" s="96"/>
      <c r="AZ360" s="96"/>
      <c r="BA360" s="96"/>
      <c r="BB360" s="96"/>
      <c r="BC360" s="96"/>
    </row>
    <row r="361" spans="1:55" ht="15.75" customHeight="1" x14ac:dyDescent="0.2">
      <c r="A361" s="89"/>
      <c r="B361" s="89"/>
      <c r="C361" s="89"/>
      <c r="D361" s="89"/>
      <c r="E361" s="89"/>
      <c r="AU361" s="96"/>
      <c r="AV361" s="96"/>
      <c r="AW361" s="96"/>
      <c r="AX361" s="96"/>
      <c r="AY361" s="96"/>
      <c r="AZ361" s="96"/>
      <c r="BA361" s="96"/>
      <c r="BB361" s="96"/>
      <c r="BC361" s="96"/>
    </row>
    <row r="362" spans="1:55" ht="15.75" customHeight="1" x14ac:dyDescent="0.2">
      <c r="A362" s="89"/>
      <c r="B362" s="89"/>
      <c r="C362" s="89"/>
      <c r="D362" s="89"/>
      <c r="E362" s="89"/>
      <c r="AU362" s="96"/>
      <c r="AV362" s="96"/>
      <c r="AW362" s="96"/>
      <c r="AX362" s="96"/>
      <c r="AY362" s="96"/>
      <c r="AZ362" s="96"/>
      <c r="BA362" s="96"/>
      <c r="BB362" s="96"/>
      <c r="BC362" s="96"/>
    </row>
    <row r="363" spans="1:55" ht="15.75" customHeight="1" x14ac:dyDescent="0.2">
      <c r="A363" s="89"/>
      <c r="B363" s="89"/>
      <c r="C363" s="89"/>
      <c r="D363" s="89"/>
      <c r="E363" s="89"/>
      <c r="AU363" s="96"/>
      <c r="AV363" s="96"/>
      <c r="AW363" s="96"/>
      <c r="AX363" s="96"/>
      <c r="AY363" s="96"/>
      <c r="AZ363" s="96"/>
      <c r="BA363" s="96"/>
      <c r="BB363" s="96"/>
      <c r="BC363" s="96"/>
    </row>
    <row r="364" spans="1:55" ht="15.75" customHeight="1" x14ac:dyDescent="0.2">
      <c r="A364" s="89"/>
      <c r="B364" s="89"/>
      <c r="C364" s="89"/>
      <c r="D364" s="89"/>
      <c r="E364" s="89"/>
      <c r="AU364" s="96"/>
      <c r="AV364" s="96"/>
      <c r="AW364" s="96"/>
      <c r="AX364" s="96"/>
      <c r="AY364" s="96"/>
      <c r="AZ364" s="96"/>
      <c r="BA364" s="96"/>
      <c r="BB364" s="96"/>
      <c r="BC364" s="96"/>
    </row>
    <row r="365" spans="1:55" ht="15.75" customHeight="1" x14ac:dyDescent="0.2">
      <c r="A365" s="89"/>
      <c r="B365" s="89"/>
      <c r="C365" s="89"/>
      <c r="D365" s="89"/>
      <c r="E365" s="89"/>
      <c r="AU365" s="96"/>
      <c r="AV365" s="96"/>
      <c r="AW365" s="96"/>
      <c r="AX365" s="96"/>
      <c r="AY365" s="96"/>
      <c r="AZ365" s="96"/>
      <c r="BA365" s="96"/>
      <c r="BB365" s="96"/>
      <c r="BC365" s="96"/>
    </row>
    <row r="366" spans="1:55" ht="15.75" customHeight="1" x14ac:dyDescent="0.2">
      <c r="A366" s="89"/>
      <c r="B366" s="89"/>
      <c r="C366" s="89"/>
      <c r="D366" s="89"/>
      <c r="E366" s="89"/>
      <c r="AU366" s="96"/>
      <c r="AV366" s="96"/>
      <c r="AW366" s="96"/>
      <c r="AX366" s="96"/>
      <c r="AY366" s="96"/>
      <c r="AZ366" s="96"/>
      <c r="BA366" s="96"/>
      <c r="BB366" s="96"/>
      <c r="BC366" s="96"/>
    </row>
    <row r="367" spans="1:55" ht="15.75" customHeight="1" x14ac:dyDescent="0.2">
      <c r="A367" s="89"/>
      <c r="B367" s="89"/>
      <c r="C367" s="89"/>
      <c r="D367" s="89"/>
      <c r="E367" s="89"/>
      <c r="AU367" s="96"/>
      <c r="AV367" s="96"/>
      <c r="AW367" s="96"/>
      <c r="AX367" s="96"/>
      <c r="AY367" s="96"/>
      <c r="AZ367" s="96"/>
      <c r="BA367" s="96"/>
      <c r="BB367" s="96"/>
      <c r="BC367" s="96"/>
    </row>
    <row r="368" spans="1:55" ht="15.75" customHeight="1" x14ac:dyDescent="0.2">
      <c r="A368" s="89"/>
      <c r="B368" s="89"/>
      <c r="C368" s="89"/>
      <c r="D368" s="89"/>
      <c r="E368" s="89"/>
      <c r="AU368" s="96"/>
      <c r="AV368" s="96"/>
      <c r="AW368" s="96"/>
      <c r="AX368" s="96"/>
      <c r="AY368" s="96"/>
      <c r="AZ368" s="96"/>
      <c r="BA368" s="96"/>
      <c r="BB368" s="96"/>
      <c r="BC368" s="96"/>
    </row>
    <row r="369" spans="1:55" ht="15.75" customHeight="1" x14ac:dyDescent="0.2">
      <c r="A369" s="89"/>
      <c r="B369" s="89"/>
      <c r="C369" s="89"/>
      <c r="D369" s="89"/>
      <c r="E369" s="89"/>
      <c r="AU369" s="96"/>
      <c r="AV369" s="96"/>
      <c r="AW369" s="96"/>
      <c r="AX369" s="96"/>
      <c r="AY369" s="96"/>
      <c r="AZ369" s="96"/>
      <c r="BA369" s="96"/>
      <c r="BB369" s="96"/>
      <c r="BC369" s="96"/>
    </row>
    <row r="370" spans="1:55" ht="15.75" customHeight="1" x14ac:dyDescent="0.2">
      <c r="A370" s="89"/>
      <c r="B370" s="89"/>
      <c r="C370" s="89"/>
      <c r="D370" s="89"/>
      <c r="E370" s="89"/>
      <c r="AU370" s="96"/>
      <c r="AV370" s="96"/>
      <c r="AW370" s="96"/>
      <c r="AX370" s="96"/>
      <c r="AY370" s="96"/>
      <c r="AZ370" s="96"/>
      <c r="BA370" s="96"/>
      <c r="BB370" s="96"/>
      <c r="BC370" s="96"/>
    </row>
    <row r="371" spans="1:55" ht="15.75" customHeight="1" x14ac:dyDescent="0.2">
      <c r="A371" s="89"/>
      <c r="B371" s="89"/>
      <c r="C371" s="89"/>
      <c r="D371" s="89"/>
      <c r="E371" s="89"/>
      <c r="AU371" s="96"/>
      <c r="AV371" s="96"/>
      <c r="AW371" s="96"/>
      <c r="AX371" s="96"/>
      <c r="AY371" s="96"/>
      <c r="AZ371" s="96"/>
      <c r="BA371" s="96"/>
      <c r="BB371" s="96"/>
      <c r="BC371" s="96"/>
    </row>
    <row r="372" spans="1:55" ht="15.75" customHeight="1" x14ac:dyDescent="0.2">
      <c r="A372" s="89"/>
      <c r="B372" s="89"/>
      <c r="C372" s="89"/>
      <c r="D372" s="89"/>
      <c r="E372" s="89"/>
      <c r="AU372" s="96"/>
      <c r="AV372" s="96"/>
      <c r="AW372" s="96"/>
      <c r="AX372" s="96"/>
      <c r="AY372" s="96"/>
      <c r="AZ372" s="96"/>
      <c r="BA372" s="96"/>
      <c r="BB372" s="96"/>
      <c r="BC372" s="96"/>
    </row>
    <row r="373" spans="1:55" ht="15.75" customHeight="1" x14ac:dyDescent="0.2">
      <c r="A373" s="89"/>
      <c r="B373" s="89"/>
      <c r="C373" s="89"/>
      <c r="D373" s="89"/>
      <c r="E373" s="89"/>
      <c r="AU373" s="96"/>
      <c r="AV373" s="96"/>
      <c r="AW373" s="96"/>
      <c r="AX373" s="96"/>
      <c r="AY373" s="96"/>
      <c r="AZ373" s="96"/>
      <c r="BA373" s="96"/>
      <c r="BB373" s="96"/>
      <c r="BC373" s="96"/>
    </row>
    <row r="374" spans="1:55" ht="15.75" customHeight="1" x14ac:dyDescent="0.2">
      <c r="A374" s="89"/>
      <c r="B374" s="89"/>
      <c r="C374" s="89"/>
      <c r="D374" s="89"/>
      <c r="E374" s="89"/>
      <c r="AU374" s="96"/>
      <c r="AV374" s="96"/>
      <c r="AW374" s="96"/>
      <c r="AX374" s="96"/>
      <c r="AY374" s="96"/>
      <c r="AZ374" s="96"/>
      <c r="BA374" s="96"/>
      <c r="BB374" s="96"/>
      <c r="BC374" s="96"/>
    </row>
    <row r="375" spans="1:55" ht="15.75" customHeight="1" x14ac:dyDescent="0.2">
      <c r="A375" s="89"/>
      <c r="B375" s="89"/>
      <c r="C375" s="89"/>
      <c r="D375" s="89"/>
      <c r="E375" s="89"/>
      <c r="AU375" s="96"/>
      <c r="AV375" s="96"/>
      <c r="AW375" s="96"/>
      <c r="AX375" s="96"/>
      <c r="AY375" s="96"/>
      <c r="AZ375" s="96"/>
      <c r="BA375" s="96"/>
      <c r="BB375" s="96"/>
      <c r="BC375" s="96"/>
    </row>
    <row r="376" spans="1:55" ht="15.75" customHeight="1" x14ac:dyDescent="0.2">
      <c r="A376" s="89"/>
      <c r="B376" s="89"/>
      <c r="C376" s="89"/>
      <c r="D376" s="89"/>
      <c r="E376" s="89"/>
      <c r="AU376" s="96"/>
      <c r="AV376" s="96"/>
      <c r="AW376" s="96"/>
      <c r="AX376" s="96"/>
      <c r="AY376" s="96"/>
      <c r="AZ376" s="96"/>
      <c r="BA376" s="96"/>
      <c r="BB376" s="96"/>
      <c r="BC376" s="96"/>
    </row>
    <row r="377" spans="1:55" ht="15.75" customHeight="1" x14ac:dyDescent="0.2">
      <c r="A377" s="89"/>
      <c r="B377" s="89"/>
      <c r="C377" s="89"/>
      <c r="D377" s="89"/>
      <c r="E377" s="89"/>
      <c r="AU377" s="96"/>
      <c r="AV377" s="96"/>
      <c r="AW377" s="96"/>
      <c r="AX377" s="96"/>
      <c r="AY377" s="96"/>
      <c r="AZ377" s="96"/>
      <c r="BA377" s="96"/>
      <c r="BB377" s="96"/>
      <c r="BC377" s="96"/>
    </row>
    <row r="378" spans="1:55" ht="15.75" customHeight="1" x14ac:dyDescent="0.2">
      <c r="A378" s="89"/>
      <c r="B378" s="89"/>
      <c r="C378" s="89"/>
      <c r="D378" s="89"/>
      <c r="E378" s="89"/>
      <c r="AU378" s="96"/>
      <c r="AV378" s="96"/>
      <c r="AW378" s="96"/>
      <c r="AX378" s="96"/>
      <c r="AY378" s="96"/>
      <c r="AZ378" s="96"/>
      <c r="BA378" s="96"/>
      <c r="BB378" s="96"/>
      <c r="BC378" s="96"/>
    </row>
    <row r="379" spans="1:55" ht="15.75" customHeight="1" x14ac:dyDescent="0.2">
      <c r="A379" s="89"/>
      <c r="B379" s="89"/>
      <c r="C379" s="89"/>
      <c r="D379" s="89"/>
      <c r="E379" s="89"/>
      <c r="AU379" s="96"/>
      <c r="AV379" s="96"/>
      <c r="AW379" s="96"/>
      <c r="AX379" s="96"/>
      <c r="AY379" s="96"/>
      <c r="AZ379" s="96"/>
      <c r="BA379" s="96"/>
      <c r="BB379" s="96"/>
      <c r="BC379" s="96"/>
    </row>
    <row r="380" spans="1:55" ht="15.75" customHeight="1" x14ac:dyDescent="0.2">
      <c r="A380" s="89"/>
      <c r="B380" s="89"/>
      <c r="C380" s="89"/>
      <c r="D380" s="89"/>
      <c r="E380" s="89"/>
      <c r="AU380" s="96"/>
      <c r="AV380" s="96"/>
      <c r="AW380" s="96"/>
      <c r="AX380" s="96"/>
      <c r="AY380" s="96"/>
      <c r="AZ380" s="96"/>
      <c r="BA380" s="96"/>
      <c r="BB380" s="96"/>
      <c r="BC380" s="96"/>
    </row>
    <row r="381" spans="1:55" ht="15.75" customHeight="1" x14ac:dyDescent="0.2">
      <c r="A381" s="89"/>
      <c r="B381" s="89"/>
      <c r="C381" s="89"/>
      <c r="D381" s="89"/>
      <c r="E381" s="89"/>
      <c r="AU381" s="96"/>
      <c r="AV381" s="96"/>
      <c r="AW381" s="96"/>
      <c r="AX381" s="96"/>
      <c r="AY381" s="96"/>
      <c r="AZ381" s="96"/>
      <c r="BA381" s="96"/>
      <c r="BB381" s="96"/>
      <c r="BC381" s="96"/>
    </row>
    <row r="382" spans="1:55" ht="15.75" customHeight="1" x14ac:dyDescent="0.2">
      <c r="A382" s="89"/>
      <c r="B382" s="89"/>
      <c r="C382" s="89"/>
      <c r="D382" s="89"/>
      <c r="E382" s="89"/>
      <c r="AU382" s="96"/>
      <c r="AV382" s="96"/>
      <c r="AW382" s="96"/>
      <c r="AX382" s="96"/>
      <c r="AY382" s="96"/>
      <c r="AZ382" s="96"/>
      <c r="BA382" s="96"/>
      <c r="BB382" s="96"/>
      <c r="BC382" s="96"/>
    </row>
    <row r="383" spans="1:55" ht="15.75" customHeight="1" x14ac:dyDescent="0.2">
      <c r="A383" s="89"/>
      <c r="B383" s="89"/>
      <c r="C383" s="89"/>
      <c r="D383" s="89"/>
      <c r="E383" s="89"/>
      <c r="AU383" s="96"/>
      <c r="AV383" s="96"/>
      <c r="AW383" s="96"/>
      <c r="AX383" s="96"/>
      <c r="AY383" s="96"/>
      <c r="AZ383" s="96"/>
      <c r="BA383" s="96"/>
      <c r="BB383" s="96"/>
      <c r="BC383" s="96"/>
    </row>
    <row r="384" spans="1:55" ht="15.75" customHeight="1" x14ac:dyDescent="0.2">
      <c r="A384" s="89"/>
      <c r="B384" s="89"/>
      <c r="C384" s="89"/>
      <c r="D384" s="89"/>
      <c r="E384" s="89"/>
      <c r="AU384" s="96"/>
      <c r="AV384" s="96"/>
      <c r="AW384" s="96"/>
      <c r="AX384" s="96"/>
      <c r="AY384" s="96"/>
      <c r="AZ384" s="96"/>
      <c r="BA384" s="96"/>
      <c r="BB384" s="96"/>
      <c r="BC384" s="96"/>
    </row>
    <row r="385" spans="1:55" ht="15.75" customHeight="1" x14ac:dyDescent="0.2">
      <c r="A385" s="89"/>
      <c r="B385" s="89"/>
      <c r="C385" s="89"/>
      <c r="D385" s="89"/>
      <c r="E385" s="89"/>
      <c r="AU385" s="96"/>
      <c r="AV385" s="96"/>
      <c r="AW385" s="96"/>
      <c r="AX385" s="96"/>
      <c r="AY385" s="96"/>
      <c r="AZ385" s="96"/>
      <c r="BA385" s="96"/>
      <c r="BB385" s="96"/>
      <c r="BC385" s="96"/>
    </row>
    <row r="386" spans="1:55" ht="15.75" customHeight="1" x14ac:dyDescent="0.2">
      <c r="A386" s="89"/>
      <c r="B386" s="89"/>
      <c r="C386" s="89"/>
      <c r="D386" s="89"/>
      <c r="E386" s="89"/>
      <c r="AU386" s="96"/>
      <c r="AV386" s="96"/>
      <c r="AW386" s="96"/>
      <c r="AX386" s="96"/>
      <c r="AY386" s="96"/>
      <c r="AZ386" s="96"/>
      <c r="BA386" s="96"/>
      <c r="BB386" s="96"/>
      <c r="BC386" s="96"/>
    </row>
    <row r="387" spans="1:55" ht="15.75" customHeight="1" x14ac:dyDescent="0.2">
      <c r="A387" s="89"/>
      <c r="B387" s="89"/>
      <c r="C387" s="89"/>
      <c r="D387" s="89"/>
      <c r="E387" s="89"/>
      <c r="AU387" s="96"/>
      <c r="AV387" s="96"/>
      <c r="AW387" s="96"/>
      <c r="AX387" s="96"/>
      <c r="AY387" s="96"/>
      <c r="AZ387" s="96"/>
      <c r="BA387" s="96"/>
      <c r="BB387" s="96"/>
      <c r="BC387" s="96"/>
    </row>
    <row r="388" spans="1:55" ht="15.75" customHeight="1" x14ac:dyDescent="0.2">
      <c r="A388" s="89"/>
      <c r="B388" s="89"/>
      <c r="C388" s="89"/>
      <c r="D388" s="89"/>
      <c r="E388" s="89"/>
      <c r="AU388" s="96"/>
      <c r="AV388" s="96"/>
      <c r="AW388" s="96"/>
      <c r="AX388" s="96"/>
      <c r="AY388" s="96"/>
      <c r="AZ388" s="96"/>
      <c r="BA388" s="96"/>
      <c r="BB388" s="96"/>
      <c r="BC388" s="96"/>
    </row>
    <row r="389" spans="1:55" ht="15.75" customHeight="1" x14ac:dyDescent="0.2">
      <c r="A389" s="89"/>
      <c r="B389" s="89"/>
      <c r="C389" s="89"/>
      <c r="D389" s="89"/>
      <c r="E389" s="89"/>
      <c r="AU389" s="96"/>
      <c r="AV389" s="96"/>
      <c r="AW389" s="96"/>
      <c r="AX389" s="96"/>
      <c r="AY389" s="96"/>
      <c r="AZ389" s="96"/>
      <c r="BA389" s="96"/>
      <c r="BB389" s="96"/>
      <c r="BC389" s="96"/>
    </row>
    <row r="390" spans="1:55" ht="15.75" customHeight="1" x14ac:dyDescent="0.2">
      <c r="A390" s="89"/>
      <c r="B390" s="89"/>
      <c r="C390" s="89"/>
      <c r="D390" s="89"/>
      <c r="E390" s="89"/>
      <c r="AU390" s="96"/>
      <c r="AV390" s="96"/>
      <c r="AW390" s="96"/>
      <c r="AX390" s="96"/>
      <c r="AY390" s="96"/>
      <c r="AZ390" s="96"/>
      <c r="BA390" s="96"/>
      <c r="BB390" s="96"/>
      <c r="BC390" s="96"/>
    </row>
    <row r="391" spans="1:55" ht="15.75" customHeight="1" x14ac:dyDescent="0.2">
      <c r="A391" s="89"/>
      <c r="B391" s="89"/>
      <c r="C391" s="89"/>
      <c r="D391" s="89"/>
      <c r="E391" s="89"/>
      <c r="AU391" s="96"/>
      <c r="AV391" s="96"/>
      <c r="AW391" s="96"/>
      <c r="AX391" s="96"/>
      <c r="AY391" s="96"/>
      <c r="AZ391" s="96"/>
      <c r="BA391" s="96"/>
      <c r="BB391" s="96"/>
      <c r="BC391" s="96"/>
    </row>
    <row r="392" spans="1:55" ht="15.75" customHeight="1" x14ac:dyDescent="0.2">
      <c r="A392" s="89"/>
      <c r="B392" s="89"/>
      <c r="C392" s="89"/>
      <c r="D392" s="89"/>
      <c r="E392" s="89"/>
      <c r="AU392" s="96"/>
      <c r="AV392" s="96"/>
      <c r="AW392" s="96"/>
      <c r="AX392" s="96"/>
      <c r="AY392" s="96"/>
      <c r="AZ392" s="96"/>
      <c r="BA392" s="96"/>
      <c r="BB392" s="96"/>
      <c r="BC392" s="96"/>
    </row>
    <row r="393" spans="1:55" ht="15.75" customHeight="1" x14ac:dyDescent="0.2">
      <c r="A393" s="89"/>
      <c r="B393" s="89"/>
      <c r="C393" s="89"/>
      <c r="D393" s="89"/>
      <c r="E393" s="89"/>
      <c r="AU393" s="96"/>
      <c r="AV393" s="96"/>
      <c r="AW393" s="96"/>
      <c r="AX393" s="96"/>
      <c r="AY393" s="96"/>
      <c r="AZ393" s="96"/>
      <c r="BA393" s="96"/>
      <c r="BB393" s="96"/>
      <c r="BC393" s="96"/>
    </row>
    <row r="394" spans="1:55" ht="15.75" customHeight="1" x14ac:dyDescent="0.2">
      <c r="A394" s="89"/>
      <c r="B394" s="89"/>
      <c r="C394" s="89"/>
      <c r="D394" s="89"/>
      <c r="E394" s="89"/>
      <c r="AU394" s="96"/>
      <c r="AV394" s="96"/>
      <c r="AW394" s="96"/>
      <c r="AX394" s="96"/>
      <c r="AY394" s="96"/>
      <c r="AZ394" s="96"/>
      <c r="BA394" s="96"/>
      <c r="BB394" s="96"/>
      <c r="BC394" s="96"/>
    </row>
    <row r="395" spans="1:55" ht="15.75" customHeight="1" x14ac:dyDescent="0.2">
      <c r="A395" s="89"/>
      <c r="B395" s="89"/>
      <c r="C395" s="89"/>
      <c r="D395" s="89"/>
      <c r="E395" s="89"/>
      <c r="AU395" s="96"/>
      <c r="AV395" s="96"/>
      <c r="AW395" s="96"/>
      <c r="AX395" s="96"/>
      <c r="AY395" s="96"/>
      <c r="AZ395" s="96"/>
      <c r="BA395" s="96"/>
      <c r="BB395" s="96"/>
      <c r="BC395" s="96"/>
    </row>
    <row r="396" spans="1:55" ht="15.75" customHeight="1" x14ac:dyDescent="0.2">
      <c r="A396" s="89"/>
      <c r="B396" s="89"/>
      <c r="C396" s="89"/>
      <c r="D396" s="89"/>
      <c r="E396" s="89"/>
      <c r="AU396" s="96"/>
      <c r="AV396" s="96"/>
      <c r="AW396" s="96"/>
      <c r="AX396" s="96"/>
      <c r="AY396" s="96"/>
      <c r="AZ396" s="96"/>
      <c r="BA396" s="96"/>
      <c r="BB396" s="96"/>
      <c r="BC396" s="96"/>
    </row>
    <row r="397" spans="1:55" ht="15.75" customHeight="1" x14ac:dyDescent="0.2">
      <c r="A397" s="89"/>
      <c r="B397" s="89"/>
      <c r="C397" s="89"/>
      <c r="D397" s="89"/>
      <c r="E397" s="89"/>
      <c r="AU397" s="96"/>
      <c r="AV397" s="96"/>
      <c r="AW397" s="96"/>
      <c r="AX397" s="96"/>
      <c r="AY397" s="96"/>
      <c r="AZ397" s="96"/>
      <c r="BA397" s="96"/>
      <c r="BB397" s="96"/>
      <c r="BC397" s="96"/>
    </row>
    <row r="398" spans="1:55" ht="15.75" customHeight="1" x14ac:dyDescent="0.2">
      <c r="A398" s="89"/>
      <c r="B398" s="89"/>
      <c r="C398" s="89"/>
      <c r="D398" s="89"/>
      <c r="E398" s="89"/>
      <c r="AU398" s="96"/>
      <c r="AV398" s="96"/>
      <c r="AW398" s="96"/>
      <c r="AX398" s="96"/>
      <c r="AY398" s="96"/>
      <c r="AZ398" s="96"/>
      <c r="BA398" s="96"/>
      <c r="BB398" s="96"/>
      <c r="BC398" s="96"/>
    </row>
    <row r="399" spans="1:55" ht="15.75" customHeight="1" x14ac:dyDescent="0.2">
      <c r="A399" s="89"/>
      <c r="B399" s="89"/>
      <c r="C399" s="89"/>
      <c r="D399" s="89"/>
      <c r="E399" s="89"/>
      <c r="AU399" s="96"/>
      <c r="AV399" s="96"/>
      <c r="AW399" s="96"/>
      <c r="AX399" s="96"/>
      <c r="AY399" s="96"/>
      <c r="AZ399" s="96"/>
      <c r="BA399" s="96"/>
      <c r="BB399" s="96"/>
      <c r="BC399" s="96"/>
    </row>
    <row r="400" spans="1:55" ht="15.75" customHeight="1" x14ac:dyDescent="0.2">
      <c r="A400" s="89"/>
      <c r="B400" s="89"/>
      <c r="C400" s="89"/>
      <c r="D400" s="89"/>
      <c r="E400" s="89"/>
      <c r="AU400" s="96"/>
      <c r="AV400" s="96"/>
      <c r="AW400" s="96"/>
      <c r="AX400" s="96"/>
      <c r="AY400" s="96"/>
      <c r="AZ400" s="96"/>
      <c r="BA400" s="96"/>
      <c r="BB400" s="96"/>
      <c r="BC400" s="96"/>
    </row>
    <row r="401" spans="1:55" ht="15.75" customHeight="1" x14ac:dyDescent="0.2">
      <c r="A401" s="89"/>
      <c r="B401" s="89"/>
      <c r="C401" s="89"/>
      <c r="D401" s="89"/>
      <c r="E401" s="89"/>
      <c r="AU401" s="96"/>
      <c r="AV401" s="96"/>
      <c r="AW401" s="96"/>
      <c r="AX401" s="96"/>
      <c r="AY401" s="96"/>
      <c r="AZ401" s="96"/>
      <c r="BA401" s="96"/>
      <c r="BB401" s="96"/>
      <c r="BC401" s="96"/>
    </row>
    <row r="402" spans="1:55" ht="15.75" customHeight="1" x14ac:dyDescent="0.2">
      <c r="A402" s="89"/>
      <c r="B402" s="89"/>
      <c r="C402" s="89"/>
      <c r="D402" s="89"/>
      <c r="E402" s="89"/>
      <c r="AU402" s="96"/>
      <c r="AV402" s="96"/>
      <c r="AW402" s="96"/>
      <c r="AX402" s="96"/>
      <c r="AY402" s="96"/>
      <c r="AZ402" s="96"/>
      <c r="BA402" s="96"/>
      <c r="BB402" s="96"/>
      <c r="BC402" s="96"/>
    </row>
    <row r="403" spans="1:55" ht="15.75" customHeight="1" x14ac:dyDescent="0.2">
      <c r="A403" s="89"/>
      <c r="B403" s="89"/>
      <c r="C403" s="89"/>
      <c r="D403" s="89"/>
      <c r="E403" s="89"/>
      <c r="AU403" s="96"/>
      <c r="AV403" s="96"/>
      <c r="AW403" s="96"/>
      <c r="AX403" s="96"/>
      <c r="AY403" s="96"/>
      <c r="AZ403" s="96"/>
      <c r="BA403" s="96"/>
      <c r="BB403" s="96"/>
      <c r="BC403" s="96"/>
    </row>
    <row r="404" spans="1:55" ht="15.75" customHeight="1" x14ac:dyDescent="0.2">
      <c r="A404" s="89"/>
      <c r="B404" s="89"/>
      <c r="C404" s="89"/>
      <c r="D404" s="89"/>
      <c r="E404" s="89"/>
      <c r="AU404" s="96"/>
      <c r="AV404" s="96"/>
      <c r="AW404" s="96"/>
      <c r="AX404" s="96"/>
      <c r="AY404" s="96"/>
      <c r="AZ404" s="96"/>
      <c r="BA404" s="96"/>
      <c r="BB404" s="96"/>
      <c r="BC404" s="96"/>
    </row>
    <row r="405" spans="1:55" ht="15.75" customHeight="1" x14ac:dyDescent="0.2">
      <c r="A405" s="89"/>
      <c r="B405" s="89"/>
      <c r="C405" s="89"/>
      <c r="D405" s="89"/>
      <c r="E405" s="89"/>
      <c r="AU405" s="96"/>
      <c r="AV405" s="96"/>
      <c r="AW405" s="96"/>
      <c r="AX405" s="96"/>
      <c r="AY405" s="96"/>
      <c r="AZ405" s="96"/>
      <c r="BA405" s="96"/>
      <c r="BB405" s="96"/>
      <c r="BC405" s="96"/>
    </row>
    <row r="406" spans="1:55" ht="15.75" customHeight="1" x14ac:dyDescent="0.2">
      <c r="A406" s="89"/>
      <c r="B406" s="89"/>
      <c r="C406" s="89"/>
      <c r="D406" s="89"/>
      <c r="E406" s="89"/>
      <c r="AU406" s="96"/>
      <c r="AV406" s="96"/>
      <c r="AW406" s="96"/>
      <c r="AX406" s="96"/>
      <c r="AY406" s="96"/>
      <c r="AZ406" s="96"/>
      <c r="BA406" s="96"/>
      <c r="BB406" s="96"/>
      <c r="BC406" s="96"/>
    </row>
    <row r="407" spans="1:55" ht="15.75" customHeight="1" x14ac:dyDescent="0.2">
      <c r="A407" s="89"/>
      <c r="B407" s="89"/>
      <c r="C407" s="89"/>
      <c r="D407" s="89"/>
      <c r="E407" s="89"/>
      <c r="AU407" s="96"/>
      <c r="AV407" s="96"/>
      <c r="AW407" s="96"/>
      <c r="AX407" s="96"/>
      <c r="AY407" s="96"/>
      <c r="AZ407" s="96"/>
      <c r="BA407" s="96"/>
      <c r="BB407" s="96"/>
      <c r="BC407" s="96"/>
    </row>
    <row r="408" spans="1:55" ht="15.75" customHeight="1" x14ac:dyDescent="0.2">
      <c r="A408" s="89"/>
      <c r="B408" s="89"/>
      <c r="C408" s="89"/>
      <c r="D408" s="89"/>
      <c r="E408" s="89"/>
      <c r="AU408" s="96"/>
      <c r="AV408" s="96"/>
      <c r="AW408" s="96"/>
      <c r="AX408" s="96"/>
      <c r="AY408" s="96"/>
      <c r="AZ408" s="96"/>
      <c r="BA408" s="96"/>
      <c r="BB408" s="96"/>
      <c r="BC408" s="96"/>
    </row>
    <row r="409" spans="1:55" ht="15.75" customHeight="1" x14ac:dyDescent="0.2">
      <c r="A409" s="89"/>
      <c r="B409" s="89"/>
      <c r="C409" s="89"/>
      <c r="D409" s="89"/>
      <c r="E409" s="89"/>
      <c r="AU409" s="96"/>
      <c r="AV409" s="96"/>
      <c r="AW409" s="96"/>
      <c r="AX409" s="96"/>
      <c r="AY409" s="96"/>
      <c r="AZ409" s="96"/>
      <c r="BA409" s="96"/>
      <c r="BB409" s="96"/>
      <c r="BC409" s="96"/>
    </row>
    <row r="410" spans="1:55" ht="15.75" customHeight="1" x14ac:dyDescent="0.2">
      <c r="A410" s="89"/>
      <c r="B410" s="89"/>
      <c r="C410" s="89"/>
      <c r="D410" s="89"/>
      <c r="E410" s="89"/>
      <c r="AU410" s="96"/>
      <c r="AV410" s="96"/>
      <c r="AW410" s="96"/>
      <c r="AX410" s="96"/>
      <c r="AY410" s="96"/>
      <c r="AZ410" s="96"/>
      <c r="BA410" s="96"/>
      <c r="BB410" s="96"/>
      <c r="BC410" s="96"/>
    </row>
    <row r="411" spans="1:55" ht="15.75" customHeight="1" x14ac:dyDescent="0.2">
      <c r="A411" s="89"/>
      <c r="B411" s="89"/>
      <c r="C411" s="89"/>
      <c r="D411" s="89"/>
      <c r="E411" s="89"/>
      <c r="AU411" s="96"/>
      <c r="AV411" s="96"/>
      <c r="AW411" s="96"/>
      <c r="AX411" s="96"/>
      <c r="AY411" s="96"/>
      <c r="AZ411" s="96"/>
      <c r="BA411" s="96"/>
      <c r="BB411" s="96"/>
      <c r="BC411" s="96"/>
    </row>
    <row r="412" spans="1:55" ht="15.75" customHeight="1" x14ac:dyDescent="0.2">
      <c r="A412" s="89"/>
      <c r="B412" s="89"/>
      <c r="C412" s="89"/>
      <c r="D412" s="89"/>
      <c r="E412" s="89"/>
      <c r="AU412" s="96"/>
      <c r="AV412" s="96"/>
      <c r="AW412" s="96"/>
      <c r="AX412" s="96"/>
      <c r="AY412" s="96"/>
      <c r="AZ412" s="96"/>
      <c r="BA412" s="96"/>
      <c r="BB412" s="96"/>
      <c r="BC412" s="96"/>
    </row>
    <row r="413" spans="1:55" ht="15.75" customHeight="1" x14ac:dyDescent="0.2">
      <c r="A413" s="89"/>
      <c r="B413" s="89"/>
      <c r="C413" s="89"/>
      <c r="D413" s="89"/>
      <c r="E413" s="89"/>
      <c r="AU413" s="96"/>
      <c r="AV413" s="96"/>
      <c r="AW413" s="96"/>
      <c r="AX413" s="96"/>
      <c r="AY413" s="96"/>
      <c r="AZ413" s="96"/>
      <c r="BA413" s="96"/>
      <c r="BB413" s="96"/>
      <c r="BC413" s="96"/>
    </row>
    <row r="414" spans="1:55" ht="15.75" customHeight="1" x14ac:dyDescent="0.2">
      <c r="A414" s="89"/>
      <c r="B414" s="89"/>
      <c r="C414" s="89"/>
      <c r="D414" s="89"/>
      <c r="E414" s="89"/>
      <c r="AU414" s="96"/>
      <c r="AV414" s="96"/>
      <c r="AW414" s="96"/>
      <c r="AX414" s="96"/>
      <c r="AY414" s="96"/>
      <c r="AZ414" s="96"/>
      <c r="BA414" s="96"/>
      <c r="BB414" s="96"/>
      <c r="BC414" s="96"/>
    </row>
    <row r="415" spans="1:55" ht="15.75" customHeight="1" x14ac:dyDescent="0.2">
      <c r="A415" s="89"/>
      <c r="B415" s="89"/>
      <c r="C415" s="89"/>
      <c r="D415" s="89"/>
      <c r="E415" s="89"/>
      <c r="AU415" s="96"/>
      <c r="AV415" s="96"/>
      <c r="AW415" s="96"/>
      <c r="AX415" s="96"/>
      <c r="AY415" s="96"/>
      <c r="AZ415" s="96"/>
      <c r="BA415" s="96"/>
      <c r="BB415" s="96"/>
      <c r="BC415" s="96"/>
    </row>
    <row r="416" spans="1:55" ht="15.75" customHeight="1" x14ac:dyDescent="0.2">
      <c r="A416" s="89"/>
      <c r="B416" s="89"/>
      <c r="C416" s="89"/>
      <c r="D416" s="89"/>
      <c r="E416" s="89"/>
      <c r="AU416" s="96"/>
      <c r="AV416" s="96"/>
      <c r="AW416" s="96"/>
      <c r="AX416" s="96"/>
      <c r="AY416" s="96"/>
      <c r="AZ416" s="96"/>
      <c r="BA416" s="96"/>
      <c r="BB416" s="96"/>
      <c r="BC416" s="96"/>
    </row>
    <row r="417" spans="1:55" ht="15.75" customHeight="1" x14ac:dyDescent="0.2">
      <c r="A417" s="89"/>
      <c r="B417" s="89"/>
      <c r="C417" s="89"/>
      <c r="D417" s="89"/>
      <c r="E417" s="89"/>
      <c r="AU417" s="96"/>
      <c r="AV417" s="96"/>
      <c r="AW417" s="96"/>
      <c r="AX417" s="96"/>
      <c r="AY417" s="96"/>
      <c r="AZ417" s="96"/>
      <c r="BA417" s="96"/>
      <c r="BB417" s="96"/>
      <c r="BC417" s="96"/>
    </row>
    <row r="418" spans="1:55" ht="15.75" customHeight="1" x14ac:dyDescent="0.2">
      <c r="A418" s="89"/>
      <c r="B418" s="89"/>
      <c r="C418" s="89"/>
      <c r="D418" s="89"/>
      <c r="E418" s="89"/>
      <c r="AU418" s="96"/>
      <c r="AV418" s="96"/>
      <c r="AW418" s="96"/>
      <c r="AX418" s="96"/>
      <c r="AY418" s="96"/>
      <c r="AZ418" s="96"/>
      <c r="BA418" s="96"/>
      <c r="BB418" s="96"/>
      <c r="BC418" s="96"/>
    </row>
    <row r="419" spans="1:55" ht="15.75" customHeight="1" x14ac:dyDescent="0.2">
      <c r="A419" s="89"/>
      <c r="B419" s="89"/>
      <c r="C419" s="89"/>
      <c r="D419" s="89"/>
      <c r="E419" s="89"/>
      <c r="AU419" s="96"/>
      <c r="AV419" s="96"/>
      <c r="AW419" s="96"/>
      <c r="AX419" s="96"/>
      <c r="AY419" s="96"/>
      <c r="AZ419" s="96"/>
      <c r="BA419" s="96"/>
      <c r="BB419" s="96"/>
      <c r="BC419" s="96"/>
    </row>
    <row r="420" spans="1:55" ht="15.75" customHeight="1" x14ac:dyDescent="0.2">
      <c r="A420" s="89"/>
      <c r="B420" s="89"/>
      <c r="C420" s="89"/>
      <c r="D420" s="89"/>
      <c r="E420" s="89"/>
      <c r="AU420" s="96"/>
      <c r="AV420" s="96"/>
      <c r="AW420" s="96"/>
      <c r="AX420" s="96"/>
      <c r="AY420" s="96"/>
      <c r="AZ420" s="96"/>
      <c r="BA420" s="96"/>
      <c r="BB420" s="96"/>
      <c r="BC420" s="96"/>
    </row>
    <row r="421" spans="1:55" ht="15.75" customHeight="1" x14ac:dyDescent="0.2">
      <c r="A421" s="89"/>
      <c r="B421" s="89"/>
      <c r="C421" s="89"/>
      <c r="D421" s="89"/>
      <c r="E421" s="89"/>
      <c r="AU421" s="96"/>
      <c r="AV421" s="96"/>
      <c r="AW421" s="96"/>
      <c r="AX421" s="96"/>
      <c r="AY421" s="96"/>
      <c r="AZ421" s="96"/>
      <c r="BA421" s="96"/>
      <c r="BB421" s="96"/>
      <c r="BC421" s="96"/>
    </row>
    <row r="422" spans="1:55" ht="15.75" customHeight="1" x14ac:dyDescent="0.2">
      <c r="A422" s="89"/>
      <c r="B422" s="89"/>
      <c r="C422" s="89"/>
      <c r="D422" s="89"/>
      <c r="E422" s="89"/>
      <c r="AU422" s="96"/>
      <c r="AV422" s="96"/>
      <c r="AW422" s="96"/>
      <c r="AX422" s="96"/>
      <c r="AY422" s="96"/>
      <c r="AZ422" s="96"/>
      <c r="BA422" s="96"/>
      <c r="BB422" s="96"/>
      <c r="BC422" s="96"/>
    </row>
    <row r="423" spans="1:55" ht="15.75" customHeight="1" x14ac:dyDescent="0.2">
      <c r="A423" s="89"/>
      <c r="B423" s="89"/>
      <c r="C423" s="89"/>
      <c r="D423" s="89"/>
      <c r="E423" s="89"/>
      <c r="AU423" s="96"/>
      <c r="AV423" s="96"/>
      <c r="AW423" s="96"/>
      <c r="AX423" s="96"/>
      <c r="AY423" s="96"/>
      <c r="AZ423" s="96"/>
      <c r="BA423" s="96"/>
      <c r="BB423" s="96"/>
      <c r="BC423" s="96"/>
    </row>
    <row r="424" spans="1:55" ht="15.75" customHeight="1" x14ac:dyDescent="0.2">
      <c r="A424" s="89"/>
      <c r="B424" s="89"/>
      <c r="C424" s="89"/>
      <c r="D424" s="89"/>
      <c r="E424" s="89"/>
      <c r="AU424" s="96"/>
      <c r="AV424" s="96"/>
      <c r="AW424" s="96"/>
      <c r="AX424" s="96"/>
      <c r="AY424" s="96"/>
      <c r="AZ424" s="96"/>
      <c r="BA424" s="96"/>
      <c r="BB424" s="96"/>
      <c r="BC424" s="96"/>
    </row>
    <row r="425" spans="1:55" ht="15.75" customHeight="1" x14ac:dyDescent="0.2">
      <c r="A425" s="89"/>
      <c r="B425" s="89"/>
      <c r="C425" s="89"/>
      <c r="D425" s="89"/>
      <c r="E425" s="89"/>
      <c r="AU425" s="96"/>
      <c r="AV425" s="96"/>
      <c r="AW425" s="96"/>
      <c r="AX425" s="96"/>
      <c r="AY425" s="96"/>
      <c r="AZ425" s="96"/>
      <c r="BA425" s="96"/>
      <c r="BB425" s="96"/>
      <c r="BC425" s="96"/>
    </row>
    <row r="426" spans="1:55" ht="15.75" customHeight="1" x14ac:dyDescent="0.2">
      <c r="A426" s="89"/>
      <c r="B426" s="89"/>
      <c r="C426" s="89"/>
      <c r="D426" s="89"/>
      <c r="E426" s="89"/>
      <c r="AU426" s="96"/>
      <c r="AV426" s="96"/>
      <c r="AW426" s="96"/>
      <c r="AX426" s="96"/>
      <c r="AY426" s="96"/>
      <c r="AZ426" s="96"/>
      <c r="BA426" s="96"/>
      <c r="BB426" s="96"/>
      <c r="BC426" s="96"/>
    </row>
    <row r="427" spans="1:55" ht="15.75" customHeight="1" x14ac:dyDescent="0.2">
      <c r="A427" s="89"/>
      <c r="B427" s="89"/>
      <c r="C427" s="89"/>
      <c r="D427" s="89"/>
      <c r="E427" s="89"/>
      <c r="AU427" s="96"/>
      <c r="AV427" s="96"/>
      <c r="AW427" s="96"/>
      <c r="AX427" s="96"/>
      <c r="AY427" s="96"/>
      <c r="AZ427" s="96"/>
      <c r="BA427" s="96"/>
      <c r="BB427" s="96"/>
      <c r="BC427" s="96"/>
    </row>
    <row r="428" spans="1:55" ht="15.75" customHeight="1" x14ac:dyDescent="0.2">
      <c r="A428" s="89"/>
      <c r="B428" s="89"/>
      <c r="C428" s="89"/>
      <c r="D428" s="89"/>
      <c r="E428" s="89"/>
      <c r="AU428" s="96"/>
      <c r="AV428" s="96"/>
      <c r="AW428" s="96"/>
      <c r="AX428" s="96"/>
      <c r="AY428" s="96"/>
      <c r="AZ428" s="96"/>
      <c r="BA428" s="96"/>
      <c r="BB428" s="96"/>
      <c r="BC428" s="96"/>
    </row>
    <row r="429" spans="1:55" ht="15.75" customHeight="1" x14ac:dyDescent="0.2">
      <c r="A429" s="89"/>
      <c r="B429" s="89"/>
      <c r="C429" s="89"/>
      <c r="D429" s="89"/>
      <c r="E429" s="89"/>
      <c r="AU429" s="96"/>
      <c r="AV429" s="96"/>
      <c r="AW429" s="96"/>
      <c r="AX429" s="96"/>
      <c r="AY429" s="96"/>
      <c r="AZ429" s="96"/>
      <c r="BA429" s="96"/>
      <c r="BB429" s="96"/>
      <c r="BC429" s="96"/>
    </row>
    <row r="430" spans="1:55" ht="15.75" customHeight="1" x14ac:dyDescent="0.2">
      <c r="A430" s="89"/>
      <c r="B430" s="89"/>
      <c r="C430" s="89"/>
      <c r="D430" s="89"/>
      <c r="E430" s="89"/>
      <c r="AU430" s="96"/>
      <c r="AV430" s="96"/>
      <c r="AW430" s="96"/>
      <c r="AX430" s="96"/>
      <c r="AY430" s="96"/>
      <c r="AZ430" s="96"/>
      <c r="BA430" s="96"/>
      <c r="BB430" s="96"/>
      <c r="BC430" s="96"/>
    </row>
    <row r="431" spans="1:55" ht="15.75" customHeight="1" x14ac:dyDescent="0.2">
      <c r="A431" s="89"/>
      <c r="B431" s="89"/>
      <c r="C431" s="89"/>
      <c r="D431" s="89"/>
      <c r="E431" s="89"/>
      <c r="AU431" s="96"/>
      <c r="AV431" s="96"/>
      <c r="AW431" s="96"/>
      <c r="AX431" s="96"/>
      <c r="AY431" s="96"/>
      <c r="AZ431" s="96"/>
      <c r="BA431" s="96"/>
      <c r="BB431" s="96"/>
      <c r="BC431" s="96"/>
    </row>
    <row r="432" spans="1:55" ht="15.75" customHeight="1" x14ac:dyDescent="0.2">
      <c r="A432" s="89"/>
      <c r="B432" s="89"/>
      <c r="C432" s="89"/>
      <c r="D432" s="89"/>
      <c r="E432" s="89"/>
      <c r="AU432" s="96"/>
      <c r="AV432" s="96"/>
      <c r="AW432" s="96"/>
      <c r="AX432" s="96"/>
      <c r="AY432" s="96"/>
      <c r="AZ432" s="96"/>
      <c r="BA432" s="96"/>
      <c r="BB432" s="96"/>
      <c r="BC432" s="96"/>
    </row>
    <row r="433" spans="1:55" ht="15.75" customHeight="1" x14ac:dyDescent="0.2">
      <c r="A433" s="89"/>
      <c r="B433" s="89"/>
      <c r="C433" s="89"/>
      <c r="D433" s="89"/>
      <c r="E433" s="89"/>
      <c r="AU433" s="96"/>
      <c r="AV433" s="96"/>
      <c r="AW433" s="96"/>
      <c r="AX433" s="96"/>
      <c r="AY433" s="96"/>
      <c r="AZ433" s="96"/>
      <c r="BA433" s="96"/>
      <c r="BB433" s="96"/>
      <c r="BC433" s="96"/>
    </row>
    <row r="434" spans="1:55" ht="15.75" customHeight="1" x14ac:dyDescent="0.2">
      <c r="A434" s="89"/>
      <c r="B434" s="89"/>
      <c r="C434" s="89"/>
      <c r="D434" s="89"/>
      <c r="E434" s="89"/>
      <c r="AU434" s="96"/>
      <c r="AV434" s="96"/>
      <c r="AW434" s="96"/>
      <c r="AX434" s="96"/>
      <c r="AY434" s="96"/>
      <c r="AZ434" s="96"/>
      <c r="BA434" s="96"/>
      <c r="BB434" s="96"/>
      <c r="BC434" s="96"/>
    </row>
    <row r="435" spans="1:55" ht="15.75" customHeight="1" x14ac:dyDescent="0.2">
      <c r="A435" s="89"/>
      <c r="B435" s="89"/>
      <c r="C435" s="89"/>
      <c r="D435" s="89"/>
      <c r="E435" s="89"/>
      <c r="AU435" s="96"/>
      <c r="AV435" s="96"/>
      <c r="AW435" s="96"/>
      <c r="AX435" s="96"/>
      <c r="AY435" s="96"/>
      <c r="AZ435" s="96"/>
      <c r="BA435" s="96"/>
      <c r="BB435" s="96"/>
      <c r="BC435" s="96"/>
    </row>
    <row r="436" spans="1:55" ht="15.75" customHeight="1" x14ac:dyDescent="0.2">
      <c r="A436" s="89"/>
      <c r="B436" s="89"/>
      <c r="C436" s="89"/>
      <c r="D436" s="89"/>
      <c r="E436" s="89"/>
      <c r="AU436" s="96"/>
      <c r="AV436" s="96"/>
      <c r="AW436" s="96"/>
      <c r="AX436" s="96"/>
      <c r="AY436" s="96"/>
      <c r="AZ436" s="96"/>
      <c r="BA436" s="96"/>
      <c r="BB436" s="96"/>
      <c r="BC436" s="96"/>
    </row>
    <row r="437" spans="1:55" ht="15.75" customHeight="1" x14ac:dyDescent="0.2">
      <c r="A437" s="89"/>
      <c r="B437" s="89"/>
      <c r="C437" s="89"/>
      <c r="D437" s="89"/>
      <c r="E437" s="89"/>
      <c r="AU437" s="96"/>
      <c r="AV437" s="96"/>
      <c r="AW437" s="96"/>
      <c r="AX437" s="96"/>
      <c r="AY437" s="96"/>
      <c r="AZ437" s="96"/>
      <c r="BA437" s="96"/>
      <c r="BB437" s="96"/>
      <c r="BC437" s="96"/>
    </row>
    <row r="438" spans="1:55" ht="15.75" customHeight="1" x14ac:dyDescent="0.2">
      <c r="A438" s="89"/>
      <c r="B438" s="89"/>
      <c r="C438" s="89"/>
      <c r="D438" s="89"/>
      <c r="E438" s="89"/>
      <c r="AU438" s="96"/>
      <c r="AV438" s="96"/>
      <c r="AW438" s="96"/>
      <c r="AX438" s="96"/>
      <c r="AY438" s="96"/>
      <c r="AZ438" s="96"/>
      <c r="BA438" s="96"/>
      <c r="BB438" s="96"/>
      <c r="BC438" s="96"/>
    </row>
    <row r="439" spans="1:55" ht="15.75" customHeight="1" x14ac:dyDescent="0.2">
      <c r="A439" s="89"/>
      <c r="B439" s="89"/>
      <c r="C439" s="89"/>
      <c r="D439" s="89"/>
      <c r="E439" s="89"/>
      <c r="AU439" s="96"/>
      <c r="AV439" s="96"/>
      <c r="AW439" s="96"/>
      <c r="AX439" s="96"/>
      <c r="AY439" s="96"/>
      <c r="AZ439" s="96"/>
      <c r="BA439" s="96"/>
      <c r="BB439" s="96"/>
      <c r="BC439" s="96"/>
    </row>
    <row r="440" spans="1:55" ht="15.75" customHeight="1" x14ac:dyDescent="0.2">
      <c r="A440" s="89"/>
      <c r="B440" s="89"/>
      <c r="C440" s="89"/>
      <c r="D440" s="89"/>
      <c r="E440" s="89"/>
      <c r="AU440" s="96"/>
      <c r="AV440" s="96"/>
      <c r="AW440" s="96"/>
      <c r="AX440" s="96"/>
      <c r="AY440" s="96"/>
      <c r="AZ440" s="96"/>
      <c r="BA440" s="96"/>
      <c r="BB440" s="96"/>
      <c r="BC440" s="96"/>
    </row>
    <row r="441" spans="1:55" ht="15.75" customHeight="1" x14ac:dyDescent="0.2">
      <c r="A441" s="89"/>
      <c r="B441" s="89"/>
      <c r="C441" s="89"/>
      <c r="D441" s="89"/>
      <c r="E441" s="89"/>
      <c r="AU441" s="96"/>
      <c r="AV441" s="96"/>
      <c r="AW441" s="96"/>
      <c r="AX441" s="96"/>
      <c r="AY441" s="96"/>
      <c r="AZ441" s="96"/>
      <c r="BA441" s="96"/>
      <c r="BB441" s="96"/>
      <c r="BC441" s="96"/>
    </row>
    <row r="442" spans="1:55" ht="15.75" customHeight="1" x14ac:dyDescent="0.2">
      <c r="A442" s="89"/>
      <c r="B442" s="89"/>
      <c r="C442" s="89"/>
      <c r="D442" s="89"/>
      <c r="E442" s="89"/>
      <c r="AU442" s="96"/>
      <c r="AV442" s="96"/>
      <c r="AW442" s="96"/>
      <c r="AX442" s="96"/>
      <c r="AY442" s="96"/>
      <c r="AZ442" s="96"/>
      <c r="BA442" s="96"/>
      <c r="BB442" s="96"/>
      <c r="BC442" s="96"/>
    </row>
    <row r="443" spans="1:55" ht="15.75" customHeight="1" x14ac:dyDescent="0.2">
      <c r="A443" s="89"/>
      <c r="B443" s="89"/>
      <c r="C443" s="89"/>
      <c r="D443" s="89"/>
      <c r="E443" s="89"/>
      <c r="AU443" s="96"/>
      <c r="AV443" s="96"/>
      <c r="AW443" s="96"/>
      <c r="AX443" s="96"/>
      <c r="AY443" s="96"/>
      <c r="AZ443" s="96"/>
      <c r="BA443" s="96"/>
      <c r="BB443" s="96"/>
      <c r="BC443" s="96"/>
    </row>
    <row r="444" spans="1:55" ht="15.75" customHeight="1" x14ac:dyDescent="0.2">
      <c r="A444" s="89"/>
      <c r="B444" s="89"/>
      <c r="C444" s="89"/>
      <c r="D444" s="89"/>
      <c r="E444" s="89"/>
      <c r="AU444" s="96"/>
      <c r="AV444" s="96"/>
      <c r="AW444" s="96"/>
      <c r="AX444" s="96"/>
      <c r="AY444" s="96"/>
      <c r="AZ444" s="96"/>
      <c r="BA444" s="96"/>
      <c r="BB444" s="96"/>
      <c r="BC444" s="96"/>
    </row>
    <row r="445" spans="1:55" ht="15.75" customHeight="1" x14ac:dyDescent="0.2">
      <c r="A445" s="89"/>
      <c r="B445" s="89"/>
      <c r="C445" s="89"/>
      <c r="D445" s="89"/>
      <c r="E445" s="89"/>
      <c r="AU445" s="96"/>
      <c r="AV445" s="96"/>
      <c r="AW445" s="96"/>
      <c r="AX445" s="96"/>
      <c r="AY445" s="96"/>
      <c r="AZ445" s="96"/>
      <c r="BA445" s="96"/>
      <c r="BB445" s="96"/>
      <c r="BC445" s="96"/>
    </row>
    <row r="446" spans="1:55" ht="15.75" customHeight="1" x14ac:dyDescent="0.2">
      <c r="A446" s="89"/>
      <c r="B446" s="89"/>
      <c r="C446" s="89"/>
      <c r="D446" s="89"/>
      <c r="E446" s="89"/>
      <c r="AU446" s="96"/>
      <c r="AV446" s="96"/>
      <c r="AW446" s="96"/>
      <c r="AX446" s="96"/>
      <c r="AY446" s="96"/>
      <c r="AZ446" s="96"/>
      <c r="BA446" s="96"/>
      <c r="BB446" s="96"/>
      <c r="BC446" s="96"/>
    </row>
    <row r="447" spans="1:55" ht="15.75" customHeight="1" x14ac:dyDescent="0.2">
      <c r="A447" s="89"/>
      <c r="B447" s="89"/>
      <c r="C447" s="89"/>
      <c r="D447" s="89"/>
      <c r="E447" s="89"/>
      <c r="AU447" s="96"/>
      <c r="AV447" s="96"/>
      <c r="AW447" s="96"/>
      <c r="AX447" s="96"/>
      <c r="AY447" s="96"/>
      <c r="AZ447" s="96"/>
      <c r="BA447" s="96"/>
      <c r="BB447" s="96"/>
      <c r="BC447" s="96"/>
    </row>
    <row r="448" spans="1:55" ht="15.75" customHeight="1" x14ac:dyDescent="0.2">
      <c r="A448" s="89"/>
      <c r="B448" s="89"/>
      <c r="C448" s="89"/>
      <c r="D448" s="89"/>
      <c r="E448" s="89"/>
      <c r="AU448" s="96"/>
      <c r="AV448" s="96"/>
      <c r="AW448" s="96"/>
      <c r="AX448" s="96"/>
      <c r="AY448" s="96"/>
      <c r="AZ448" s="96"/>
      <c r="BA448" s="96"/>
      <c r="BB448" s="96"/>
      <c r="BC448" s="96"/>
    </row>
    <row r="449" spans="1:55" ht="15.75" customHeight="1" x14ac:dyDescent="0.2">
      <c r="A449" s="89"/>
      <c r="B449" s="89"/>
      <c r="C449" s="89"/>
      <c r="D449" s="89"/>
      <c r="E449" s="89"/>
      <c r="AU449" s="96"/>
      <c r="AV449" s="96"/>
      <c r="AW449" s="96"/>
      <c r="AX449" s="96"/>
      <c r="AY449" s="96"/>
      <c r="AZ449" s="96"/>
      <c r="BA449" s="96"/>
      <c r="BB449" s="96"/>
      <c r="BC449" s="96"/>
    </row>
    <row r="450" spans="1:55" ht="15.75" customHeight="1" x14ac:dyDescent="0.2">
      <c r="A450" s="89"/>
      <c r="B450" s="89"/>
      <c r="C450" s="89"/>
      <c r="D450" s="89"/>
      <c r="E450" s="89"/>
      <c r="AU450" s="96"/>
      <c r="AV450" s="96"/>
      <c r="AW450" s="96"/>
      <c r="AX450" s="96"/>
      <c r="AY450" s="96"/>
      <c r="AZ450" s="96"/>
      <c r="BA450" s="96"/>
      <c r="BB450" s="96"/>
      <c r="BC450" s="96"/>
    </row>
    <row r="451" spans="1:55" ht="15.75" customHeight="1" x14ac:dyDescent="0.2">
      <c r="A451" s="89"/>
      <c r="B451" s="89"/>
      <c r="C451" s="89"/>
      <c r="D451" s="89"/>
      <c r="E451" s="89"/>
      <c r="AU451" s="96"/>
      <c r="AV451" s="96"/>
      <c r="AW451" s="96"/>
      <c r="AX451" s="96"/>
      <c r="AY451" s="96"/>
      <c r="AZ451" s="96"/>
      <c r="BA451" s="96"/>
      <c r="BB451" s="96"/>
      <c r="BC451" s="96"/>
    </row>
    <row r="452" spans="1:55" ht="15.75" customHeight="1" x14ac:dyDescent="0.2">
      <c r="A452" s="89"/>
      <c r="B452" s="89"/>
      <c r="C452" s="89"/>
      <c r="D452" s="89"/>
      <c r="E452" s="89"/>
      <c r="AU452" s="96"/>
      <c r="AV452" s="96"/>
      <c r="AW452" s="96"/>
      <c r="AX452" s="96"/>
      <c r="AY452" s="96"/>
      <c r="AZ452" s="96"/>
      <c r="BA452" s="96"/>
      <c r="BB452" s="96"/>
      <c r="BC452" s="96"/>
    </row>
    <row r="453" spans="1:55" ht="15.75" customHeight="1" x14ac:dyDescent="0.2">
      <c r="A453" s="89"/>
      <c r="B453" s="89"/>
      <c r="C453" s="89"/>
      <c r="D453" s="89"/>
      <c r="E453" s="89"/>
      <c r="AU453" s="96"/>
      <c r="AV453" s="96"/>
      <c r="AW453" s="96"/>
      <c r="AX453" s="96"/>
      <c r="AY453" s="96"/>
      <c r="AZ453" s="96"/>
      <c r="BA453" s="96"/>
      <c r="BB453" s="96"/>
      <c r="BC453" s="96"/>
    </row>
    <row r="454" spans="1:55" ht="15.75" customHeight="1" x14ac:dyDescent="0.2">
      <c r="A454" s="89"/>
      <c r="B454" s="89"/>
      <c r="C454" s="89"/>
      <c r="D454" s="89"/>
      <c r="E454" s="89"/>
      <c r="AU454" s="96"/>
      <c r="AV454" s="96"/>
      <c r="AW454" s="96"/>
      <c r="AX454" s="96"/>
      <c r="AY454" s="96"/>
      <c r="AZ454" s="96"/>
      <c r="BA454" s="96"/>
      <c r="BB454" s="96"/>
      <c r="BC454" s="96"/>
    </row>
    <row r="455" spans="1:55" ht="15.75" customHeight="1" x14ac:dyDescent="0.2">
      <c r="A455" s="89"/>
      <c r="B455" s="89"/>
      <c r="C455" s="89"/>
      <c r="D455" s="89"/>
      <c r="E455" s="89"/>
      <c r="AU455" s="96"/>
      <c r="AV455" s="96"/>
      <c r="AW455" s="96"/>
      <c r="AX455" s="96"/>
      <c r="AY455" s="96"/>
      <c r="AZ455" s="96"/>
      <c r="BA455" s="96"/>
      <c r="BB455" s="96"/>
      <c r="BC455" s="96"/>
    </row>
    <row r="456" spans="1:55" ht="15.75" customHeight="1" x14ac:dyDescent="0.2">
      <c r="A456" s="89"/>
      <c r="B456" s="89"/>
      <c r="C456" s="89"/>
      <c r="D456" s="89"/>
      <c r="E456" s="89"/>
      <c r="AU456" s="96"/>
      <c r="AV456" s="96"/>
      <c r="AW456" s="96"/>
      <c r="AX456" s="96"/>
      <c r="AY456" s="96"/>
      <c r="AZ456" s="96"/>
      <c r="BA456" s="96"/>
      <c r="BB456" s="96"/>
      <c r="BC456" s="96"/>
    </row>
    <row r="457" spans="1:55" ht="15.75" customHeight="1" x14ac:dyDescent="0.2">
      <c r="A457" s="89"/>
      <c r="B457" s="89"/>
      <c r="C457" s="89"/>
      <c r="D457" s="89"/>
      <c r="E457" s="89"/>
      <c r="AU457" s="96"/>
      <c r="AV457" s="96"/>
      <c r="AW457" s="96"/>
      <c r="AX457" s="96"/>
      <c r="AY457" s="96"/>
      <c r="AZ457" s="96"/>
      <c r="BA457" s="96"/>
      <c r="BB457" s="96"/>
      <c r="BC457" s="96"/>
    </row>
    <row r="458" spans="1:55" ht="15.75" customHeight="1" x14ac:dyDescent="0.2">
      <c r="A458" s="89"/>
      <c r="B458" s="89"/>
      <c r="C458" s="89"/>
      <c r="D458" s="89"/>
      <c r="E458" s="89"/>
      <c r="AU458" s="96"/>
      <c r="AV458" s="96"/>
      <c r="AW458" s="96"/>
      <c r="AX458" s="96"/>
      <c r="AY458" s="96"/>
      <c r="AZ458" s="96"/>
      <c r="BA458" s="96"/>
      <c r="BB458" s="96"/>
      <c r="BC458" s="96"/>
    </row>
    <row r="459" spans="1:55" ht="15.75" customHeight="1" x14ac:dyDescent="0.2">
      <c r="A459" s="89"/>
      <c r="B459" s="89"/>
      <c r="C459" s="89"/>
      <c r="D459" s="89"/>
      <c r="E459" s="89"/>
      <c r="AU459" s="96"/>
      <c r="AV459" s="96"/>
      <c r="AW459" s="96"/>
      <c r="AX459" s="96"/>
      <c r="AY459" s="96"/>
      <c r="AZ459" s="96"/>
      <c r="BA459" s="96"/>
      <c r="BB459" s="96"/>
      <c r="BC459" s="96"/>
    </row>
    <row r="460" spans="1:55" ht="15.75" customHeight="1" x14ac:dyDescent="0.2">
      <c r="A460" s="89"/>
      <c r="B460" s="89"/>
      <c r="C460" s="89"/>
      <c r="D460" s="89"/>
      <c r="E460" s="89"/>
      <c r="AU460" s="96"/>
      <c r="AV460" s="96"/>
      <c r="AW460" s="96"/>
      <c r="AX460" s="96"/>
      <c r="AY460" s="96"/>
      <c r="AZ460" s="96"/>
      <c r="BA460" s="96"/>
      <c r="BB460" s="96"/>
      <c r="BC460" s="96"/>
    </row>
    <row r="461" spans="1:55" ht="15.75" customHeight="1" x14ac:dyDescent="0.2">
      <c r="A461" s="89"/>
      <c r="B461" s="89"/>
      <c r="C461" s="89"/>
      <c r="D461" s="89"/>
      <c r="E461" s="89"/>
      <c r="AU461" s="96"/>
      <c r="AV461" s="96"/>
      <c r="AW461" s="96"/>
      <c r="AX461" s="96"/>
      <c r="AY461" s="96"/>
      <c r="AZ461" s="96"/>
      <c r="BA461" s="96"/>
      <c r="BB461" s="96"/>
      <c r="BC461" s="96"/>
    </row>
    <row r="462" spans="1:55" ht="15.75" customHeight="1" x14ac:dyDescent="0.2">
      <c r="A462" s="89"/>
      <c r="B462" s="89"/>
      <c r="C462" s="89"/>
      <c r="D462" s="89"/>
      <c r="E462" s="89"/>
      <c r="AU462" s="96"/>
      <c r="AV462" s="96"/>
      <c r="AW462" s="96"/>
      <c r="AX462" s="96"/>
      <c r="AY462" s="96"/>
      <c r="AZ462" s="96"/>
      <c r="BA462" s="96"/>
      <c r="BB462" s="96"/>
      <c r="BC462" s="96"/>
    </row>
    <row r="463" spans="1:55" ht="15.75" customHeight="1" x14ac:dyDescent="0.2">
      <c r="A463" s="89"/>
      <c r="B463" s="89"/>
      <c r="C463" s="89"/>
      <c r="D463" s="89"/>
      <c r="E463" s="89"/>
      <c r="AU463" s="96"/>
      <c r="AV463" s="96"/>
      <c r="AW463" s="96"/>
      <c r="AX463" s="96"/>
      <c r="AY463" s="96"/>
      <c r="AZ463" s="96"/>
      <c r="BA463" s="96"/>
      <c r="BB463" s="96"/>
      <c r="BC463" s="96"/>
    </row>
    <row r="464" spans="1:55" ht="15.75" customHeight="1" x14ac:dyDescent="0.2">
      <c r="A464" s="89"/>
      <c r="B464" s="89"/>
      <c r="C464" s="89"/>
      <c r="D464" s="89"/>
      <c r="E464" s="89"/>
      <c r="AU464" s="96"/>
      <c r="AV464" s="96"/>
      <c r="AW464" s="96"/>
      <c r="AX464" s="96"/>
      <c r="AY464" s="96"/>
      <c r="AZ464" s="96"/>
      <c r="BA464" s="96"/>
      <c r="BB464" s="96"/>
      <c r="BC464" s="96"/>
    </row>
    <row r="465" spans="1:55" ht="15.75" customHeight="1" x14ac:dyDescent="0.2">
      <c r="A465" s="89"/>
      <c r="B465" s="89"/>
      <c r="C465" s="89"/>
      <c r="D465" s="89"/>
      <c r="E465" s="89"/>
      <c r="AU465" s="96"/>
      <c r="AV465" s="96"/>
      <c r="AW465" s="96"/>
      <c r="AX465" s="96"/>
      <c r="AY465" s="96"/>
      <c r="AZ465" s="96"/>
      <c r="BA465" s="96"/>
      <c r="BB465" s="96"/>
      <c r="BC465" s="96"/>
    </row>
    <row r="466" spans="1:55" ht="15.75" customHeight="1" x14ac:dyDescent="0.2">
      <c r="A466" s="89"/>
      <c r="B466" s="89"/>
      <c r="C466" s="89"/>
      <c r="D466" s="89"/>
      <c r="E466" s="89"/>
      <c r="AU466" s="96"/>
      <c r="AV466" s="96"/>
      <c r="AW466" s="96"/>
      <c r="AX466" s="96"/>
      <c r="AY466" s="96"/>
      <c r="AZ466" s="96"/>
      <c r="BA466" s="96"/>
      <c r="BB466" s="96"/>
      <c r="BC466" s="96"/>
    </row>
    <row r="467" spans="1:55" ht="15.75" customHeight="1" x14ac:dyDescent="0.2">
      <c r="A467" s="89"/>
      <c r="B467" s="89"/>
      <c r="C467" s="89"/>
      <c r="D467" s="89"/>
      <c r="E467" s="89"/>
      <c r="AU467" s="96"/>
      <c r="AV467" s="96"/>
      <c r="AW467" s="96"/>
      <c r="AX467" s="96"/>
      <c r="AY467" s="96"/>
      <c r="AZ467" s="96"/>
      <c r="BA467" s="96"/>
      <c r="BB467" s="96"/>
      <c r="BC467" s="96"/>
    </row>
    <row r="468" spans="1:55" ht="15.75" customHeight="1" x14ac:dyDescent="0.2">
      <c r="A468" s="89"/>
      <c r="B468" s="89"/>
      <c r="C468" s="89"/>
      <c r="D468" s="89"/>
      <c r="E468" s="89"/>
      <c r="AU468" s="96"/>
      <c r="AV468" s="96"/>
      <c r="AW468" s="96"/>
      <c r="AX468" s="96"/>
      <c r="AY468" s="96"/>
      <c r="AZ468" s="96"/>
      <c r="BA468" s="96"/>
      <c r="BB468" s="96"/>
      <c r="BC468" s="96"/>
    </row>
    <row r="469" spans="1:55" ht="15.75" customHeight="1" x14ac:dyDescent="0.2">
      <c r="A469" s="89"/>
      <c r="B469" s="89"/>
      <c r="C469" s="89"/>
      <c r="D469" s="89"/>
      <c r="E469" s="89"/>
      <c r="AU469" s="96"/>
      <c r="AV469" s="96"/>
      <c r="AW469" s="96"/>
      <c r="AX469" s="96"/>
      <c r="AY469" s="96"/>
      <c r="AZ469" s="96"/>
      <c r="BA469" s="96"/>
      <c r="BB469" s="96"/>
      <c r="BC469" s="96"/>
    </row>
    <row r="470" spans="1:55" ht="15.75" customHeight="1" x14ac:dyDescent="0.2">
      <c r="A470" s="89"/>
      <c r="B470" s="89"/>
      <c r="C470" s="89"/>
      <c r="D470" s="89"/>
      <c r="E470" s="89"/>
      <c r="AU470" s="96"/>
      <c r="AV470" s="96"/>
      <c r="AW470" s="96"/>
      <c r="AX470" s="96"/>
      <c r="AY470" s="96"/>
      <c r="AZ470" s="96"/>
      <c r="BA470" s="96"/>
      <c r="BB470" s="96"/>
      <c r="BC470" s="96"/>
    </row>
    <row r="471" spans="1:55" ht="15.75" customHeight="1" x14ac:dyDescent="0.2">
      <c r="A471" s="89"/>
      <c r="B471" s="89"/>
      <c r="C471" s="89"/>
      <c r="D471" s="89"/>
      <c r="E471" s="89"/>
      <c r="AU471" s="96"/>
      <c r="AV471" s="96"/>
      <c r="AW471" s="96"/>
      <c r="AX471" s="96"/>
      <c r="AY471" s="96"/>
      <c r="AZ471" s="96"/>
      <c r="BA471" s="96"/>
      <c r="BB471" s="96"/>
      <c r="BC471" s="96"/>
    </row>
    <row r="472" spans="1:55" ht="15.75" customHeight="1" x14ac:dyDescent="0.2">
      <c r="A472" s="89"/>
      <c r="B472" s="89"/>
      <c r="C472" s="89"/>
      <c r="D472" s="89"/>
      <c r="E472" s="89"/>
      <c r="AU472" s="96"/>
      <c r="AV472" s="96"/>
      <c r="AW472" s="96"/>
      <c r="AX472" s="96"/>
      <c r="AY472" s="96"/>
      <c r="AZ472" s="96"/>
      <c r="BA472" s="96"/>
      <c r="BB472" s="96"/>
      <c r="BC472" s="96"/>
    </row>
    <row r="473" spans="1:55" ht="15.75" customHeight="1" x14ac:dyDescent="0.2">
      <c r="A473" s="89"/>
      <c r="B473" s="89"/>
      <c r="C473" s="89"/>
      <c r="D473" s="89"/>
      <c r="E473" s="89"/>
      <c r="AU473" s="96"/>
      <c r="AV473" s="96"/>
      <c r="AW473" s="96"/>
      <c r="AX473" s="96"/>
      <c r="AY473" s="96"/>
      <c r="AZ473" s="96"/>
      <c r="BA473" s="96"/>
      <c r="BB473" s="96"/>
      <c r="BC473" s="96"/>
    </row>
    <row r="474" spans="1:55" ht="15.75" customHeight="1" x14ac:dyDescent="0.2">
      <c r="A474" s="89"/>
      <c r="B474" s="89"/>
      <c r="C474" s="89"/>
      <c r="D474" s="89"/>
      <c r="E474" s="89"/>
      <c r="AU474" s="96"/>
      <c r="AV474" s="96"/>
      <c r="AW474" s="96"/>
      <c r="AX474" s="96"/>
      <c r="AY474" s="96"/>
      <c r="AZ474" s="96"/>
      <c r="BA474" s="96"/>
      <c r="BB474" s="96"/>
      <c r="BC474" s="96"/>
    </row>
    <row r="475" spans="1:55" ht="15.75" customHeight="1" x14ac:dyDescent="0.2">
      <c r="A475" s="89"/>
      <c r="B475" s="89"/>
      <c r="C475" s="89"/>
      <c r="D475" s="89"/>
      <c r="E475" s="89"/>
      <c r="AU475" s="96"/>
      <c r="AV475" s="96"/>
      <c r="AW475" s="96"/>
      <c r="AX475" s="96"/>
      <c r="AY475" s="96"/>
      <c r="AZ475" s="96"/>
      <c r="BA475" s="96"/>
      <c r="BB475" s="96"/>
      <c r="BC475" s="96"/>
    </row>
    <row r="476" spans="1:55" ht="15.75" customHeight="1" x14ac:dyDescent="0.2">
      <c r="A476" s="89"/>
      <c r="B476" s="89"/>
      <c r="C476" s="89"/>
      <c r="D476" s="89"/>
      <c r="E476" s="89"/>
      <c r="AU476" s="96"/>
      <c r="AV476" s="96"/>
      <c r="AW476" s="96"/>
      <c r="AX476" s="96"/>
      <c r="AY476" s="96"/>
      <c r="AZ476" s="96"/>
      <c r="BA476" s="96"/>
      <c r="BB476" s="96"/>
      <c r="BC476" s="96"/>
    </row>
    <row r="477" spans="1:55" ht="15.75" customHeight="1" x14ac:dyDescent="0.2">
      <c r="A477" s="89"/>
      <c r="B477" s="89"/>
      <c r="C477" s="89"/>
      <c r="D477" s="89"/>
      <c r="E477" s="89"/>
      <c r="AU477" s="96"/>
      <c r="AV477" s="96"/>
      <c r="AW477" s="96"/>
      <c r="AX477" s="96"/>
      <c r="AY477" s="96"/>
      <c r="AZ477" s="96"/>
      <c r="BA477" s="96"/>
      <c r="BB477" s="96"/>
      <c r="BC477" s="96"/>
    </row>
    <row r="478" spans="1:55" ht="15.75" customHeight="1" x14ac:dyDescent="0.2">
      <c r="A478" s="89"/>
      <c r="B478" s="89"/>
      <c r="C478" s="89"/>
      <c r="D478" s="89"/>
      <c r="E478" s="89"/>
      <c r="AU478" s="96"/>
      <c r="AV478" s="96"/>
      <c r="AW478" s="96"/>
      <c r="AX478" s="96"/>
      <c r="AY478" s="96"/>
      <c r="AZ478" s="96"/>
      <c r="BA478" s="96"/>
      <c r="BB478" s="96"/>
      <c r="BC478" s="96"/>
    </row>
    <row r="479" spans="1:55" ht="15.75" customHeight="1" x14ac:dyDescent="0.2">
      <c r="A479" s="89"/>
      <c r="B479" s="89"/>
      <c r="C479" s="89"/>
      <c r="D479" s="89"/>
      <c r="E479" s="89"/>
      <c r="AU479" s="96"/>
      <c r="AV479" s="96"/>
      <c r="AW479" s="96"/>
      <c r="AX479" s="96"/>
      <c r="AY479" s="96"/>
      <c r="AZ479" s="96"/>
      <c r="BA479" s="96"/>
      <c r="BB479" s="96"/>
      <c r="BC479" s="96"/>
    </row>
    <row r="480" spans="1:55" ht="15.75" customHeight="1" x14ac:dyDescent="0.2">
      <c r="A480" s="89"/>
      <c r="B480" s="89"/>
      <c r="C480" s="89"/>
      <c r="D480" s="89"/>
      <c r="E480" s="89"/>
      <c r="AU480" s="96"/>
      <c r="AV480" s="96"/>
      <c r="AW480" s="96"/>
      <c r="AX480" s="96"/>
      <c r="AY480" s="96"/>
      <c r="AZ480" s="96"/>
      <c r="BA480" s="96"/>
      <c r="BB480" s="96"/>
      <c r="BC480" s="96"/>
    </row>
    <row r="481" spans="1:55" ht="15.75" customHeight="1" x14ac:dyDescent="0.2">
      <c r="A481" s="89"/>
      <c r="B481" s="89"/>
      <c r="C481" s="89"/>
      <c r="D481" s="89"/>
      <c r="E481" s="89"/>
      <c r="AU481" s="96"/>
      <c r="AV481" s="96"/>
      <c r="AW481" s="96"/>
      <c r="AX481" s="96"/>
      <c r="AY481" s="96"/>
      <c r="AZ481" s="96"/>
      <c r="BA481" s="96"/>
      <c r="BB481" s="96"/>
      <c r="BC481" s="96"/>
    </row>
    <row r="482" spans="1:55" ht="15.75" customHeight="1" x14ac:dyDescent="0.2">
      <c r="A482" s="89"/>
      <c r="B482" s="89"/>
      <c r="C482" s="89"/>
      <c r="D482" s="89"/>
      <c r="E482" s="89"/>
      <c r="AU482" s="96"/>
      <c r="AV482" s="96"/>
      <c r="AW482" s="96"/>
      <c r="AX482" s="96"/>
      <c r="AY482" s="96"/>
      <c r="AZ482" s="96"/>
      <c r="BA482" s="96"/>
      <c r="BB482" s="96"/>
      <c r="BC482" s="96"/>
    </row>
    <row r="483" spans="1:55" ht="15.75" customHeight="1" x14ac:dyDescent="0.2">
      <c r="A483" s="89"/>
      <c r="B483" s="89"/>
      <c r="C483" s="89"/>
      <c r="D483" s="89"/>
      <c r="E483" s="89"/>
      <c r="AU483" s="96"/>
      <c r="AV483" s="96"/>
      <c r="AW483" s="96"/>
      <c r="AX483" s="96"/>
      <c r="AY483" s="96"/>
      <c r="AZ483" s="96"/>
      <c r="BA483" s="96"/>
      <c r="BB483" s="96"/>
      <c r="BC483" s="96"/>
    </row>
    <row r="484" spans="1:55" ht="15.75" customHeight="1" x14ac:dyDescent="0.2">
      <c r="A484" s="89"/>
      <c r="B484" s="89"/>
      <c r="C484" s="89"/>
      <c r="D484" s="89"/>
      <c r="E484" s="89"/>
      <c r="AU484" s="96"/>
      <c r="AV484" s="96"/>
      <c r="AW484" s="96"/>
      <c r="AX484" s="96"/>
      <c r="AY484" s="96"/>
      <c r="AZ484" s="96"/>
      <c r="BA484" s="96"/>
      <c r="BB484" s="96"/>
      <c r="BC484" s="96"/>
    </row>
    <row r="485" spans="1:55" ht="15.75" customHeight="1" x14ac:dyDescent="0.2">
      <c r="A485" s="89"/>
      <c r="B485" s="89"/>
      <c r="C485" s="89"/>
      <c r="D485" s="89"/>
      <c r="E485" s="89"/>
      <c r="AU485" s="96"/>
      <c r="AV485" s="96"/>
      <c r="AW485" s="96"/>
      <c r="AX485" s="96"/>
      <c r="AY485" s="96"/>
      <c r="AZ485" s="96"/>
      <c r="BA485" s="96"/>
      <c r="BB485" s="96"/>
      <c r="BC485" s="96"/>
    </row>
    <row r="486" spans="1:55" ht="15.75" customHeight="1" x14ac:dyDescent="0.2">
      <c r="A486" s="89"/>
      <c r="B486" s="89"/>
      <c r="C486" s="89"/>
      <c r="D486" s="89"/>
      <c r="E486" s="89"/>
      <c r="AU486" s="96"/>
      <c r="AV486" s="96"/>
      <c r="AW486" s="96"/>
      <c r="AX486" s="96"/>
      <c r="AY486" s="96"/>
      <c r="AZ486" s="96"/>
      <c r="BA486" s="96"/>
      <c r="BB486" s="96"/>
      <c r="BC486" s="96"/>
    </row>
    <row r="487" spans="1:55" ht="15.75" customHeight="1" x14ac:dyDescent="0.2">
      <c r="A487" s="89"/>
      <c r="B487" s="89"/>
      <c r="C487" s="89"/>
      <c r="D487" s="89"/>
      <c r="E487" s="89"/>
      <c r="AU487" s="96"/>
      <c r="AV487" s="96"/>
      <c r="AW487" s="96"/>
      <c r="AX487" s="96"/>
      <c r="AY487" s="96"/>
      <c r="AZ487" s="96"/>
      <c r="BA487" s="96"/>
      <c r="BB487" s="96"/>
      <c r="BC487" s="96"/>
    </row>
    <row r="488" spans="1:55" ht="15.75" customHeight="1" x14ac:dyDescent="0.2">
      <c r="A488" s="89"/>
      <c r="B488" s="89"/>
      <c r="C488" s="89"/>
      <c r="D488" s="89"/>
      <c r="E488" s="89"/>
      <c r="AU488" s="96"/>
      <c r="AV488" s="96"/>
      <c r="AW488" s="96"/>
      <c r="AX488" s="96"/>
      <c r="AY488" s="96"/>
      <c r="AZ488" s="96"/>
      <c r="BA488" s="96"/>
      <c r="BB488" s="96"/>
      <c r="BC488" s="96"/>
    </row>
    <row r="489" spans="1:55" ht="15.75" customHeight="1" x14ac:dyDescent="0.2">
      <c r="A489" s="89"/>
      <c r="B489" s="89"/>
      <c r="C489" s="89"/>
      <c r="D489" s="89"/>
      <c r="E489" s="89"/>
      <c r="AU489" s="96"/>
      <c r="AV489" s="96"/>
      <c r="AW489" s="96"/>
      <c r="AX489" s="96"/>
      <c r="AY489" s="96"/>
      <c r="AZ489" s="96"/>
      <c r="BA489" s="96"/>
      <c r="BB489" s="96"/>
      <c r="BC489" s="96"/>
    </row>
    <row r="490" spans="1:55" ht="15.75" customHeight="1" x14ac:dyDescent="0.2">
      <c r="A490" s="89"/>
      <c r="B490" s="89"/>
      <c r="C490" s="89"/>
      <c r="D490" s="89"/>
      <c r="E490" s="89"/>
      <c r="AU490" s="96"/>
      <c r="AV490" s="96"/>
      <c r="AW490" s="96"/>
      <c r="AX490" s="96"/>
      <c r="AY490" s="96"/>
      <c r="AZ490" s="96"/>
      <c r="BA490" s="96"/>
      <c r="BB490" s="96"/>
      <c r="BC490" s="96"/>
    </row>
    <row r="491" spans="1:55" ht="15.75" customHeight="1" x14ac:dyDescent="0.2">
      <c r="A491" s="89"/>
      <c r="B491" s="89"/>
      <c r="C491" s="89"/>
      <c r="D491" s="89"/>
      <c r="E491" s="89"/>
      <c r="AU491" s="96"/>
      <c r="AV491" s="96"/>
      <c r="AW491" s="96"/>
      <c r="AX491" s="96"/>
      <c r="AY491" s="96"/>
      <c r="AZ491" s="96"/>
      <c r="BA491" s="96"/>
      <c r="BB491" s="96"/>
      <c r="BC491" s="96"/>
    </row>
    <row r="492" spans="1:55" ht="15.75" customHeight="1" x14ac:dyDescent="0.2">
      <c r="A492" s="89"/>
      <c r="B492" s="89"/>
      <c r="C492" s="89"/>
      <c r="D492" s="89"/>
      <c r="E492" s="89"/>
      <c r="AU492" s="96"/>
      <c r="AV492" s="96"/>
      <c r="AW492" s="96"/>
      <c r="AX492" s="96"/>
      <c r="AY492" s="96"/>
      <c r="AZ492" s="96"/>
      <c r="BA492" s="96"/>
      <c r="BB492" s="96"/>
      <c r="BC492" s="96"/>
    </row>
    <row r="493" spans="1:55" ht="15.75" customHeight="1" x14ac:dyDescent="0.2">
      <c r="A493" s="89"/>
      <c r="B493" s="89"/>
      <c r="C493" s="89"/>
      <c r="D493" s="89"/>
      <c r="E493" s="89"/>
      <c r="AU493" s="96"/>
      <c r="AV493" s="96"/>
      <c r="AW493" s="96"/>
      <c r="AX493" s="96"/>
      <c r="AY493" s="96"/>
      <c r="AZ493" s="96"/>
      <c r="BA493" s="96"/>
      <c r="BB493" s="96"/>
      <c r="BC493" s="96"/>
    </row>
    <row r="494" spans="1:55" ht="15.75" customHeight="1" x14ac:dyDescent="0.2">
      <c r="A494" s="89"/>
      <c r="B494" s="89"/>
      <c r="C494" s="89"/>
      <c r="D494" s="89"/>
      <c r="E494" s="89"/>
      <c r="AU494" s="96"/>
      <c r="AV494" s="96"/>
      <c r="AW494" s="96"/>
      <c r="AX494" s="96"/>
      <c r="AY494" s="96"/>
      <c r="AZ494" s="96"/>
      <c r="BA494" s="96"/>
      <c r="BB494" s="96"/>
      <c r="BC494" s="96"/>
    </row>
    <row r="495" spans="1:55" ht="15.75" customHeight="1" x14ac:dyDescent="0.2">
      <c r="A495" s="89"/>
      <c r="B495" s="89"/>
      <c r="C495" s="89"/>
      <c r="D495" s="89"/>
      <c r="E495" s="89"/>
      <c r="AU495" s="96"/>
      <c r="AV495" s="96"/>
      <c r="AW495" s="96"/>
      <c r="AX495" s="96"/>
      <c r="AY495" s="96"/>
      <c r="AZ495" s="96"/>
      <c r="BA495" s="96"/>
      <c r="BB495" s="96"/>
      <c r="BC495" s="96"/>
    </row>
    <row r="496" spans="1:55" ht="15.75" customHeight="1" x14ac:dyDescent="0.2">
      <c r="A496" s="89"/>
      <c r="B496" s="89"/>
      <c r="C496" s="89"/>
      <c r="D496" s="89"/>
      <c r="E496" s="89"/>
      <c r="AU496" s="96"/>
      <c r="AV496" s="96"/>
      <c r="AW496" s="96"/>
      <c r="AX496" s="96"/>
      <c r="AY496" s="96"/>
      <c r="AZ496" s="96"/>
      <c r="BA496" s="96"/>
      <c r="BB496" s="96"/>
      <c r="BC496" s="96"/>
    </row>
    <row r="497" spans="1:55" ht="15.75" customHeight="1" x14ac:dyDescent="0.2">
      <c r="A497" s="89"/>
      <c r="B497" s="89"/>
      <c r="C497" s="89"/>
      <c r="D497" s="89"/>
      <c r="E497" s="89"/>
      <c r="AU497" s="96"/>
      <c r="AV497" s="96"/>
      <c r="AW497" s="96"/>
      <c r="AX497" s="96"/>
      <c r="AY497" s="96"/>
      <c r="AZ497" s="96"/>
      <c r="BA497" s="96"/>
      <c r="BB497" s="96"/>
      <c r="BC497" s="96"/>
    </row>
    <row r="498" spans="1:55" ht="15.75" customHeight="1" x14ac:dyDescent="0.2">
      <c r="A498" s="89"/>
      <c r="B498" s="89"/>
      <c r="C498" s="89"/>
      <c r="D498" s="89"/>
      <c r="E498" s="89"/>
      <c r="AU498" s="96"/>
      <c r="AV498" s="96"/>
      <c r="AW498" s="96"/>
      <c r="AX498" s="96"/>
      <c r="AY498" s="96"/>
      <c r="AZ498" s="96"/>
      <c r="BA498" s="96"/>
      <c r="BB498" s="96"/>
      <c r="BC498" s="96"/>
    </row>
    <row r="499" spans="1:55" ht="15.75" customHeight="1" x14ac:dyDescent="0.2">
      <c r="A499" s="89"/>
      <c r="B499" s="89"/>
      <c r="C499" s="89"/>
      <c r="D499" s="89"/>
      <c r="E499" s="89"/>
      <c r="AU499" s="96"/>
      <c r="AV499" s="96"/>
      <c r="AW499" s="96"/>
      <c r="AX499" s="96"/>
      <c r="AY499" s="96"/>
      <c r="AZ499" s="96"/>
      <c r="BA499" s="96"/>
      <c r="BB499" s="96"/>
      <c r="BC499" s="96"/>
    </row>
    <row r="500" spans="1:55" ht="15.75" customHeight="1" x14ac:dyDescent="0.2">
      <c r="A500" s="89"/>
      <c r="B500" s="89"/>
      <c r="C500" s="89"/>
      <c r="D500" s="89"/>
      <c r="E500" s="89"/>
      <c r="AU500" s="96"/>
      <c r="AV500" s="96"/>
      <c r="AW500" s="96"/>
      <c r="AX500" s="96"/>
      <c r="AY500" s="96"/>
      <c r="AZ500" s="96"/>
      <c r="BA500" s="96"/>
      <c r="BB500" s="96"/>
      <c r="BC500" s="96"/>
    </row>
    <row r="501" spans="1:55" ht="15.75" customHeight="1" x14ac:dyDescent="0.2">
      <c r="A501" s="89"/>
      <c r="B501" s="89"/>
      <c r="C501" s="89"/>
      <c r="D501" s="89"/>
      <c r="E501" s="89"/>
      <c r="AU501" s="96"/>
      <c r="AV501" s="96"/>
      <c r="AW501" s="96"/>
      <c r="AX501" s="96"/>
      <c r="AY501" s="96"/>
      <c r="AZ501" s="96"/>
      <c r="BA501" s="96"/>
      <c r="BB501" s="96"/>
      <c r="BC501" s="96"/>
    </row>
    <row r="502" spans="1:55" ht="15.75" customHeight="1" x14ac:dyDescent="0.2">
      <c r="A502" s="89"/>
      <c r="B502" s="89"/>
      <c r="C502" s="89"/>
      <c r="D502" s="89"/>
      <c r="E502" s="89"/>
      <c r="AU502" s="96"/>
      <c r="AV502" s="96"/>
      <c r="AW502" s="96"/>
      <c r="AX502" s="96"/>
      <c r="AY502" s="96"/>
      <c r="AZ502" s="96"/>
      <c r="BA502" s="96"/>
      <c r="BB502" s="96"/>
      <c r="BC502" s="96"/>
    </row>
    <row r="503" spans="1:55" ht="15.75" customHeight="1" x14ac:dyDescent="0.2">
      <c r="A503" s="89"/>
      <c r="B503" s="89"/>
      <c r="C503" s="89"/>
      <c r="D503" s="89"/>
      <c r="E503" s="89"/>
      <c r="AU503" s="96"/>
      <c r="AV503" s="96"/>
      <c r="AW503" s="96"/>
      <c r="AX503" s="96"/>
      <c r="AY503" s="96"/>
      <c r="AZ503" s="96"/>
      <c r="BA503" s="96"/>
      <c r="BB503" s="96"/>
      <c r="BC503" s="96"/>
    </row>
    <row r="504" spans="1:55" ht="15.75" customHeight="1" x14ac:dyDescent="0.2">
      <c r="A504" s="89"/>
      <c r="B504" s="89"/>
      <c r="C504" s="89"/>
      <c r="D504" s="89"/>
      <c r="E504" s="89"/>
      <c r="AU504" s="96"/>
      <c r="AV504" s="96"/>
      <c r="AW504" s="96"/>
      <c r="AX504" s="96"/>
      <c r="AY504" s="96"/>
      <c r="AZ504" s="96"/>
      <c r="BA504" s="96"/>
      <c r="BB504" s="96"/>
      <c r="BC504" s="96"/>
    </row>
    <row r="505" spans="1:55" ht="15.75" customHeight="1" x14ac:dyDescent="0.2">
      <c r="A505" s="89"/>
      <c r="B505" s="89"/>
      <c r="C505" s="89"/>
      <c r="D505" s="89"/>
      <c r="E505" s="89"/>
      <c r="AU505" s="96"/>
      <c r="AV505" s="96"/>
      <c r="AW505" s="96"/>
      <c r="AX505" s="96"/>
      <c r="AY505" s="96"/>
      <c r="AZ505" s="96"/>
      <c r="BA505" s="96"/>
      <c r="BB505" s="96"/>
      <c r="BC505" s="96"/>
    </row>
    <row r="506" spans="1:55" ht="15.75" customHeight="1" x14ac:dyDescent="0.2">
      <c r="A506" s="89"/>
      <c r="B506" s="89"/>
      <c r="C506" s="89"/>
      <c r="D506" s="89"/>
      <c r="E506" s="89"/>
      <c r="AU506" s="96"/>
      <c r="AV506" s="96"/>
      <c r="AW506" s="96"/>
      <c r="AX506" s="96"/>
      <c r="AY506" s="96"/>
      <c r="AZ506" s="96"/>
      <c r="BA506" s="96"/>
      <c r="BB506" s="96"/>
      <c r="BC506" s="96"/>
    </row>
    <row r="507" spans="1:55" ht="15.75" customHeight="1" x14ac:dyDescent="0.2">
      <c r="A507" s="89"/>
      <c r="B507" s="89"/>
      <c r="C507" s="89"/>
      <c r="D507" s="89"/>
      <c r="E507" s="89"/>
      <c r="AU507" s="96"/>
      <c r="AV507" s="96"/>
      <c r="AW507" s="96"/>
      <c r="AX507" s="96"/>
      <c r="AY507" s="96"/>
      <c r="AZ507" s="96"/>
      <c r="BA507" s="96"/>
      <c r="BB507" s="96"/>
      <c r="BC507" s="96"/>
    </row>
    <row r="508" spans="1:55" ht="15.75" customHeight="1" x14ac:dyDescent="0.2">
      <c r="A508" s="89"/>
      <c r="B508" s="89"/>
      <c r="C508" s="89"/>
      <c r="D508" s="89"/>
      <c r="E508" s="89"/>
      <c r="AU508" s="96"/>
      <c r="AV508" s="96"/>
      <c r="AW508" s="96"/>
      <c r="AX508" s="96"/>
      <c r="AY508" s="96"/>
      <c r="AZ508" s="96"/>
      <c r="BA508" s="96"/>
      <c r="BB508" s="96"/>
      <c r="BC508" s="96"/>
    </row>
    <row r="509" spans="1:55" ht="15.75" customHeight="1" x14ac:dyDescent="0.2">
      <c r="A509" s="89"/>
      <c r="B509" s="89"/>
      <c r="C509" s="89"/>
      <c r="D509" s="89"/>
      <c r="E509" s="89"/>
      <c r="AU509" s="96"/>
      <c r="AV509" s="96"/>
      <c r="AW509" s="96"/>
      <c r="AX509" s="96"/>
      <c r="AY509" s="96"/>
      <c r="AZ509" s="96"/>
      <c r="BA509" s="96"/>
      <c r="BB509" s="96"/>
      <c r="BC509" s="96"/>
    </row>
    <row r="510" spans="1:55" ht="15.75" customHeight="1" x14ac:dyDescent="0.2">
      <c r="A510" s="89"/>
      <c r="B510" s="89"/>
      <c r="C510" s="89"/>
      <c r="D510" s="89"/>
      <c r="E510" s="89"/>
      <c r="AU510" s="96"/>
      <c r="AV510" s="96"/>
      <c r="AW510" s="96"/>
      <c r="AX510" s="96"/>
      <c r="AY510" s="96"/>
      <c r="AZ510" s="96"/>
      <c r="BA510" s="96"/>
      <c r="BB510" s="96"/>
      <c r="BC510" s="96"/>
    </row>
    <row r="511" spans="1:55" ht="15.75" customHeight="1" x14ac:dyDescent="0.2">
      <c r="A511" s="89"/>
      <c r="B511" s="89"/>
      <c r="C511" s="89"/>
      <c r="D511" s="89"/>
      <c r="E511" s="89"/>
      <c r="AU511" s="96"/>
      <c r="AV511" s="96"/>
      <c r="AW511" s="96"/>
      <c r="AX511" s="96"/>
      <c r="AY511" s="96"/>
      <c r="AZ511" s="96"/>
      <c r="BA511" s="96"/>
      <c r="BB511" s="96"/>
      <c r="BC511" s="96"/>
    </row>
    <row r="512" spans="1:55" ht="15.75" customHeight="1" x14ac:dyDescent="0.2">
      <c r="A512" s="89"/>
      <c r="B512" s="89"/>
      <c r="C512" s="89"/>
      <c r="D512" s="89"/>
      <c r="E512" s="89"/>
      <c r="AU512" s="96"/>
      <c r="AV512" s="96"/>
      <c r="AW512" s="96"/>
      <c r="AX512" s="96"/>
      <c r="AY512" s="96"/>
      <c r="AZ512" s="96"/>
      <c r="BA512" s="96"/>
      <c r="BB512" s="96"/>
      <c r="BC512" s="96"/>
    </row>
    <row r="513" spans="1:55" ht="15.75" customHeight="1" x14ac:dyDescent="0.2">
      <c r="A513" s="89"/>
      <c r="B513" s="89"/>
      <c r="C513" s="89"/>
      <c r="D513" s="89"/>
      <c r="E513" s="89"/>
      <c r="AU513" s="96"/>
      <c r="AV513" s="96"/>
      <c r="AW513" s="96"/>
      <c r="AX513" s="96"/>
      <c r="AY513" s="96"/>
      <c r="AZ513" s="96"/>
      <c r="BA513" s="96"/>
      <c r="BB513" s="96"/>
      <c r="BC513" s="96"/>
    </row>
    <row r="514" spans="1:55" ht="15.75" customHeight="1" x14ac:dyDescent="0.2">
      <c r="A514" s="89"/>
      <c r="B514" s="89"/>
      <c r="C514" s="89"/>
      <c r="D514" s="89"/>
      <c r="E514" s="89"/>
      <c r="AU514" s="96"/>
      <c r="AV514" s="96"/>
      <c r="AW514" s="96"/>
      <c r="AX514" s="96"/>
      <c r="AY514" s="96"/>
      <c r="AZ514" s="96"/>
      <c r="BA514" s="96"/>
      <c r="BB514" s="96"/>
      <c r="BC514" s="96"/>
    </row>
    <row r="515" spans="1:55" ht="15.75" customHeight="1" x14ac:dyDescent="0.2">
      <c r="A515" s="89"/>
      <c r="B515" s="89"/>
      <c r="C515" s="89"/>
      <c r="D515" s="89"/>
      <c r="E515" s="89"/>
      <c r="AU515" s="96"/>
      <c r="AV515" s="96"/>
      <c r="AW515" s="96"/>
      <c r="AX515" s="96"/>
      <c r="AY515" s="96"/>
      <c r="AZ515" s="96"/>
      <c r="BA515" s="96"/>
      <c r="BB515" s="96"/>
      <c r="BC515" s="96"/>
    </row>
    <row r="516" spans="1:55" ht="15.75" customHeight="1" x14ac:dyDescent="0.2">
      <c r="A516" s="89"/>
      <c r="B516" s="89"/>
      <c r="C516" s="89"/>
      <c r="D516" s="89"/>
      <c r="E516" s="89"/>
      <c r="AU516" s="96"/>
      <c r="AV516" s="96"/>
      <c r="AW516" s="96"/>
      <c r="AX516" s="96"/>
      <c r="AY516" s="96"/>
      <c r="AZ516" s="96"/>
      <c r="BA516" s="96"/>
      <c r="BB516" s="96"/>
      <c r="BC516" s="96"/>
    </row>
    <row r="517" spans="1:55" ht="15.75" customHeight="1" x14ac:dyDescent="0.2">
      <c r="A517" s="89"/>
      <c r="B517" s="89"/>
      <c r="C517" s="89"/>
      <c r="D517" s="89"/>
      <c r="E517" s="89"/>
      <c r="AU517" s="96"/>
      <c r="AV517" s="96"/>
      <c r="AW517" s="96"/>
      <c r="AX517" s="96"/>
      <c r="AY517" s="96"/>
      <c r="AZ517" s="96"/>
      <c r="BA517" s="96"/>
      <c r="BB517" s="96"/>
      <c r="BC517" s="96"/>
    </row>
    <row r="518" spans="1:55" ht="15.75" customHeight="1" x14ac:dyDescent="0.2">
      <c r="A518" s="89"/>
      <c r="B518" s="89"/>
      <c r="C518" s="89"/>
      <c r="D518" s="89"/>
      <c r="E518" s="89"/>
      <c r="AU518" s="96"/>
      <c r="AV518" s="96"/>
      <c r="AW518" s="96"/>
      <c r="AX518" s="96"/>
      <c r="AY518" s="96"/>
      <c r="AZ518" s="96"/>
      <c r="BA518" s="96"/>
      <c r="BB518" s="96"/>
      <c r="BC518" s="96"/>
    </row>
    <row r="519" spans="1:55" ht="15.75" customHeight="1" x14ac:dyDescent="0.2">
      <c r="A519" s="89"/>
      <c r="B519" s="89"/>
      <c r="C519" s="89"/>
      <c r="D519" s="89"/>
      <c r="E519" s="89"/>
      <c r="AU519" s="96"/>
      <c r="AV519" s="96"/>
      <c r="AW519" s="96"/>
      <c r="AX519" s="96"/>
      <c r="AY519" s="96"/>
      <c r="AZ519" s="96"/>
      <c r="BA519" s="96"/>
      <c r="BB519" s="96"/>
      <c r="BC519" s="96"/>
    </row>
    <row r="520" spans="1:55" ht="15.75" customHeight="1" x14ac:dyDescent="0.2">
      <c r="A520" s="89"/>
      <c r="B520" s="89"/>
      <c r="C520" s="89"/>
      <c r="D520" s="89"/>
      <c r="E520" s="89"/>
      <c r="AU520" s="96"/>
      <c r="AV520" s="96"/>
      <c r="AW520" s="96"/>
      <c r="AX520" s="96"/>
      <c r="AY520" s="96"/>
      <c r="AZ520" s="96"/>
      <c r="BA520" s="96"/>
      <c r="BB520" s="96"/>
      <c r="BC520" s="96"/>
    </row>
    <row r="521" spans="1:55" ht="15.75" customHeight="1" x14ac:dyDescent="0.2">
      <c r="A521" s="89"/>
      <c r="B521" s="89"/>
      <c r="C521" s="89"/>
      <c r="D521" s="89"/>
      <c r="E521" s="89"/>
      <c r="AU521" s="96"/>
      <c r="AV521" s="96"/>
      <c r="AW521" s="96"/>
      <c r="AX521" s="96"/>
      <c r="AY521" s="96"/>
      <c r="AZ521" s="96"/>
      <c r="BA521" s="96"/>
      <c r="BB521" s="96"/>
      <c r="BC521" s="96"/>
    </row>
    <row r="522" spans="1:55" ht="15.75" customHeight="1" x14ac:dyDescent="0.2">
      <c r="A522" s="89"/>
      <c r="B522" s="89"/>
      <c r="C522" s="89"/>
      <c r="D522" s="89"/>
      <c r="E522" s="89"/>
      <c r="AU522" s="96"/>
      <c r="AV522" s="96"/>
      <c r="AW522" s="96"/>
      <c r="AX522" s="96"/>
      <c r="AY522" s="96"/>
      <c r="AZ522" s="96"/>
      <c r="BA522" s="96"/>
      <c r="BB522" s="96"/>
      <c r="BC522" s="96"/>
    </row>
    <row r="523" spans="1:55" ht="15.75" customHeight="1" x14ac:dyDescent="0.2">
      <c r="A523" s="89"/>
      <c r="B523" s="89"/>
      <c r="C523" s="89"/>
      <c r="D523" s="89"/>
      <c r="E523" s="89"/>
      <c r="AU523" s="96"/>
      <c r="AV523" s="96"/>
      <c r="AW523" s="96"/>
      <c r="AX523" s="96"/>
      <c r="AY523" s="96"/>
      <c r="AZ523" s="96"/>
      <c r="BA523" s="96"/>
      <c r="BB523" s="96"/>
      <c r="BC523" s="96"/>
    </row>
    <row r="524" spans="1:55" ht="15.75" customHeight="1" x14ac:dyDescent="0.2">
      <c r="A524" s="89"/>
      <c r="B524" s="89"/>
      <c r="C524" s="89"/>
      <c r="D524" s="89"/>
      <c r="E524" s="89"/>
      <c r="AU524" s="96"/>
      <c r="AV524" s="96"/>
      <c r="AW524" s="96"/>
      <c r="AX524" s="96"/>
      <c r="AY524" s="96"/>
      <c r="AZ524" s="96"/>
      <c r="BA524" s="96"/>
      <c r="BB524" s="96"/>
      <c r="BC524" s="96"/>
    </row>
    <row r="525" spans="1:55" ht="15.75" customHeight="1" x14ac:dyDescent="0.2">
      <c r="A525" s="89"/>
      <c r="B525" s="89"/>
      <c r="C525" s="89"/>
      <c r="D525" s="89"/>
      <c r="E525" s="89"/>
      <c r="AU525" s="96"/>
      <c r="AV525" s="96"/>
      <c r="AW525" s="96"/>
      <c r="AX525" s="96"/>
      <c r="AY525" s="96"/>
      <c r="AZ525" s="96"/>
      <c r="BA525" s="96"/>
      <c r="BB525" s="96"/>
      <c r="BC525" s="96"/>
    </row>
    <row r="526" spans="1:55" ht="15.75" customHeight="1" x14ac:dyDescent="0.2">
      <c r="A526" s="89"/>
      <c r="B526" s="89"/>
      <c r="C526" s="89"/>
      <c r="D526" s="89"/>
      <c r="E526" s="89"/>
      <c r="AU526" s="96"/>
      <c r="AV526" s="96"/>
      <c r="AW526" s="96"/>
      <c r="AX526" s="96"/>
      <c r="AY526" s="96"/>
      <c r="AZ526" s="96"/>
      <c r="BA526" s="96"/>
      <c r="BB526" s="96"/>
      <c r="BC526" s="96"/>
    </row>
    <row r="527" spans="1:55" ht="15.75" customHeight="1" x14ac:dyDescent="0.2">
      <c r="A527" s="89"/>
      <c r="B527" s="89"/>
      <c r="C527" s="89"/>
      <c r="D527" s="89"/>
      <c r="E527" s="89"/>
      <c r="AU527" s="96"/>
      <c r="AV527" s="96"/>
      <c r="AW527" s="96"/>
      <c r="AX527" s="96"/>
      <c r="AY527" s="96"/>
      <c r="AZ527" s="96"/>
      <c r="BA527" s="96"/>
      <c r="BB527" s="96"/>
      <c r="BC527" s="96"/>
    </row>
    <row r="528" spans="1:55" ht="15.75" customHeight="1" x14ac:dyDescent="0.2">
      <c r="A528" s="89"/>
      <c r="B528" s="89"/>
      <c r="C528" s="89"/>
      <c r="D528" s="89"/>
      <c r="E528" s="89"/>
      <c r="AU528" s="96"/>
      <c r="AV528" s="96"/>
      <c r="AW528" s="96"/>
      <c r="AX528" s="96"/>
      <c r="AY528" s="96"/>
      <c r="AZ528" s="96"/>
      <c r="BA528" s="96"/>
      <c r="BB528" s="96"/>
      <c r="BC528" s="96"/>
    </row>
    <row r="529" spans="1:55" ht="15.75" customHeight="1" x14ac:dyDescent="0.2">
      <c r="A529" s="89"/>
      <c r="B529" s="89"/>
      <c r="C529" s="89"/>
      <c r="D529" s="89"/>
      <c r="E529" s="89"/>
      <c r="AU529" s="96"/>
      <c r="AV529" s="96"/>
      <c r="AW529" s="96"/>
      <c r="AX529" s="96"/>
      <c r="AY529" s="96"/>
      <c r="AZ529" s="96"/>
      <c r="BA529" s="96"/>
      <c r="BB529" s="96"/>
      <c r="BC529" s="96"/>
    </row>
    <row r="530" spans="1:55" ht="15.75" customHeight="1" x14ac:dyDescent="0.2">
      <c r="A530" s="89"/>
      <c r="B530" s="89"/>
      <c r="C530" s="89"/>
      <c r="D530" s="89"/>
      <c r="E530" s="89"/>
      <c r="AU530" s="96"/>
      <c r="AV530" s="96"/>
      <c r="AW530" s="96"/>
      <c r="AX530" s="96"/>
      <c r="AY530" s="96"/>
      <c r="AZ530" s="96"/>
      <c r="BA530" s="96"/>
      <c r="BB530" s="96"/>
      <c r="BC530" s="96"/>
    </row>
    <row r="531" spans="1:55" ht="15.75" customHeight="1" x14ac:dyDescent="0.2">
      <c r="A531" s="89"/>
      <c r="B531" s="89"/>
      <c r="C531" s="89"/>
      <c r="D531" s="89"/>
      <c r="E531" s="89"/>
      <c r="AU531" s="96"/>
      <c r="AV531" s="96"/>
      <c r="AW531" s="96"/>
      <c r="AX531" s="96"/>
      <c r="AY531" s="96"/>
      <c r="AZ531" s="96"/>
      <c r="BA531" s="96"/>
      <c r="BB531" s="96"/>
      <c r="BC531" s="96"/>
    </row>
    <row r="532" spans="1:55" ht="15.75" customHeight="1" x14ac:dyDescent="0.2">
      <c r="A532" s="89"/>
      <c r="B532" s="89"/>
      <c r="C532" s="89"/>
      <c r="D532" s="89"/>
      <c r="E532" s="89"/>
      <c r="AU532" s="96"/>
      <c r="AV532" s="96"/>
      <c r="AW532" s="96"/>
      <c r="AX532" s="96"/>
      <c r="AY532" s="96"/>
      <c r="AZ532" s="96"/>
      <c r="BA532" s="96"/>
      <c r="BB532" s="96"/>
      <c r="BC532" s="96"/>
    </row>
    <row r="533" spans="1:55" ht="15.75" customHeight="1" x14ac:dyDescent="0.2">
      <c r="A533" s="89"/>
      <c r="B533" s="89"/>
      <c r="C533" s="89"/>
      <c r="D533" s="89"/>
      <c r="E533" s="89"/>
      <c r="AU533" s="96"/>
      <c r="AV533" s="96"/>
      <c r="AW533" s="96"/>
      <c r="AX533" s="96"/>
      <c r="AY533" s="96"/>
      <c r="AZ533" s="96"/>
      <c r="BA533" s="96"/>
      <c r="BB533" s="96"/>
      <c r="BC533" s="96"/>
    </row>
    <row r="534" spans="1:55" ht="15.75" customHeight="1" x14ac:dyDescent="0.2">
      <c r="A534" s="89"/>
      <c r="B534" s="89"/>
      <c r="C534" s="89"/>
      <c r="D534" s="89"/>
      <c r="E534" s="89"/>
      <c r="AU534" s="96"/>
      <c r="AV534" s="96"/>
      <c r="AW534" s="96"/>
      <c r="AX534" s="96"/>
      <c r="AY534" s="96"/>
      <c r="AZ534" s="96"/>
      <c r="BA534" s="96"/>
      <c r="BB534" s="96"/>
      <c r="BC534" s="96"/>
    </row>
    <row r="535" spans="1:55" ht="15.75" customHeight="1" x14ac:dyDescent="0.2">
      <c r="A535" s="89"/>
      <c r="B535" s="89"/>
      <c r="C535" s="89"/>
      <c r="D535" s="89"/>
      <c r="E535" s="89"/>
      <c r="AU535" s="96"/>
      <c r="AV535" s="96"/>
      <c r="AW535" s="96"/>
      <c r="AX535" s="96"/>
      <c r="AY535" s="96"/>
      <c r="AZ535" s="96"/>
      <c r="BA535" s="96"/>
      <c r="BB535" s="96"/>
      <c r="BC535" s="96"/>
    </row>
    <row r="536" spans="1:55" ht="15.75" customHeight="1" x14ac:dyDescent="0.2">
      <c r="A536" s="89"/>
      <c r="B536" s="89"/>
      <c r="C536" s="89"/>
      <c r="D536" s="89"/>
      <c r="E536" s="89"/>
      <c r="AU536" s="96"/>
      <c r="AV536" s="96"/>
      <c r="AW536" s="96"/>
      <c r="AX536" s="96"/>
      <c r="AY536" s="96"/>
      <c r="AZ536" s="96"/>
      <c r="BA536" s="96"/>
      <c r="BB536" s="96"/>
      <c r="BC536" s="96"/>
    </row>
    <row r="537" spans="1:55" ht="15.75" customHeight="1" x14ac:dyDescent="0.2">
      <c r="A537" s="89"/>
      <c r="B537" s="89"/>
      <c r="C537" s="89"/>
      <c r="D537" s="89"/>
      <c r="E537" s="89"/>
      <c r="AU537" s="96"/>
      <c r="AV537" s="96"/>
      <c r="AW537" s="96"/>
      <c r="AX537" s="96"/>
      <c r="AY537" s="96"/>
      <c r="AZ537" s="96"/>
      <c r="BA537" s="96"/>
      <c r="BB537" s="96"/>
      <c r="BC537" s="96"/>
    </row>
    <row r="538" spans="1:55" ht="15.75" customHeight="1" x14ac:dyDescent="0.2">
      <c r="A538" s="89"/>
      <c r="B538" s="89"/>
      <c r="C538" s="89"/>
      <c r="D538" s="89"/>
      <c r="E538" s="89"/>
      <c r="AU538" s="96"/>
      <c r="AV538" s="96"/>
      <c r="AW538" s="96"/>
      <c r="AX538" s="96"/>
      <c r="AY538" s="96"/>
      <c r="AZ538" s="96"/>
      <c r="BA538" s="96"/>
      <c r="BB538" s="96"/>
      <c r="BC538" s="96"/>
    </row>
    <row r="539" spans="1:55" ht="15.75" customHeight="1" x14ac:dyDescent="0.2">
      <c r="A539" s="89"/>
      <c r="B539" s="89"/>
      <c r="C539" s="89"/>
      <c r="D539" s="89"/>
      <c r="E539" s="89"/>
      <c r="AU539" s="96"/>
      <c r="AV539" s="96"/>
      <c r="AW539" s="96"/>
      <c r="AX539" s="96"/>
      <c r="AY539" s="96"/>
      <c r="AZ539" s="96"/>
      <c r="BA539" s="96"/>
      <c r="BB539" s="96"/>
      <c r="BC539" s="96"/>
    </row>
    <row r="540" spans="1:55" ht="15.75" customHeight="1" x14ac:dyDescent="0.2">
      <c r="A540" s="89"/>
      <c r="B540" s="89"/>
      <c r="C540" s="89"/>
      <c r="D540" s="89"/>
      <c r="E540" s="89"/>
      <c r="AU540" s="96"/>
      <c r="AV540" s="96"/>
      <c r="AW540" s="96"/>
      <c r="AX540" s="96"/>
      <c r="AY540" s="96"/>
      <c r="AZ540" s="96"/>
      <c r="BA540" s="96"/>
      <c r="BB540" s="96"/>
      <c r="BC540" s="96"/>
    </row>
    <row r="541" spans="1:55" ht="15.75" customHeight="1" x14ac:dyDescent="0.2">
      <c r="A541" s="89"/>
      <c r="B541" s="89"/>
      <c r="C541" s="89"/>
      <c r="D541" s="89"/>
      <c r="E541" s="89"/>
      <c r="AU541" s="96"/>
      <c r="AV541" s="96"/>
      <c r="AW541" s="96"/>
      <c r="AX541" s="96"/>
      <c r="AY541" s="96"/>
      <c r="AZ541" s="96"/>
      <c r="BA541" s="96"/>
      <c r="BB541" s="96"/>
      <c r="BC541" s="96"/>
    </row>
    <row r="542" spans="1:55" ht="15.75" customHeight="1" x14ac:dyDescent="0.2">
      <c r="A542" s="89"/>
      <c r="B542" s="89"/>
      <c r="C542" s="89"/>
      <c r="D542" s="89"/>
      <c r="E542" s="89"/>
      <c r="AU542" s="96"/>
      <c r="AV542" s="96"/>
      <c r="AW542" s="96"/>
      <c r="AX542" s="96"/>
      <c r="AY542" s="96"/>
      <c r="AZ542" s="96"/>
      <c r="BA542" s="96"/>
      <c r="BB542" s="96"/>
      <c r="BC542" s="96"/>
    </row>
    <row r="543" spans="1:55" ht="15.75" customHeight="1" x14ac:dyDescent="0.2">
      <c r="A543" s="89"/>
      <c r="B543" s="89"/>
      <c r="C543" s="89"/>
      <c r="D543" s="89"/>
      <c r="E543" s="89"/>
      <c r="AU543" s="96"/>
      <c r="AV543" s="96"/>
      <c r="AW543" s="96"/>
      <c r="AX543" s="96"/>
      <c r="AY543" s="96"/>
      <c r="AZ543" s="96"/>
      <c r="BA543" s="96"/>
      <c r="BB543" s="96"/>
      <c r="BC543" s="96"/>
    </row>
    <row r="544" spans="1:55" ht="15.75" customHeight="1" x14ac:dyDescent="0.2">
      <c r="A544" s="89"/>
      <c r="B544" s="89"/>
      <c r="C544" s="89"/>
      <c r="D544" s="89"/>
      <c r="E544" s="89"/>
      <c r="AU544" s="96"/>
      <c r="AV544" s="96"/>
      <c r="AW544" s="96"/>
      <c r="AX544" s="96"/>
      <c r="AY544" s="96"/>
      <c r="AZ544" s="96"/>
      <c r="BA544" s="96"/>
      <c r="BB544" s="96"/>
      <c r="BC544" s="96"/>
    </row>
    <row r="545" spans="1:55" ht="15.75" customHeight="1" x14ac:dyDescent="0.2">
      <c r="A545" s="89"/>
      <c r="B545" s="89"/>
      <c r="C545" s="89"/>
      <c r="D545" s="89"/>
      <c r="E545" s="89"/>
      <c r="AU545" s="96"/>
      <c r="AV545" s="96"/>
      <c r="AW545" s="96"/>
      <c r="AX545" s="96"/>
      <c r="AY545" s="96"/>
      <c r="AZ545" s="96"/>
      <c r="BA545" s="96"/>
      <c r="BB545" s="96"/>
      <c r="BC545" s="96"/>
    </row>
    <row r="546" spans="1:55" ht="15.75" customHeight="1" x14ac:dyDescent="0.2">
      <c r="A546" s="89"/>
      <c r="B546" s="89"/>
      <c r="C546" s="89"/>
      <c r="D546" s="89"/>
      <c r="E546" s="89"/>
      <c r="AU546" s="96"/>
      <c r="AV546" s="96"/>
      <c r="AW546" s="96"/>
      <c r="AX546" s="96"/>
      <c r="AY546" s="96"/>
      <c r="AZ546" s="96"/>
      <c r="BA546" s="96"/>
      <c r="BB546" s="96"/>
      <c r="BC546" s="96"/>
    </row>
    <row r="547" spans="1:55" ht="15.75" customHeight="1" x14ac:dyDescent="0.2">
      <c r="A547" s="89"/>
      <c r="B547" s="89"/>
      <c r="C547" s="89"/>
      <c r="D547" s="89"/>
      <c r="E547" s="89"/>
      <c r="AU547" s="96"/>
      <c r="AV547" s="96"/>
      <c r="AW547" s="96"/>
      <c r="AX547" s="96"/>
      <c r="AY547" s="96"/>
      <c r="AZ547" s="96"/>
      <c r="BA547" s="96"/>
      <c r="BB547" s="96"/>
      <c r="BC547" s="96"/>
    </row>
    <row r="548" spans="1:55" ht="15.75" customHeight="1" x14ac:dyDescent="0.2">
      <c r="A548" s="89"/>
      <c r="B548" s="89"/>
      <c r="C548" s="89"/>
      <c r="D548" s="89"/>
      <c r="E548" s="89"/>
      <c r="AU548" s="96"/>
      <c r="AV548" s="96"/>
      <c r="AW548" s="96"/>
      <c r="AX548" s="96"/>
      <c r="AY548" s="96"/>
      <c r="AZ548" s="96"/>
      <c r="BA548" s="96"/>
      <c r="BB548" s="96"/>
      <c r="BC548" s="96"/>
    </row>
    <row r="549" spans="1:55" ht="15.75" customHeight="1" x14ac:dyDescent="0.2">
      <c r="A549" s="89"/>
      <c r="B549" s="89"/>
      <c r="C549" s="89"/>
      <c r="D549" s="89"/>
      <c r="E549" s="89"/>
      <c r="AU549" s="96"/>
      <c r="AV549" s="96"/>
      <c r="AW549" s="96"/>
      <c r="AX549" s="96"/>
      <c r="AY549" s="96"/>
      <c r="AZ549" s="96"/>
      <c r="BA549" s="96"/>
      <c r="BB549" s="96"/>
      <c r="BC549" s="96"/>
    </row>
    <row r="550" spans="1:55" ht="15.75" customHeight="1" x14ac:dyDescent="0.2">
      <c r="A550" s="89"/>
      <c r="B550" s="89"/>
      <c r="C550" s="89"/>
      <c r="D550" s="89"/>
      <c r="E550" s="89"/>
      <c r="AU550" s="96"/>
      <c r="AV550" s="96"/>
      <c r="AW550" s="96"/>
      <c r="AX550" s="96"/>
      <c r="AY550" s="96"/>
      <c r="AZ550" s="96"/>
      <c r="BA550" s="96"/>
      <c r="BB550" s="96"/>
      <c r="BC550" s="96"/>
    </row>
    <row r="551" spans="1:55" ht="15.75" customHeight="1" x14ac:dyDescent="0.2">
      <c r="A551" s="89"/>
      <c r="B551" s="89"/>
      <c r="C551" s="89"/>
      <c r="D551" s="89"/>
      <c r="E551" s="89"/>
      <c r="AU551" s="96"/>
      <c r="AV551" s="96"/>
      <c r="AW551" s="96"/>
      <c r="AX551" s="96"/>
      <c r="AY551" s="96"/>
      <c r="AZ551" s="96"/>
      <c r="BA551" s="96"/>
      <c r="BB551" s="96"/>
      <c r="BC551" s="96"/>
    </row>
    <row r="552" spans="1:55" ht="15.75" customHeight="1" x14ac:dyDescent="0.2">
      <c r="A552" s="89"/>
      <c r="B552" s="89"/>
      <c r="C552" s="89"/>
      <c r="D552" s="89"/>
      <c r="E552" s="89"/>
      <c r="AU552" s="96"/>
      <c r="AV552" s="96"/>
      <c r="AW552" s="96"/>
      <c r="AX552" s="96"/>
      <c r="AY552" s="96"/>
      <c r="AZ552" s="96"/>
      <c r="BA552" s="96"/>
      <c r="BB552" s="96"/>
      <c r="BC552" s="96"/>
    </row>
    <row r="553" spans="1:55" ht="15.75" customHeight="1" x14ac:dyDescent="0.2">
      <c r="A553" s="89"/>
      <c r="B553" s="89"/>
      <c r="C553" s="89"/>
      <c r="D553" s="89"/>
      <c r="E553" s="89"/>
      <c r="AU553" s="96"/>
      <c r="AV553" s="96"/>
      <c r="AW553" s="96"/>
      <c r="AX553" s="96"/>
      <c r="AY553" s="96"/>
      <c r="AZ553" s="96"/>
      <c r="BA553" s="96"/>
      <c r="BB553" s="96"/>
      <c r="BC553" s="96"/>
    </row>
    <row r="554" spans="1:55" ht="15.75" customHeight="1" x14ac:dyDescent="0.2">
      <c r="A554" s="89"/>
      <c r="B554" s="89"/>
      <c r="C554" s="89"/>
      <c r="D554" s="89"/>
      <c r="E554" s="89"/>
      <c r="AU554" s="96"/>
      <c r="AV554" s="96"/>
      <c r="AW554" s="96"/>
      <c r="AX554" s="96"/>
      <c r="AY554" s="96"/>
      <c r="AZ554" s="96"/>
      <c r="BA554" s="96"/>
      <c r="BB554" s="96"/>
      <c r="BC554" s="96"/>
    </row>
    <row r="555" spans="1:55" ht="15.75" customHeight="1" x14ac:dyDescent="0.2">
      <c r="A555" s="89"/>
      <c r="B555" s="89"/>
      <c r="C555" s="89"/>
      <c r="D555" s="89"/>
      <c r="E555" s="89"/>
      <c r="AU555" s="96"/>
      <c r="AV555" s="96"/>
      <c r="AW555" s="96"/>
      <c r="AX555" s="96"/>
      <c r="AY555" s="96"/>
      <c r="AZ555" s="96"/>
      <c r="BA555" s="96"/>
      <c r="BB555" s="96"/>
      <c r="BC555" s="96"/>
    </row>
    <row r="556" spans="1:55" ht="15.75" customHeight="1" x14ac:dyDescent="0.2">
      <c r="A556" s="89"/>
      <c r="B556" s="89"/>
      <c r="C556" s="89"/>
      <c r="D556" s="89"/>
      <c r="E556" s="89"/>
      <c r="AU556" s="96"/>
      <c r="AV556" s="96"/>
      <c r="AW556" s="96"/>
      <c r="AX556" s="96"/>
      <c r="AY556" s="96"/>
      <c r="AZ556" s="96"/>
      <c r="BA556" s="96"/>
      <c r="BB556" s="96"/>
      <c r="BC556" s="96"/>
    </row>
    <row r="557" spans="1:55" ht="15.75" customHeight="1" x14ac:dyDescent="0.2">
      <c r="A557" s="89"/>
      <c r="B557" s="89"/>
      <c r="C557" s="89"/>
      <c r="D557" s="89"/>
      <c r="E557" s="89"/>
      <c r="AU557" s="96"/>
      <c r="AV557" s="96"/>
      <c r="AW557" s="96"/>
      <c r="AX557" s="96"/>
      <c r="AY557" s="96"/>
      <c r="AZ557" s="96"/>
      <c r="BA557" s="96"/>
      <c r="BB557" s="96"/>
      <c r="BC557" s="96"/>
    </row>
    <row r="558" spans="1:55" ht="15.75" customHeight="1" x14ac:dyDescent="0.2">
      <c r="A558" s="89"/>
      <c r="B558" s="89"/>
      <c r="C558" s="89"/>
      <c r="D558" s="89"/>
      <c r="E558" s="89"/>
      <c r="AU558" s="96"/>
      <c r="AV558" s="96"/>
      <c r="AW558" s="96"/>
      <c r="AX558" s="96"/>
      <c r="AY558" s="96"/>
      <c r="AZ558" s="96"/>
      <c r="BA558" s="96"/>
      <c r="BB558" s="96"/>
      <c r="BC558" s="96"/>
    </row>
    <row r="559" spans="1:55" ht="15.75" customHeight="1" x14ac:dyDescent="0.2">
      <c r="A559" s="89"/>
      <c r="B559" s="89"/>
      <c r="C559" s="89"/>
      <c r="D559" s="89"/>
      <c r="E559" s="89"/>
      <c r="AU559" s="96"/>
      <c r="AV559" s="96"/>
      <c r="AW559" s="96"/>
      <c r="AX559" s="96"/>
      <c r="AY559" s="96"/>
      <c r="AZ559" s="96"/>
      <c r="BA559" s="96"/>
      <c r="BB559" s="96"/>
      <c r="BC559" s="96"/>
    </row>
    <row r="560" spans="1:55" ht="15.75" customHeight="1" x14ac:dyDescent="0.2">
      <c r="A560" s="89"/>
      <c r="B560" s="89"/>
      <c r="C560" s="89"/>
      <c r="D560" s="89"/>
      <c r="E560" s="89"/>
      <c r="AU560" s="96"/>
      <c r="AV560" s="96"/>
      <c r="AW560" s="96"/>
      <c r="AX560" s="96"/>
      <c r="AY560" s="96"/>
      <c r="AZ560" s="96"/>
      <c r="BA560" s="96"/>
      <c r="BB560" s="96"/>
      <c r="BC560" s="96"/>
    </row>
    <row r="561" spans="1:55" ht="15.75" customHeight="1" x14ac:dyDescent="0.2">
      <c r="A561" s="89"/>
      <c r="B561" s="89"/>
      <c r="C561" s="89"/>
      <c r="D561" s="89"/>
      <c r="E561" s="89"/>
      <c r="AU561" s="96"/>
      <c r="AV561" s="96"/>
      <c r="AW561" s="96"/>
      <c r="AX561" s="96"/>
      <c r="AY561" s="96"/>
      <c r="AZ561" s="96"/>
      <c r="BA561" s="96"/>
      <c r="BB561" s="96"/>
      <c r="BC561" s="96"/>
    </row>
    <row r="562" spans="1:55" ht="15.75" customHeight="1" x14ac:dyDescent="0.2">
      <c r="A562" s="89"/>
      <c r="B562" s="89"/>
      <c r="C562" s="89"/>
      <c r="D562" s="89"/>
      <c r="E562" s="89"/>
      <c r="AU562" s="96"/>
      <c r="AV562" s="96"/>
      <c r="AW562" s="96"/>
      <c r="AX562" s="96"/>
      <c r="AY562" s="96"/>
      <c r="AZ562" s="96"/>
      <c r="BA562" s="96"/>
      <c r="BB562" s="96"/>
      <c r="BC562" s="96"/>
    </row>
    <row r="563" spans="1:55" ht="15.75" customHeight="1" x14ac:dyDescent="0.2">
      <c r="A563" s="89"/>
      <c r="B563" s="89"/>
      <c r="C563" s="89"/>
      <c r="D563" s="89"/>
      <c r="E563" s="89"/>
      <c r="AU563" s="96"/>
      <c r="AV563" s="96"/>
      <c r="AW563" s="96"/>
      <c r="AX563" s="96"/>
      <c r="AY563" s="96"/>
      <c r="AZ563" s="96"/>
      <c r="BA563" s="96"/>
      <c r="BB563" s="96"/>
      <c r="BC563" s="96"/>
    </row>
    <row r="564" spans="1:55" ht="15.75" customHeight="1" x14ac:dyDescent="0.2">
      <c r="A564" s="89"/>
      <c r="B564" s="89"/>
      <c r="C564" s="89"/>
      <c r="D564" s="89"/>
      <c r="E564" s="89"/>
      <c r="AU564" s="96"/>
      <c r="AV564" s="96"/>
      <c r="AW564" s="96"/>
      <c r="AX564" s="96"/>
      <c r="AY564" s="96"/>
      <c r="AZ564" s="96"/>
      <c r="BA564" s="96"/>
      <c r="BB564" s="96"/>
      <c r="BC564" s="96"/>
    </row>
    <row r="565" spans="1:55" ht="15.75" customHeight="1" x14ac:dyDescent="0.2">
      <c r="A565" s="89"/>
      <c r="B565" s="89"/>
      <c r="C565" s="89"/>
      <c r="D565" s="89"/>
      <c r="E565" s="89"/>
      <c r="AU565" s="96"/>
      <c r="AV565" s="96"/>
      <c r="AW565" s="96"/>
      <c r="AX565" s="96"/>
      <c r="AY565" s="96"/>
      <c r="AZ565" s="96"/>
      <c r="BA565" s="96"/>
      <c r="BB565" s="96"/>
      <c r="BC565" s="96"/>
    </row>
    <row r="566" spans="1:55" ht="15.75" customHeight="1" x14ac:dyDescent="0.2">
      <c r="A566" s="89"/>
      <c r="B566" s="89"/>
      <c r="C566" s="89"/>
      <c r="D566" s="89"/>
      <c r="E566" s="89"/>
      <c r="AU566" s="96"/>
      <c r="AV566" s="96"/>
      <c r="AW566" s="96"/>
      <c r="AX566" s="96"/>
      <c r="AY566" s="96"/>
      <c r="AZ566" s="96"/>
      <c r="BA566" s="96"/>
      <c r="BB566" s="96"/>
      <c r="BC566" s="96"/>
    </row>
    <row r="567" spans="1:55" ht="15.75" customHeight="1" x14ac:dyDescent="0.2">
      <c r="A567" s="89"/>
      <c r="B567" s="89"/>
      <c r="C567" s="89"/>
      <c r="D567" s="89"/>
      <c r="E567" s="89"/>
      <c r="AU567" s="96"/>
      <c r="AV567" s="96"/>
      <c r="AW567" s="96"/>
      <c r="AX567" s="96"/>
      <c r="AY567" s="96"/>
      <c r="AZ567" s="96"/>
      <c r="BA567" s="96"/>
      <c r="BB567" s="96"/>
      <c r="BC567" s="96"/>
    </row>
    <row r="568" spans="1:55" ht="15.75" customHeight="1" x14ac:dyDescent="0.2">
      <c r="A568" s="89"/>
      <c r="B568" s="89"/>
      <c r="C568" s="89"/>
      <c r="D568" s="89"/>
      <c r="E568" s="89"/>
      <c r="AU568" s="96"/>
      <c r="AV568" s="96"/>
      <c r="AW568" s="96"/>
      <c r="AX568" s="96"/>
      <c r="AY568" s="96"/>
      <c r="AZ568" s="96"/>
      <c r="BA568" s="96"/>
      <c r="BB568" s="96"/>
      <c r="BC568" s="96"/>
    </row>
    <row r="569" spans="1:55" ht="15.75" customHeight="1" x14ac:dyDescent="0.2">
      <c r="A569" s="89"/>
      <c r="B569" s="89"/>
      <c r="C569" s="89"/>
      <c r="D569" s="89"/>
      <c r="E569" s="89"/>
      <c r="AU569" s="96"/>
      <c r="AV569" s="96"/>
      <c r="AW569" s="96"/>
      <c r="AX569" s="96"/>
      <c r="AY569" s="96"/>
      <c r="AZ569" s="96"/>
      <c r="BA569" s="96"/>
      <c r="BB569" s="96"/>
      <c r="BC569" s="96"/>
    </row>
    <row r="570" spans="1:55" ht="15.75" customHeight="1" x14ac:dyDescent="0.2">
      <c r="A570" s="89"/>
      <c r="B570" s="89"/>
      <c r="C570" s="89"/>
      <c r="D570" s="89"/>
      <c r="E570" s="89"/>
      <c r="AU570" s="96"/>
      <c r="AV570" s="96"/>
      <c r="AW570" s="96"/>
      <c r="AX570" s="96"/>
      <c r="AY570" s="96"/>
      <c r="AZ570" s="96"/>
      <c r="BA570" s="96"/>
      <c r="BB570" s="96"/>
      <c r="BC570" s="96"/>
    </row>
    <row r="571" spans="1:55" ht="15.75" customHeight="1" x14ac:dyDescent="0.2">
      <c r="A571" s="89"/>
      <c r="B571" s="89"/>
      <c r="C571" s="89"/>
      <c r="D571" s="89"/>
      <c r="E571" s="89"/>
      <c r="AU571" s="96"/>
      <c r="AV571" s="96"/>
      <c r="AW571" s="96"/>
      <c r="AX571" s="96"/>
      <c r="AY571" s="96"/>
      <c r="AZ571" s="96"/>
      <c r="BA571" s="96"/>
      <c r="BB571" s="96"/>
      <c r="BC571" s="96"/>
    </row>
    <row r="572" spans="1:55" ht="15.75" customHeight="1" x14ac:dyDescent="0.2">
      <c r="A572" s="89"/>
      <c r="B572" s="89"/>
      <c r="C572" s="89"/>
      <c r="D572" s="89"/>
      <c r="E572" s="89"/>
      <c r="AU572" s="96"/>
      <c r="AV572" s="96"/>
      <c r="AW572" s="96"/>
      <c r="AX572" s="96"/>
      <c r="AY572" s="96"/>
      <c r="AZ572" s="96"/>
      <c r="BA572" s="96"/>
      <c r="BB572" s="96"/>
      <c r="BC572" s="96"/>
    </row>
    <row r="573" spans="1:55" ht="15.75" customHeight="1" x14ac:dyDescent="0.2">
      <c r="A573" s="89"/>
      <c r="B573" s="89"/>
      <c r="C573" s="89"/>
      <c r="D573" s="89"/>
      <c r="E573" s="89"/>
      <c r="AU573" s="96"/>
      <c r="AV573" s="96"/>
      <c r="AW573" s="96"/>
      <c r="AX573" s="96"/>
      <c r="AY573" s="96"/>
      <c r="AZ573" s="96"/>
      <c r="BA573" s="96"/>
      <c r="BB573" s="96"/>
      <c r="BC573" s="96"/>
    </row>
    <row r="574" spans="1:55" ht="15.75" customHeight="1" x14ac:dyDescent="0.2">
      <c r="A574" s="89"/>
      <c r="B574" s="89"/>
      <c r="C574" s="89"/>
      <c r="D574" s="89"/>
      <c r="E574" s="89"/>
      <c r="AU574" s="96"/>
      <c r="AV574" s="96"/>
      <c r="AW574" s="96"/>
      <c r="AX574" s="96"/>
      <c r="AY574" s="96"/>
      <c r="AZ574" s="96"/>
      <c r="BA574" s="96"/>
      <c r="BB574" s="96"/>
      <c r="BC574" s="96"/>
    </row>
    <row r="575" spans="1:55" ht="15.75" customHeight="1" x14ac:dyDescent="0.2">
      <c r="A575" s="89"/>
      <c r="B575" s="89"/>
      <c r="C575" s="89"/>
      <c r="D575" s="89"/>
      <c r="E575" s="89"/>
      <c r="AU575" s="96"/>
      <c r="AV575" s="96"/>
      <c r="AW575" s="96"/>
      <c r="AX575" s="96"/>
      <c r="AY575" s="96"/>
      <c r="AZ575" s="96"/>
      <c r="BA575" s="96"/>
      <c r="BB575" s="96"/>
      <c r="BC575" s="96"/>
    </row>
    <row r="576" spans="1:55" ht="15.75" customHeight="1" x14ac:dyDescent="0.2">
      <c r="A576" s="89"/>
      <c r="B576" s="89"/>
      <c r="C576" s="89"/>
      <c r="D576" s="89"/>
      <c r="E576" s="89"/>
      <c r="AU576" s="96"/>
      <c r="AV576" s="96"/>
      <c r="AW576" s="96"/>
      <c r="AX576" s="96"/>
      <c r="AY576" s="96"/>
      <c r="AZ576" s="96"/>
      <c r="BA576" s="96"/>
      <c r="BB576" s="96"/>
      <c r="BC576" s="96"/>
    </row>
    <row r="577" spans="1:55" ht="15.75" customHeight="1" x14ac:dyDescent="0.2">
      <c r="A577" s="89"/>
      <c r="B577" s="89"/>
      <c r="C577" s="89"/>
      <c r="D577" s="89"/>
      <c r="E577" s="89"/>
      <c r="AU577" s="96"/>
      <c r="AV577" s="96"/>
      <c r="AW577" s="96"/>
      <c r="AX577" s="96"/>
      <c r="AY577" s="96"/>
      <c r="AZ577" s="96"/>
      <c r="BA577" s="96"/>
      <c r="BB577" s="96"/>
      <c r="BC577" s="96"/>
    </row>
    <row r="578" spans="1:55" ht="15.75" customHeight="1" x14ac:dyDescent="0.2">
      <c r="A578" s="89"/>
      <c r="B578" s="89"/>
      <c r="C578" s="89"/>
      <c r="D578" s="89"/>
      <c r="E578" s="89"/>
      <c r="AU578" s="96"/>
      <c r="AV578" s="96"/>
      <c r="AW578" s="96"/>
      <c r="AX578" s="96"/>
      <c r="AY578" s="96"/>
      <c r="AZ578" s="96"/>
      <c r="BA578" s="96"/>
      <c r="BB578" s="96"/>
      <c r="BC578" s="96"/>
    </row>
    <row r="579" spans="1:55" ht="15.75" customHeight="1" x14ac:dyDescent="0.2">
      <c r="A579" s="89"/>
      <c r="B579" s="89"/>
      <c r="C579" s="89"/>
      <c r="D579" s="89"/>
      <c r="E579" s="89"/>
      <c r="AU579" s="96"/>
      <c r="AV579" s="96"/>
      <c r="AW579" s="96"/>
      <c r="AX579" s="96"/>
      <c r="AY579" s="96"/>
      <c r="AZ579" s="96"/>
      <c r="BA579" s="96"/>
      <c r="BB579" s="96"/>
      <c r="BC579" s="96"/>
    </row>
    <row r="580" spans="1:55" ht="15.75" customHeight="1" x14ac:dyDescent="0.2">
      <c r="A580" s="89"/>
      <c r="B580" s="89"/>
      <c r="C580" s="89"/>
      <c r="D580" s="89"/>
      <c r="E580" s="89"/>
      <c r="AU580" s="96"/>
      <c r="AV580" s="96"/>
      <c r="AW580" s="96"/>
      <c r="AX580" s="96"/>
      <c r="AY580" s="96"/>
      <c r="AZ580" s="96"/>
      <c r="BA580" s="96"/>
      <c r="BB580" s="96"/>
      <c r="BC580" s="96"/>
    </row>
    <row r="581" spans="1:55" ht="15.75" customHeight="1" x14ac:dyDescent="0.2">
      <c r="A581" s="89"/>
      <c r="B581" s="89"/>
      <c r="C581" s="89"/>
      <c r="D581" s="89"/>
      <c r="E581" s="89"/>
      <c r="AU581" s="96"/>
      <c r="AV581" s="96"/>
      <c r="AW581" s="96"/>
      <c r="AX581" s="96"/>
      <c r="AY581" s="96"/>
      <c r="AZ581" s="96"/>
      <c r="BA581" s="96"/>
      <c r="BB581" s="96"/>
      <c r="BC581" s="96"/>
    </row>
    <row r="582" spans="1:55" ht="15.75" customHeight="1" x14ac:dyDescent="0.2">
      <c r="A582" s="89"/>
      <c r="B582" s="89"/>
      <c r="C582" s="89"/>
      <c r="D582" s="89"/>
      <c r="E582" s="89"/>
      <c r="AU582" s="96"/>
      <c r="AV582" s="96"/>
      <c r="AW582" s="96"/>
      <c r="AX582" s="96"/>
      <c r="AY582" s="96"/>
      <c r="AZ582" s="96"/>
      <c r="BA582" s="96"/>
      <c r="BB582" s="96"/>
      <c r="BC582" s="96"/>
    </row>
    <row r="583" spans="1:55" ht="15.75" customHeight="1" x14ac:dyDescent="0.2">
      <c r="A583" s="89"/>
      <c r="B583" s="89"/>
      <c r="C583" s="89"/>
      <c r="D583" s="89"/>
      <c r="E583" s="89"/>
      <c r="AU583" s="96"/>
      <c r="AV583" s="96"/>
      <c r="AW583" s="96"/>
      <c r="AX583" s="96"/>
      <c r="AY583" s="96"/>
      <c r="AZ583" s="96"/>
      <c r="BA583" s="96"/>
      <c r="BB583" s="96"/>
      <c r="BC583" s="96"/>
    </row>
    <row r="584" spans="1:55" ht="15.75" customHeight="1" x14ac:dyDescent="0.2">
      <c r="A584" s="89"/>
      <c r="B584" s="89"/>
      <c r="C584" s="89"/>
      <c r="D584" s="89"/>
      <c r="E584" s="89"/>
      <c r="AU584" s="96"/>
      <c r="AV584" s="96"/>
      <c r="AW584" s="96"/>
      <c r="AX584" s="96"/>
      <c r="AY584" s="96"/>
      <c r="AZ584" s="96"/>
      <c r="BA584" s="96"/>
      <c r="BB584" s="96"/>
      <c r="BC584" s="96"/>
    </row>
    <row r="585" spans="1:55" ht="15.75" customHeight="1" x14ac:dyDescent="0.2">
      <c r="A585" s="89"/>
      <c r="B585" s="89"/>
      <c r="C585" s="89"/>
      <c r="D585" s="89"/>
      <c r="E585" s="89"/>
      <c r="AU585" s="96"/>
      <c r="AV585" s="96"/>
      <c r="AW585" s="96"/>
      <c r="AX585" s="96"/>
      <c r="AY585" s="96"/>
      <c r="AZ585" s="96"/>
      <c r="BA585" s="96"/>
      <c r="BB585" s="96"/>
      <c r="BC585" s="96"/>
    </row>
    <row r="586" spans="1:55" ht="15.75" customHeight="1" x14ac:dyDescent="0.2">
      <c r="A586" s="89"/>
      <c r="B586" s="89"/>
      <c r="C586" s="89"/>
      <c r="D586" s="89"/>
      <c r="E586" s="89"/>
      <c r="AU586" s="96"/>
      <c r="AV586" s="96"/>
      <c r="AW586" s="96"/>
      <c r="AX586" s="96"/>
      <c r="AY586" s="96"/>
      <c r="AZ586" s="96"/>
      <c r="BA586" s="96"/>
      <c r="BB586" s="96"/>
      <c r="BC586" s="96"/>
    </row>
    <row r="587" spans="1:55" ht="15.75" customHeight="1" x14ac:dyDescent="0.2">
      <c r="A587" s="89"/>
      <c r="B587" s="89"/>
      <c r="C587" s="89"/>
      <c r="D587" s="89"/>
      <c r="E587" s="89"/>
      <c r="AU587" s="96"/>
      <c r="AV587" s="96"/>
      <c r="AW587" s="96"/>
      <c r="AX587" s="96"/>
      <c r="AY587" s="96"/>
      <c r="AZ587" s="96"/>
      <c r="BA587" s="96"/>
      <c r="BB587" s="96"/>
      <c r="BC587" s="96"/>
    </row>
    <row r="588" spans="1:55" ht="15.75" customHeight="1" x14ac:dyDescent="0.2">
      <c r="A588" s="89"/>
      <c r="B588" s="89"/>
      <c r="C588" s="89"/>
      <c r="D588" s="89"/>
      <c r="E588" s="89"/>
      <c r="AU588" s="96"/>
      <c r="AV588" s="96"/>
      <c r="AW588" s="96"/>
      <c r="AX588" s="96"/>
      <c r="AY588" s="96"/>
      <c r="AZ588" s="96"/>
      <c r="BA588" s="96"/>
      <c r="BB588" s="96"/>
      <c r="BC588" s="96"/>
    </row>
    <row r="589" spans="1:55" ht="15.75" customHeight="1" x14ac:dyDescent="0.2">
      <c r="A589" s="89"/>
      <c r="B589" s="89"/>
      <c r="C589" s="89"/>
      <c r="D589" s="89"/>
      <c r="E589" s="89"/>
      <c r="AU589" s="96"/>
      <c r="AV589" s="96"/>
      <c r="AW589" s="96"/>
      <c r="AX589" s="96"/>
      <c r="AY589" s="96"/>
      <c r="AZ589" s="96"/>
      <c r="BA589" s="96"/>
      <c r="BB589" s="96"/>
      <c r="BC589" s="96"/>
    </row>
    <row r="590" spans="1:55" ht="15.75" customHeight="1" x14ac:dyDescent="0.2">
      <c r="A590" s="89"/>
      <c r="B590" s="89"/>
      <c r="C590" s="89"/>
      <c r="D590" s="89"/>
      <c r="E590" s="89"/>
      <c r="AU590" s="96"/>
      <c r="AV590" s="96"/>
      <c r="AW590" s="96"/>
      <c r="AX590" s="96"/>
      <c r="AY590" s="96"/>
      <c r="AZ590" s="96"/>
      <c r="BA590" s="96"/>
      <c r="BB590" s="96"/>
      <c r="BC590" s="96"/>
    </row>
    <row r="591" spans="1:55" ht="15.75" customHeight="1" x14ac:dyDescent="0.2">
      <c r="A591" s="89"/>
      <c r="B591" s="89"/>
      <c r="C591" s="89"/>
      <c r="D591" s="89"/>
      <c r="E591" s="89"/>
      <c r="AU591" s="96"/>
      <c r="AV591" s="96"/>
      <c r="AW591" s="96"/>
      <c r="AX591" s="96"/>
      <c r="AY591" s="96"/>
      <c r="AZ591" s="96"/>
      <c r="BA591" s="96"/>
      <c r="BB591" s="96"/>
      <c r="BC591" s="96"/>
    </row>
    <row r="592" spans="1:55" ht="15.75" customHeight="1" x14ac:dyDescent="0.2">
      <c r="A592" s="89"/>
      <c r="B592" s="89"/>
      <c r="C592" s="89"/>
      <c r="D592" s="89"/>
      <c r="E592" s="89"/>
      <c r="AU592" s="96"/>
      <c r="AV592" s="96"/>
      <c r="AW592" s="96"/>
      <c r="AX592" s="96"/>
      <c r="AY592" s="96"/>
      <c r="AZ592" s="96"/>
      <c r="BA592" s="96"/>
      <c r="BB592" s="96"/>
      <c r="BC592" s="96"/>
    </row>
    <row r="593" spans="1:55" ht="15.75" customHeight="1" x14ac:dyDescent="0.2">
      <c r="A593" s="89"/>
      <c r="B593" s="89"/>
      <c r="C593" s="89"/>
      <c r="D593" s="89"/>
      <c r="E593" s="89"/>
      <c r="AU593" s="96"/>
      <c r="AV593" s="96"/>
      <c r="AW593" s="96"/>
      <c r="AX593" s="96"/>
      <c r="AY593" s="96"/>
      <c r="AZ593" s="96"/>
      <c r="BA593" s="96"/>
      <c r="BB593" s="96"/>
      <c r="BC593" s="96"/>
    </row>
    <row r="594" spans="1:55" ht="15.75" customHeight="1" x14ac:dyDescent="0.2">
      <c r="A594" s="89"/>
      <c r="B594" s="89"/>
      <c r="C594" s="89"/>
      <c r="D594" s="89"/>
      <c r="E594" s="89"/>
      <c r="AU594" s="96"/>
      <c r="AV594" s="96"/>
      <c r="AW594" s="96"/>
      <c r="AX594" s="96"/>
      <c r="AY594" s="96"/>
      <c r="AZ594" s="96"/>
      <c r="BA594" s="96"/>
      <c r="BB594" s="96"/>
      <c r="BC594" s="96"/>
    </row>
    <row r="595" spans="1:55" ht="15.75" customHeight="1" x14ac:dyDescent="0.2">
      <c r="A595" s="89"/>
      <c r="B595" s="89"/>
      <c r="C595" s="89"/>
      <c r="D595" s="89"/>
      <c r="E595" s="89"/>
      <c r="AU595" s="96"/>
      <c r="AV595" s="96"/>
      <c r="AW595" s="96"/>
      <c r="AX595" s="96"/>
      <c r="AY595" s="96"/>
      <c r="AZ595" s="96"/>
      <c r="BA595" s="96"/>
      <c r="BB595" s="96"/>
      <c r="BC595" s="96"/>
    </row>
    <row r="596" spans="1:55" ht="15.75" customHeight="1" x14ac:dyDescent="0.2">
      <c r="A596" s="89"/>
      <c r="B596" s="89"/>
      <c r="C596" s="89"/>
      <c r="D596" s="89"/>
      <c r="E596" s="89"/>
      <c r="AU596" s="96"/>
      <c r="AV596" s="96"/>
      <c r="AW596" s="96"/>
      <c r="AX596" s="96"/>
      <c r="AY596" s="96"/>
      <c r="AZ596" s="96"/>
      <c r="BA596" s="96"/>
      <c r="BB596" s="96"/>
      <c r="BC596" s="96"/>
    </row>
    <row r="597" spans="1:55" ht="15.75" customHeight="1" x14ac:dyDescent="0.2">
      <c r="A597" s="89"/>
      <c r="B597" s="89"/>
      <c r="C597" s="89"/>
      <c r="D597" s="89"/>
      <c r="E597" s="89"/>
      <c r="AU597" s="96"/>
      <c r="AV597" s="96"/>
      <c r="AW597" s="96"/>
      <c r="AX597" s="96"/>
      <c r="AY597" s="96"/>
      <c r="AZ597" s="96"/>
      <c r="BA597" s="96"/>
      <c r="BB597" s="96"/>
      <c r="BC597" s="96"/>
    </row>
    <row r="598" spans="1:55" ht="15.75" customHeight="1" x14ac:dyDescent="0.2">
      <c r="A598" s="89"/>
      <c r="B598" s="89"/>
      <c r="C598" s="89"/>
      <c r="D598" s="89"/>
      <c r="E598" s="89"/>
      <c r="AU598" s="96"/>
      <c r="AV598" s="96"/>
      <c r="AW598" s="96"/>
      <c r="AX598" s="96"/>
      <c r="AY598" s="96"/>
      <c r="AZ598" s="96"/>
      <c r="BA598" s="96"/>
      <c r="BB598" s="96"/>
      <c r="BC598" s="96"/>
    </row>
    <row r="599" spans="1:55" ht="15.75" customHeight="1" x14ac:dyDescent="0.2">
      <c r="A599" s="89"/>
      <c r="B599" s="89"/>
      <c r="C599" s="89"/>
      <c r="D599" s="89"/>
      <c r="E599" s="89"/>
      <c r="AU599" s="96"/>
      <c r="AV599" s="96"/>
      <c r="AW599" s="96"/>
      <c r="AX599" s="96"/>
      <c r="AY599" s="96"/>
      <c r="AZ599" s="96"/>
      <c r="BA599" s="96"/>
      <c r="BB599" s="96"/>
      <c r="BC599" s="96"/>
    </row>
    <row r="600" spans="1:55" ht="15.75" customHeight="1" x14ac:dyDescent="0.2">
      <c r="A600" s="89"/>
      <c r="B600" s="89"/>
      <c r="C600" s="89"/>
      <c r="D600" s="89"/>
      <c r="E600" s="89"/>
      <c r="AU600" s="96"/>
      <c r="AV600" s="96"/>
      <c r="AW600" s="96"/>
      <c r="AX600" s="96"/>
      <c r="AY600" s="96"/>
      <c r="AZ600" s="96"/>
      <c r="BA600" s="96"/>
      <c r="BB600" s="96"/>
      <c r="BC600" s="96"/>
    </row>
    <row r="601" spans="1:55" ht="15.75" customHeight="1" x14ac:dyDescent="0.2">
      <c r="A601" s="89"/>
      <c r="B601" s="89"/>
      <c r="C601" s="89"/>
      <c r="D601" s="89"/>
      <c r="E601" s="89"/>
      <c r="AU601" s="96"/>
      <c r="AV601" s="96"/>
      <c r="AW601" s="96"/>
      <c r="AX601" s="96"/>
      <c r="AY601" s="96"/>
      <c r="AZ601" s="96"/>
      <c r="BA601" s="96"/>
      <c r="BB601" s="96"/>
      <c r="BC601" s="96"/>
    </row>
    <row r="602" spans="1:55" ht="15.75" customHeight="1" x14ac:dyDescent="0.2">
      <c r="A602" s="89"/>
      <c r="B602" s="89"/>
      <c r="C602" s="89"/>
      <c r="D602" s="89"/>
      <c r="E602" s="89"/>
      <c r="AU602" s="96"/>
      <c r="AV602" s="96"/>
      <c r="AW602" s="96"/>
      <c r="AX602" s="96"/>
      <c r="AY602" s="96"/>
      <c r="AZ602" s="96"/>
      <c r="BA602" s="96"/>
      <c r="BB602" s="96"/>
      <c r="BC602" s="96"/>
    </row>
    <row r="603" spans="1:55" ht="15.75" customHeight="1" x14ac:dyDescent="0.2">
      <c r="A603" s="89"/>
      <c r="B603" s="89"/>
      <c r="C603" s="89"/>
      <c r="D603" s="89"/>
      <c r="E603" s="89"/>
      <c r="AU603" s="96"/>
      <c r="AV603" s="96"/>
      <c r="AW603" s="96"/>
      <c r="AX603" s="96"/>
      <c r="AY603" s="96"/>
      <c r="AZ603" s="96"/>
      <c r="BA603" s="96"/>
      <c r="BB603" s="96"/>
      <c r="BC603" s="96"/>
    </row>
    <row r="604" spans="1:55" ht="15.75" customHeight="1" x14ac:dyDescent="0.2">
      <c r="A604" s="89"/>
      <c r="B604" s="89"/>
      <c r="C604" s="89"/>
      <c r="D604" s="89"/>
      <c r="E604" s="89"/>
      <c r="AU604" s="96"/>
      <c r="AV604" s="96"/>
      <c r="AW604" s="96"/>
      <c r="AX604" s="96"/>
      <c r="AY604" s="96"/>
      <c r="AZ604" s="96"/>
      <c r="BA604" s="96"/>
      <c r="BB604" s="96"/>
      <c r="BC604" s="96"/>
    </row>
    <row r="605" spans="1:55" ht="15.75" customHeight="1" x14ac:dyDescent="0.2">
      <c r="A605" s="89"/>
      <c r="B605" s="89"/>
      <c r="C605" s="89"/>
      <c r="D605" s="89"/>
      <c r="E605" s="89"/>
      <c r="AU605" s="96"/>
      <c r="AV605" s="96"/>
      <c r="AW605" s="96"/>
      <c r="AX605" s="96"/>
      <c r="AY605" s="96"/>
      <c r="AZ605" s="96"/>
      <c r="BA605" s="96"/>
      <c r="BB605" s="96"/>
      <c r="BC605" s="96"/>
    </row>
    <row r="606" spans="1:55" ht="15.75" customHeight="1" x14ac:dyDescent="0.2">
      <c r="A606" s="89"/>
      <c r="B606" s="89"/>
      <c r="C606" s="89"/>
      <c r="D606" s="89"/>
      <c r="E606" s="89"/>
      <c r="AU606" s="96"/>
      <c r="AV606" s="96"/>
      <c r="AW606" s="96"/>
      <c r="AX606" s="96"/>
      <c r="AY606" s="96"/>
      <c r="AZ606" s="96"/>
      <c r="BA606" s="96"/>
      <c r="BB606" s="96"/>
      <c r="BC606" s="96"/>
    </row>
    <row r="607" spans="1:55" ht="15.75" customHeight="1" x14ac:dyDescent="0.2">
      <c r="A607" s="89"/>
      <c r="B607" s="89"/>
      <c r="C607" s="89"/>
      <c r="D607" s="89"/>
      <c r="E607" s="89"/>
      <c r="AU607" s="96"/>
      <c r="AV607" s="96"/>
      <c r="AW607" s="96"/>
      <c r="AX607" s="96"/>
      <c r="AY607" s="96"/>
      <c r="AZ607" s="96"/>
      <c r="BA607" s="96"/>
      <c r="BB607" s="96"/>
      <c r="BC607" s="96"/>
    </row>
    <row r="608" spans="1:55" ht="15.75" customHeight="1" x14ac:dyDescent="0.2">
      <c r="A608" s="89"/>
      <c r="B608" s="89"/>
      <c r="C608" s="89"/>
      <c r="D608" s="89"/>
      <c r="E608" s="89"/>
      <c r="AU608" s="96"/>
      <c r="AV608" s="96"/>
      <c r="AW608" s="96"/>
      <c r="AX608" s="96"/>
      <c r="AY608" s="96"/>
      <c r="AZ608" s="96"/>
      <c r="BA608" s="96"/>
      <c r="BB608" s="96"/>
      <c r="BC608" s="96"/>
    </row>
    <row r="609" spans="1:55" ht="15.75" customHeight="1" x14ac:dyDescent="0.2">
      <c r="A609" s="89"/>
      <c r="B609" s="89"/>
      <c r="C609" s="89"/>
      <c r="D609" s="89"/>
      <c r="E609" s="89"/>
      <c r="AU609" s="96"/>
      <c r="AV609" s="96"/>
      <c r="AW609" s="96"/>
      <c r="AX609" s="96"/>
      <c r="AY609" s="96"/>
      <c r="AZ609" s="96"/>
      <c r="BA609" s="96"/>
      <c r="BB609" s="96"/>
      <c r="BC609" s="96"/>
    </row>
    <row r="610" spans="1:55" ht="15.75" customHeight="1" x14ac:dyDescent="0.2">
      <c r="A610" s="89"/>
      <c r="B610" s="89"/>
      <c r="C610" s="89"/>
      <c r="D610" s="89"/>
      <c r="E610" s="89"/>
      <c r="AU610" s="96"/>
      <c r="AV610" s="96"/>
      <c r="AW610" s="96"/>
      <c r="AX610" s="96"/>
      <c r="AY610" s="96"/>
      <c r="AZ610" s="96"/>
      <c r="BA610" s="96"/>
      <c r="BB610" s="96"/>
      <c r="BC610" s="96"/>
    </row>
    <row r="611" spans="1:55" ht="15.75" customHeight="1" x14ac:dyDescent="0.2">
      <c r="A611" s="89"/>
      <c r="B611" s="89"/>
      <c r="C611" s="89"/>
      <c r="D611" s="89"/>
      <c r="E611" s="89"/>
      <c r="AU611" s="96"/>
      <c r="AV611" s="96"/>
      <c r="AW611" s="96"/>
      <c r="AX611" s="96"/>
      <c r="AY611" s="96"/>
      <c r="AZ611" s="96"/>
      <c r="BA611" s="96"/>
      <c r="BB611" s="96"/>
      <c r="BC611" s="96"/>
    </row>
    <row r="612" spans="1:55" ht="15.75" customHeight="1" x14ac:dyDescent="0.2">
      <c r="A612" s="89"/>
      <c r="B612" s="89"/>
      <c r="C612" s="89"/>
      <c r="D612" s="89"/>
      <c r="E612" s="89"/>
      <c r="AU612" s="96"/>
      <c r="AV612" s="96"/>
      <c r="AW612" s="96"/>
      <c r="AX612" s="96"/>
      <c r="AY612" s="96"/>
      <c r="AZ612" s="96"/>
      <c r="BA612" s="96"/>
      <c r="BB612" s="96"/>
      <c r="BC612" s="96"/>
    </row>
    <row r="613" spans="1:55" ht="15.75" customHeight="1" x14ac:dyDescent="0.2">
      <c r="A613" s="89"/>
      <c r="B613" s="89"/>
      <c r="C613" s="89"/>
      <c r="D613" s="89"/>
      <c r="E613" s="89"/>
      <c r="AU613" s="96"/>
      <c r="AV613" s="96"/>
      <c r="AW613" s="96"/>
      <c r="AX613" s="96"/>
      <c r="AY613" s="96"/>
      <c r="AZ613" s="96"/>
      <c r="BA613" s="96"/>
      <c r="BB613" s="96"/>
      <c r="BC613" s="96"/>
    </row>
    <row r="614" spans="1:55" ht="15.75" customHeight="1" x14ac:dyDescent="0.2">
      <c r="A614" s="89"/>
      <c r="B614" s="89"/>
      <c r="C614" s="89"/>
      <c r="D614" s="89"/>
      <c r="E614" s="89"/>
      <c r="AU614" s="96"/>
      <c r="AV614" s="96"/>
      <c r="AW614" s="96"/>
      <c r="AX614" s="96"/>
      <c r="AY614" s="96"/>
      <c r="AZ614" s="96"/>
      <c r="BA614" s="96"/>
      <c r="BB614" s="96"/>
      <c r="BC614" s="96"/>
    </row>
    <row r="615" spans="1:55" ht="15.75" customHeight="1" x14ac:dyDescent="0.2">
      <c r="A615" s="89"/>
      <c r="B615" s="89"/>
      <c r="C615" s="89"/>
      <c r="D615" s="89"/>
      <c r="E615" s="89"/>
      <c r="AU615" s="96"/>
      <c r="AV615" s="96"/>
      <c r="AW615" s="96"/>
      <c r="AX615" s="96"/>
      <c r="AY615" s="96"/>
      <c r="AZ615" s="96"/>
      <c r="BA615" s="96"/>
      <c r="BB615" s="96"/>
      <c r="BC615" s="96"/>
    </row>
    <row r="616" spans="1:55" ht="15.75" customHeight="1" x14ac:dyDescent="0.2">
      <c r="A616" s="89"/>
      <c r="B616" s="89"/>
      <c r="C616" s="89"/>
      <c r="D616" s="89"/>
      <c r="E616" s="89"/>
      <c r="AU616" s="96"/>
      <c r="AV616" s="96"/>
      <c r="AW616" s="96"/>
      <c r="AX616" s="96"/>
      <c r="AY616" s="96"/>
      <c r="AZ616" s="96"/>
      <c r="BA616" s="96"/>
      <c r="BB616" s="96"/>
      <c r="BC616" s="96"/>
    </row>
    <row r="617" spans="1:55" ht="15.75" customHeight="1" x14ac:dyDescent="0.2">
      <c r="A617" s="89"/>
      <c r="B617" s="89"/>
      <c r="C617" s="89"/>
      <c r="D617" s="89"/>
      <c r="E617" s="89"/>
      <c r="AU617" s="96"/>
      <c r="AV617" s="96"/>
      <c r="AW617" s="96"/>
      <c r="AX617" s="96"/>
      <c r="AY617" s="96"/>
      <c r="AZ617" s="96"/>
      <c r="BA617" s="96"/>
      <c r="BB617" s="96"/>
      <c r="BC617" s="96"/>
    </row>
    <row r="618" spans="1:55" ht="15.75" customHeight="1" x14ac:dyDescent="0.2">
      <c r="A618" s="89"/>
      <c r="B618" s="89"/>
      <c r="C618" s="89"/>
      <c r="D618" s="89"/>
      <c r="E618" s="89"/>
      <c r="AU618" s="96"/>
      <c r="AV618" s="96"/>
      <c r="AW618" s="96"/>
      <c r="AX618" s="96"/>
      <c r="AY618" s="96"/>
      <c r="AZ618" s="96"/>
      <c r="BA618" s="96"/>
      <c r="BB618" s="96"/>
      <c r="BC618" s="96"/>
    </row>
    <row r="619" spans="1:55" ht="15.75" customHeight="1" x14ac:dyDescent="0.2">
      <c r="A619" s="89"/>
      <c r="B619" s="89"/>
      <c r="C619" s="89"/>
      <c r="D619" s="89"/>
      <c r="E619" s="89"/>
      <c r="AU619" s="96"/>
      <c r="AV619" s="96"/>
      <c r="AW619" s="96"/>
      <c r="AX619" s="96"/>
      <c r="AY619" s="96"/>
      <c r="AZ619" s="96"/>
      <c r="BA619" s="96"/>
      <c r="BB619" s="96"/>
      <c r="BC619" s="96"/>
    </row>
    <row r="620" spans="1:55" ht="15.75" customHeight="1" x14ac:dyDescent="0.2">
      <c r="A620" s="89"/>
      <c r="B620" s="89"/>
      <c r="C620" s="89"/>
      <c r="D620" s="89"/>
      <c r="E620" s="89"/>
      <c r="AU620" s="96"/>
      <c r="AV620" s="96"/>
      <c r="AW620" s="96"/>
      <c r="AX620" s="96"/>
      <c r="AY620" s="96"/>
      <c r="AZ620" s="96"/>
      <c r="BA620" s="96"/>
      <c r="BB620" s="96"/>
      <c r="BC620" s="96"/>
    </row>
    <row r="621" spans="1:55" ht="15.75" customHeight="1" x14ac:dyDescent="0.2">
      <c r="A621" s="89"/>
      <c r="B621" s="89"/>
      <c r="C621" s="89"/>
      <c r="D621" s="89"/>
      <c r="E621" s="89"/>
      <c r="AU621" s="96"/>
      <c r="AV621" s="96"/>
      <c r="AW621" s="96"/>
      <c r="AX621" s="96"/>
      <c r="AY621" s="96"/>
      <c r="AZ621" s="96"/>
      <c r="BA621" s="96"/>
      <c r="BB621" s="96"/>
      <c r="BC621" s="96"/>
    </row>
    <row r="622" spans="1:55" ht="15.75" customHeight="1" x14ac:dyDescent="0.2">
      <c r="A622" s="89"/>
      <c r="B622" s="89"/>
      <c r="C622" s="89"/>
      <c r="D622" s="89"/>
      <c r="E622" s="89"/>
      <c r="AU622" s="96"/>
      <c r="AV622" s="96"/>
      <c r="AW622" s="96"/>
      <c r="AX622" s="96"/>
      <c r="AY622" s="96"/>
      <c r="AZ622" s="96"/>
      <c r="BA622" s="96"/>
      <c r="BB622" s="96"/>
      <c r="BC622" s="96"/>
    </row>
    <row r="623" spans="1:55" ht="15.75" customHeight="1" x14ac:dyDescent="0.2">
      <c r="A623" s="89"/>
      <c r="B623" s="89"/>
      <c r="C623" s="89"/>
      <c r="D623" s="89"/>
      <c r="E623" s="89"/>
      <c r="AU623" s="96"/>
      <c r="AV623" s="96"/>
      <c r="AW623" s="96"/>
      <c r="AX623" s="96"/>
      <c r="AY623" s="96"/>
      <c r="AZ623" s="96"/>
      <c r="BA623" s="96"/>
      <c r="BB623" s="96"/>
      <c r="BC623" s="96"/>
    </row>
    <row r="624" spans="1:55" ht="15.75" customHeight="1" x14ac:dyDescent="0.2">
      <c r="A624" s="89"/>
      <c r="B624" s="89"/>
      <c r="C624" s="89"/>
      <c r="D624" s="89"/>
      <c r="E624" s="89"/>
      <c r="AU624" s="96"/>
      <c r="AV624" s="96"/>
      <c r="AW624" s="96"/>
      <c r="AX624" s="96"/>
      <c r="AY624" s="96"/>
      <c r="AZ624" s="96"/>
      <c r="BA624" s="96"/>
      <c r="BB624" s="96"/>
      <c r="BC624" s="96"/>
    </row>
    <row r="625" spans="1:55" ht="15.75" customHeight="1" x14ac:dyDescent="0.2">
      <c r="A625" s="89"/>
      <c r="B625" s="89"/>
      <c r="C625" s="89"/>
      <c r="D625" s="89"/>
      <c r="E625" s="89"/>
      <c r="AU625" s="96"/>
      <c r="AV625" s="96"/>
      <c r="AW625" s="96"/>
      <c r="AX625" s="96"/>
      <c r="AY625" s="96"/>
      <c r="AZ625" s="96"/>
      <c r="BA625" s="96"/>
      <c r="BB625" s="96"/>
      <c r="BC625" s="96"/>
    </row>
    <row r="626" spans="1:55" ht="15.75" customHeight="1" x14ac:dyDescent="0.2">
      <c r="A626" s="89"/>
      <c r="B626" s="89"/>
      <c r="C626" s="89"/>
      <c r="D626" s="89"/>
      <c r="E626" s="89"/>
      <c r="AU626" s="96"/>
      <c r="AV626" s="96"/>
      <c r="AW626" s="96"/>
      <c r="AX626" s="96"/>
      <c r="AY626" s="96"/>
      <c r="AZ626" s="96"/>
      <c r="BA626" s="96"/>
      <c r="BB626" s="96"/>
      <c r="BC626" s="96"/>
    </row>
    <row r="627" spans="1:55" ht="15.75" customHeight="1" x14ac:dyDescent="0.2">
      <c r="A627" s="89"/>
      <c r="B627" s="89"/>
      <c r="C627" s="89"/>
      <c r="D627" s="89"/>
      <c r="E627" s="89"/>
      <c r="AU627" s="96"/>
      <c r="AV627" s="96"/>
      <c r="AW627" s="96"/>
      <c r="AX627" s="96"/>
      <c r="AY627" s="96"/>
      <c r="AZ627" s="96"/>
      <c r="BA627" s="96"/>
      <c r="BB627" s="96"/>
      <c r="BC627" s="96"/>
    </row>
    <row r="628" spans="1:55" ht="15.75" customHeight="1" x14ac:dyDescent="0.2">
      <c r="A628" s="89"/>
      <c r="B628" s="89"/>
      <c r="C628" s="89"/>
      <c r="D628" s="89"/>
      <c r="E628" s="89"/>
      <c r="AU628" s="96"/>
      <c r="AV628" s="96"/>
      <c r="AW628" s="96"/>
      <c r="AX628" s="96"/>
      <c r="AY628" s="96"/>
      <c r="AZ628" s="96"/>
      <c r="BA628" s="96"/>
      <c r="BB628" s="96"/>
      <c r="BC628" s="96"/>
    </row>
    <row r="629" spans="1:55" ht="15.75" customHeight="1" x14ac:dyDescent="0.2">
      <c r="A629" s="89"/>
      <c r="B629" s="89"/>
      <c r="C629" s="89"/>
      <c r="D629" s="89"/>
      <c r="E629" s="89"/>
      <c r="AU629" s="96"/>
      <c r="AV629" s="96"/>
      <c r="AW629" s="96"/>
      <c r="AX629" s="96"/>
      <c r="AY629" s="96"/>
      <c r="AZ629" s="96"/>
      <c r="BA629" s="96"/>
      <c r="BB629" s="96"/>
      <c r="BC629" s="96"/>
    </row>
    <row r="630" spans="1:55" ht="15.75" customHeight="1" x14ac:dyDescent="0.2">
      <c r="A630" s="89"/>
      <c r="B630" s="89"/>
      <c r="C630" s="89"/>
      <c r="D630" s="89"/>
      <c r="E630" s="89"/>
      <c r="AU630" s="96"/>
      <c r="AV630" s="96"/>
      <c r="AW630" s="96"/>
      <c r="AX630" s="96"/>
      <c r="AY630" s="96"/>
      <c r="AZ630" s="96"/>
      <c r="BA630" s="96"/>
      <c r="BB630" s="96"/>
      <c r="BC630" s="96"/>
    </row>
    <row r="631" spans="1:55" ht="15.75" customHeight="1" x14ac:dyDescent="0.2">
      <c r="A631" s="89"/>
      <c r="B631" s="89"/>
      <c r="C631" s="89"/>
      <c r="D631" s="89"/>
      <c r="E631" s="89"/>
      <c r="AU631" s="96"/>
      <c r="AV631" s="96"/>
      <c r="AW631" s="96"/>
      <c r="AX631" s="96"/>
      <c r="AY631" s="96"/>
      <c r="AZ631" s="96"/>
      <c r="BA631" s="96"/>
      <c r="BB631" s="96"/>
      <c r="BC631" s="96"/>
    </row>
    <row r="632" spans="1:55" ht="15.75" customHeight="1" x14ac:dyDescent="0.2">
      <c r="A632" s="89"/>
      <c r="B632" s="89"/>
      <c r="C632" s="89"/>
      <c r="D632" s="89"/>
      <c r="E632" s="89"/>
      <c r="AU632" s="96"/>
      <c r="AV632" s="96"/>
      <c r="AW632" s="96"/>
      <c r="AX632" s="96"/>
      <c r="AY632" s="96"/>
      <c r="AZ632" s="96"/>
      <c r="BA632" s="96"/>
      <c r="BB632" s="96"/>
      <c r="BC632" s="96"/>
    </row>
    <row r="633" spans="1:55" ht="15.75" customHeight="1" x14ac:dyDescent="0.2">
      <c r="A633" s="89"/>
      <c r="B633" s="89"/>
      <c r="C633" s="89"/>
      <c r="D633" s="89"/>
      <c r="E633" s="89"/>
      <c r="AU633" s="96"/>
      <c r="AV633" s="96"/>
      <c r="AW633" s="96"/>
      <c r="AX633" s="96"/>
      <c r="AY633" s="96"/>
      <c r="AZ633" s="96"/>
      <c r="BA633" s="96"/>
      <c r="BB633" s="96"/>
      <c r="BC633" s="96"/>
    </row>
    <row r="634" spans="1:55" ht="15.75" customHeight="1" x14ac:dyDescent="0.2">
      <c r="A634" s="89"/>
      <c r="B634" s="89"/>
      <c r="C634" s="89"/>
      <c r="D634" s="89"/>
      <c r="E634" s="89"/>
      <c r="AU634" s="96"/>
      <c r="AV634" s="96"/>
      <c r="AW634" s="96"/>
      <c r="AX634" s="96"/>
      <c r="AY634" s="96"/>
      <c r="AZ634" s="96"/>
      <c r="BA634" s="96"/>
      <c r="BB634" s="96"/>
      <c r="BC634" s="96"/>
    </row>
    <row r="635" spans="1:55" ht="15.75" customHeight="1" x14ac:dyDescent="0.2">
      <c r="A635" s="89"/>
      <c r="B635" s="89"/>
      <c r="C635" s="89"/>
      <c r="D635" s="89"/>
      <c r="E635" s="89"/>
      <c r="AU635" s="96"/>
      <c r="AV635" s="96"/>
      <c r="AW635" s="96"/>
      <c r="AX635" s="96"/>
      <c r="AY635" s="96"/>
      <c r="AZ635" s="96"/>
      <c r="BA635" s="96"/>
      <c r="BB635" s="96"/>
      <c r="BC635" s="96"/>
    </row>
    <row r="636" spans="1:55" ht="15.75" customHeight="1" x14ac:dyDescent="0.2">
      <c r="A636" s="89"/>
      <c r="B636" s="89"/>
      <c r="C636" s="89"/>
      <c r="D636" s="89"/>
      <c r="E636" s="89"/>
      <c r="AU636" s="96"/>
      <c r="AV636" s="96"/>
      <c r="AW636" s="96"/>
      <c r="AX636" s="96"/>
      <c r="AY636" s="96"/>
      <c r="AZ636" s="96"/>
      <c r="BA636" s="96"/>
      <c r="BB636" s="96"/>
      <c r="BC636" s="96"/>
    </row>
    <row r="637" spans="1:55" ht="15.75" customHeight="1" x14ac:dyDescent="0.2">
      <c r="A637" s="89"/>
      <c r="B637" s="89"/>
      <c r="C637" s="89"/>
      <c r="D637" s="89"/>
      <c r="E637" s="89"/>
      <c r="AU637" s="96"/>
      <c r="AV637" s="96"/>
      <c r="AW637" s="96"/>
      <c r="AX637" s="96"/>
      <c r="AY637" s="96"/>
      <c r="AZ637" s="96"/>
      <c r="BA637" s="96"/>
      <c r="BB637" s="96"/>
      <c r="BC637" s="96"/>
    </row>
    <row r="638" spans="1:55" ht="15.75" customHeight="1" x14ac:dyDescent="0.2">
      <c r="A638" s="89"/>
      <c r="B638" s="89"/>
      <c r="C638" s="89"/>
      <c r="D638" s="89"/>
      <c r="E638" s="89"/>
      <c r="AU638" s="96"/>
      <c r="AV638" s="96"/>
      <c r="AW638" s="96"/>
      <c r="AX638" s="96"/>
      <c r="AY638" s="96"/>
      <c r="AZ638" s="96"/>
      <c r="BA638" s="96"/>
      <c r="BB638" s="96"/>
      <c r="BC638" s="96"/>
    </row>
    <row r="639" spans="1:55" ht="15.75" customHeight="1" x14ac:dyDescent="0.2">
      <c r="A639" s="89"/>
      <c r="B639" s="89"/>
      <c r="C639" s="89"/>
      <c r="D639" s="89"/>
      <c r="E639" s="89"/>
      <c r="AU639" s="96"/>
      <c r="AV639" s="96"/>
      <c r="AW639" s="96"/>
      <c r="AX639" s="96"/>
      <c r="AY639" s="96"/>
      <c r="AZ639" s="96"/>
      <c r="BA639" s="96"/>
      <c r="BB639" s="96"/>
      <c r="BC639" s="96"/>
    </row>
    <row r="640" spans="1:55" ht="15.75" customHeight="1" x14ac:dyDescent="0.2">
      <c r="A640" s="89"/>
      <c r="B640" s="89"/>
      <c r="C640" s="89"/>
      <c r="D640" s="89"/>
      <c r="E640" s="89"/>
      <c r="AU640" s="96"/>
      <c r="AV640" s="96"/>
      <c r="AW640" s="96"/>
      <c r="AX640" s="96"/>
      <c r="AY640" s="96"/>
      <c r="AZ640" s="96"/>
      <c r="BA640" s="96"/>
      <c r="BB640" s="96"/>
      <c r="BC640" s="96"/>
    </row>
    <row r="641" spans="1:55" ht="15.75" customHeight="1" x14ac:dyDescent="0.2">
      <c r="A641" s="89"/>
      <c r="B641" s="89"/>
      <c r="C641" s="89"/>
      <c r="D641" s="89"/>
      <c r="E641" s="89"/>
      <c r="AU641" s="96"/>
      <c r="AV641" s="96"/>
      <c r="AW641" s="96"/>
      <c r="AX641" s="96"/>
      <c r="AY641" s="96"/>
      <c r="AZ641" s="96"/>
      <c r="BA641" s="96"/>
      <c r="BB641" s="96"/>
      <c r="BC641" s="96"/>
    </row>
    <row r="642" spans="1:55" ht="15.75" customHeight="1" x14ac:dyDescent="0.2">
      <c r="A642" s="89"/>
      <c r="B642" s="89"/>
      <c r="C642" s="89"/>
      <c r="D642" s="89"/>
      <c r="E642" s="89"/>
      <c r="AU642" s="96"/>
      <c r="AV642" s="96"/>
      <c r="AW642" s="96"/>
      <c r="AX642" s="96"/>
      <c r="AY642" s="96"/>
      <c r="AZ642" s="96"/>
      <c r="BA642" s="96"/>
      <c r="BB642" s="96"/>
      <c r="BC642" s="96"/>
    </row>
    <row r="643" spans="1:55" ht="15.75" customHeight="1" x14ac:dyDescent="0.2">
      <c r="A643" s="89"/>
      <c r="B643" s="89"/>
      <c r="C643" s="89"/>
      <c r="D643" s="89"/>
      <c r="E643" s="89"/>
      <c r="AU643" s="96"/>
      <c r="AV643" s="96"/>
      <c r="AW643" s="96"/>
      <c r="AX643" s="96"/>
      <c r="AY643" s="96"/>
      <c r="AZ643" s="96"/>
      <c r="BA643" s="96"/>
      <c r="BB643" s="96"/>
      <c r="BC643" s="96"/>
    </row>
    <row r="644" spans="1:55" ht="15.75" customHeight="1" x14ac:dyDescent="0.2">
      <c r="A644" s="89"/>
      <c r="B644" s="89"/>
      <c r="C644" s="89"/>
      <c r="D644" s="89"/>
      <c r="E644" s="89"/>
      <c r="AU644" s="96"/>
      <c r="AV644" s="96"/>
      <c r="AW644" s="96"/>
      <c r="AX644" s="96"/>
      <c r="AY644" s="96"/>
      <c r="AZ644" s="96"/>
      <c r="BA644" s="96"/>
      <c r="BB644" s="96"/>
      <c r="BC644" s="96"/>
    </row>
    <row r="645" spans="1:55" ht="15.75" customHeight="1" x14ac:dyDescent="0.2">
      <c r="A645" s="89"/>
      <c r="B645" s="89"/>
      <c r="C645" s="89"/>
      <c r="D645" s="89"/>
      <c r="E645" s="89"/>
      <c r="AU645" s="96"/>
      <c r="AV645" s="96"/>
      <c r="AW645" s="96"/>
      <c r="AX645" s="96"/>
      <c r="AY645" s="96"/>
      <c r="AZ645" s="96"/>
      <c r="BA645" s="96"/>
      <c r="BB645" s="96"/>
      <c r="BC645" s="96"/>
    </row>
    <row r="646" spans="1:55" ht="15.75" customHeight="1" x14ac:dyDescent="0.2">
      <c r="A646" s="89"/>
      <c r="B646" s="89"/>
      <c r="C646" s="89"/>
      <c r="D646" s="89"/>
      <c r="E646" s="89"/>
      <c r="AU646" s="96"/>
      <c r="AV646" s="96"/>
      <c r="AW646" s="96"/>
      <c r="AX646" s="96"/>
      <c r="AY646" s="96"/>
      <c r="AZ646" s="96"/>
      <c r="BA646" s="96"/>
      <c r="BB646" s="96"/>
      <c r="BC646" s="96"/>
    </row>
    <row r="647" spans="1:55" ht="15.75" customHeight="1" x14ac:dyDescent="0.2">
      <c r="A647" s="89"/>
      <c r="B647" s="89"/>
      <c r="C647" s="89"/>
      <c r="D647" s="89"/>
      <c r="E647" s="89"/>
      <c r="AU647" s="96"/>
      <c r="AV647" s="96"/>
      <c r="AW647" s="96"/>
      <c r="AX647" s="96"/>
      <c r="AY647" s="96"/>
      <c r="AZ647" s="96"/>
      <c r="BA647" s="96"/>
      <c r="BB647" s="96"/>
      <c r="BC647" s="96"/>
    </row>
    <row r="648" spans="1:55" ht="15.75" customHeight="1" x14ac:dyDescent="0.2">
      <c r="A648" s="89"/>
      <c r="B648" s="89"/>
      <c r="C648" s="89"/>
      <c r="D648" s="89"/>
      <c r="E648" s="89"/>
      <c r="AU648" s="96"/>
      <c r="AV648" s="96"/>
      <c r="AW648" s="96"/>
      <c r="AX648" s="96"/>
      <c r="AY648" s="96"/>
      <c r="AZ648" s="96"/>
      <c r="BA648" s="96"/>
      <c r="BB648" s="96"/>
      <c r="BC648" s="96"/>
    </row>
    <row r="649" spans="1:55" ht="15.75" customHeight="1" x14ac:dyDescent="0.2">
      <c r="A649" s="89"/>
      <c r="B649" s="89"/>
      <c r="C649" s="89"/>
      <c r="D649" s="89"/>
      <c r="E649" s="89"/>
      <c r="AU649" s="96"/>
      <c r="AV649" s="96"/>
      <c r="AW649" s="96"/>
      <c r="AX649" s="96"/>
      <c r="AY649" s="96"/>
      <c r="AZ649" s="96"/>
      <c r="BA649" s="96"/>
      <c r="BB649" s="96"/>
      <c r="BC649" s="96"/>
    </row>
    <row r="650" spans="1:55" ht="15.75" customHeight="1" x14ac:dyDescent="0.2">
      <c r="A650" s="89"/>
      <c r="B650" s="89"/>
      <c r="C650" s="89"/>
      <c r="D650" s="89"/>
      <c r="E650" s="89"/>
      <c r="AU650" s="96"/>
      <c r="AV650" s="96"/>
      <c r="AW650" s="96"/>
      <c r="AX650" s="96"/>
      <c r="AY650" s="96"/>
      <c r="AZ650" s="96"/>
      <c r="BA650" s="96"/>
      <c r="BB650" s="96"/>
      <c r="BC650" s="96"/>
    </row>
    <row r="651" spans="1:55" ht="15.75" customHeight="1" x14ac:dyDescent="0.2">
      <c r="A651" s="89"/>
      <c r="B651" s="89"/>
      <c r="C651" s="89"/>
      <c r="D651" s="89"/>
      <c r="E651" s="89"/>
      <c r="AU651" s="96"/>
      <c r="AV651" s="96"/>
      <c r="AW651" s="96"/>
      <c r="AX651" s="96"/>
      <c r="AY651" s="96"/>
      <c r="AZ651" s="96"/>
      <c r="BA651" s="96"/>
      <c r="BB651" s="96"/>
      <c r="BC651" s="96"/>
    </row>
    <row r="652" spans="1:55" ht="15.75" customHeight="1" x14ac:dyDescent="0.2">
      <c r="A652" s="89"/>
      <c r="B652" s="89"/>
      <c r="C652" s="89"/>
      <c r="D652" s="89"/>
      <c r="E652" s="89"/>
      <c r="AU652" s="96"/>
      <c r="AV652" s="96"/>
      <c r="AW652" s="96"/>
      <c r="AX652" s="96"/>
      <c r="AY652" s="96"/>
      <c r="AZ652" s="96"/>
      <c r="BA652" s="96"/>
      <c r="BB652" s="96"/>
      <c r="BC652" s="96"/>
    </row>
    <row r="653" spans="1:55" ht="15.75" customHeight="1" x14ac:dyDescent="0.2">
      <c r="A653" s="89"/>
      <c r="B653" s="89"/>
      <c r="C653" s="89"/>
      <c r="D653" s="89"/>
      <c r="E653" s="89"/>
      <c r="AU653" s="96"/>
      <c r="AV653" s="96"/>
      <c r="AW653" s="96"/>
      <c r="AX653" s="96"/>
      <c r="AY653" s="96"/>
      <c r="AZ653" s="96"/>
      <c r="BA653" s="96"/>
      <c r="BB653" s="96"/>
      <c r="BC653" s="96"/>
    </row>
    <row r="654" spans="1:55" ht="15.75" customHeight="1" x14ac:dyDescent="0.2">
      <c r="A654" s="89"/>
      <c r="B654" s="89"/>
      <c r="C654" s="89"/>
      <c r="D654" s="89"/>
      <c r="E654" s="89"/>
      <c r="AU654" s="96"/>
      <c r="AV654" s="96"/>
      <c r="AW654" s="96"/>
      <c r="AX654" s="96"/>
      <c r="AY654" s="96"/>
      <c r="AZ654" s="96"/>
      <c r="BA654" s="96"/>
      <c r="BB654" s="96"/>
      <c r="BC654" s="96"/>
    </row>
    <row r="655" spans="1:55" ht="15.75" customHeight="1" x14ac:dyDescent="0.2">
      <c r="A655" s="89"/>
      <c r="B655" s="89"/>
      <c r="C655" s="89"/>
      <c r="D655" s="89"/>
      <c r="E655" s="89"/>
      <c r="AU655" s="96"/>
      <c r="AV655" s="96"/>
      <c r="AW655" s="96"/>
      <c r="AX655" s="96"/>
      <c r="AY655" s="96"/>
      <c r="AZ655" s="96"/>
      <c r="BA655" s="96"/>
      <c r="BB655" s="96"/>
      <c r="BC655" s="96"/>
    </row>
    <row r="656" spans="1:55" ht="15.75" customHeight="1" x14ac:dyDescent="0.2">
      <c r="A656" s="89"/>
      <c r="B656" s="89"/>
      <c r="C656" s="89"/>
      <c r="D656" s="89"/>
      <c r="E656" s="89"/>
      <c r="AU656" s="96"/>
      <c r="AV656" s="96"/>
      <c r="AW656" s="96"/>
      <c r="AX656" s="96"/>
      <c r="AY656" s="96"/>
      <c r="AZ656" s="96"/>
      <c r="BA656" s="96"/>
      <c r="BB656" s="96"/>
      <c r="BC656" s="96"/>
    </row>
    <row r="657" spans="1:55" ht="15.75" customHeight="1" x14ac:dyDescent="0.2">
      <c r="A657" s="89"/>
      <c r="B657" s="89"/>
      <c r="C657" s="89"/>
      <c r="D657" s="89"/>
      <c r="E657" s="89"/>
      <c r="AU657" s="96"/>
      <c r="AV657" s="96"/>
      <c r="AW657" s="96"/>
      <c r="AX657" s="96"/>
      <c r="AY657" s="96"/>
      <c r="AZ657" s="96"/>
      <c r="BA657" s="96"/>
      <c r="BB657" s="96"/>
      <c r="BC657" s="96"/>
    </row>
    <row r="658" spans="1:55" ht="15.75" customHeight="1" x14ac:dyDescent="0.2">
      <c r="A658" s="89"/>
      <c r="B658" s="89"/>
      <c r="C658" s="89"/>
      <c r="D658" s="89"/>
      <c r="E658" s="89"/>
      <c r="AU658" s="96"/>
      <c r="AV658" s="96"/>
      <c r="AW658" s="96"/>
      <c r="AX658" s="96"/>
      <c r="AY658" s="96"/>
      <c r="AZ658" s="96"/>
      <c r="BA658" s="96"/>
      <c r="BB658" s="96"/>
      <c r="BC658" s="96"/>
    </row>
    <row r="659" spans="1:55" ht="15.75" customHeight="1" x14ac:dyDescent="0.2">
      <c r="A659" s="89"/>
      <c r="B659" s="89"/>
      <c r="C659" s="89"/>
      <c r="D659" s="89"/>
      <c r="E659" s="89"/>
      <c r="AU659" s="96"/>
      <c r="AV659" s="96"/>
      <c r="AW659" s="96"/>
      <c r="AX659" s="96"/>
      <c r="AY659" s="96"/>
      <c r="AZ659" s="96"/>
      <c r="BA659" s="96"/>
      <c r="BB659" s="96"/>
      <c r="BC659" s="96"/>
    </row>
    <row r="660" spans="1:55" ht="15.75" customHeight="1" x14ac:dyDescent="0.2">
      <c r="A660" s="89"/>
      <c r="B660" s="89"/>
      <c r="C660" s="89"/>
      <c r="D660" s="89"/>
      <c r="E660" s="89"/>
      <c r="AU660" s="96"/>
      <c r="AV660" s="96"/>
      <c r="AW660" s="96"/>
      <c r="AX660" s="96"/>
      <c r="AY660" s="96"/>
      <c r="AZ660" s="96"/>
      <c r="BA660" s="96"/>
      <c r="BB660" s="96"/>
      <c r="BC660" s="96"/>
    </row>
    <row r="661" spans="1:55" ht="15.75" customHeight="1" x14ac:dyDescent="0.2">
      <c r="A661" s="89"/>
      <c r="B661" s="89"/>
      <c r="C661" s="89"/>
      <c r="D661" s="89"/>
      <c r="E661" s="89"/>
      <c r="AU661" s="96"/>
      <c r="AV661" s="96"/>
      <c r="AW661" s="96"/>
      <c r="AX661" s="96"/>
      <c r="AY661" s="96"/>
      <c r="AZ661" s="96"/>
      <c r="BA661" s="96"/>
      <c r="BB661" s="96"/>
      <c r="BC661" s="96"/>
    </row>
    <row r="662" spans="1:55" ht="15.75" customHeight="1" x14ac:dyDescent="0.2">
      <c r="A662" s="89"/>
      <c r="B662" s="89"/>
      <c r="C662" s="89"/>
      <c r="D662" s="89"/>
      <c r="E662" s="89"/>
      <c r="AU662" s="96"/>
      <c r="AV662" s="96"/>
      <c r="AW662" s="96"/>
      <c r="AX662" s="96"/>
      <c r="AY662" s="96"/>
      <c r="AZ662" s="96"/>
      <c r="BA662" s="96"/>
      <c r="BB662" s="96"/>
      <c r="BC662" s="96"/>
    </row>
    <row r="663" spans="1:55" ht="15.75" customHeight="1" x14ac:dyDescent="0.2">
      <c r="A663" s="89"/>
      <c r="B663" s="89"/>
      <c r="C663" s="89"/>
      <c r="D663" s="89"/>
      <c r="E663" s="89"/>
      <c r="AU663" s="96"/>
      <c r="AV663" s="96"/>
      <c r="AW663" s="96"/>
      <c r="AX663" s="96"/>
      <c r="AY663" s="96"/>
      <c r="AZ663" s="96"/>
      <c r="BA663" s="96"/>
      <c r="BB663" s="96"/>
      <c r="BC663" s="96"/>
    </row>
    <row r="664" spans="1:55" ht="15.75" customHeight="1" x14ac:dyDescent="0.2">
      <c r="A664" s="89"/>
      <c r="B664" s="89"/>
      <c r="C664" s="89"/>
      <c r="D664" s="89"/>
      <c r="E664" s="89"/>
      <c r="AU664" s="96"/>
      <c r="AV664" s="96"/>
      <c r="AW664" s="96"/>
      <c r="AX664" s="96"/>
      <c r="AY664" s="96"/>
      <c r="AZ664" s="96"/>
      <c r="BA664" s="96"/>
      <c r="BB664" s="96"/>
      <c r="BC664" s="96"/>
    </row>
    <row r="665" spans="1:55" ht="15.75" customHeight="1" x14ac:dyDescent="0.2">
      <c r="A665" s="89"/>
      <c r="B665" s="89"/>
      <c r="C665" s="89"/>
      <c r="D665" s="89"/>
      <c r="E665" s="89"/>
      <c r="AU665" s="96"/>
      <c r="AV665" s="96"/>
      <c r="AW665" s="96"/>
      <c r="AX665" s="96"/>
      <c r="AY665" s="96"/>
      <c r="AZ665" s="96"/>
      <c r="BA665" s="96"/>
      <c r="BB665" s="96"/>
      <c r="BC665" s="96"/>
    </row>
    <row r="666" spans="1:55" ht="15.75" customHeight="1" x14ac:dyDescent="0.2">
      <c r="A666" s="89"/>
      <c r="B666" s="89"/>
      <c r="C666" s="89"/>
      <c r="D666" s="89"/>
      <c r="E666" s="89"/>
      <c r="AU666" s="96"/>
      <c r="AV666" s="96"/>
      <c r="AW666" s="96"/>
      <c r="AX666" s="96"/>
      <c r="AY666" s="96"/>
      <c r="AZ666" s="96"/>
      <c r="BA666" s="96"/>
      <c r="BB666" s="96"/>
      <c r="BC666" s="96"/>
    </row>
    <row r="667" spans="1:55" ht="15.75" customHeight="1" x14ac:dyDescent="0.2">
      <c r="A667" s="89"/>
      <c r="B667" s="89"/>
      <c r="C667" s="89"/>
      <c r="D667" s="89"/>
      <c r="E667" s="89"/>
      <c r="AU667" s="96"/>
      <c r="AV667" s="96"/>
      <c r="AW667" s="96"/>
      <c r="AX667" s="96"/>
      <c r="AY667" s="96"/>
      <c r="AZ667" s="96"/>
      <c r="BA667" s="96"/>
      <c r="BB667" s="96"/>
      <c r="BC667" s="96"/>
    </row>
    <row r="668" spans="1:55" ht="15.75" customHeight="1" x14ac:dyDescent="0.2">
      <c r="A668" s="89"/>
      <c r="B668" s="89"/>
      <c r="C668" s="89"/>
      <c r="D668" s="89"/>
      <c r="E668" s="89"/>
      <c r="AU668" s="96"/>
      <c r="AV668" s="96"/>
      <c r="AW668" s="96"/>
      <c r="AX668" s="96"/>
      <c r="AY668" s="96"/>
      <c r="AZ668" s="96"/>
      <c r="BA668" s="96"/>
      <c r="BB668" s="96"/>
      <c r="BC668" s="96"/>
    </row>
    <row r="669" spans="1:55" ht="15.75" customHeight="1" x14ac:dyDescent="0.2">
      <c r="A669" s="89"/>
      <c r="B669" s="89"/>
      <c r="C669" s="89"/>
      <c r="D669" s="89"/>
      <c r="E669" s="89"/>
      <c r="AU669" s="96"/>
      <c r="AV669" s="96"/>
      <c r="AW669" s="96"/>
      <c r="AX669" s="96"/>
      <c r="AY669" s="96"/>
      <c r="AZ669" s="96"/>
      <c r="BA669" s="96"/>
      <c r="BB669" s="96"/>
      <c r="BC669" s="96"/>
    </row>
    <row r="670" spans="1:55" ht="15.75" customHeight="1" x14ac:dyDescent="0.2">
      <c r="A670" s="89"/>
      <c r="B670" s="89"/>
      <c r="C670" s="89"/>
      <c r="D670" s="89"/>
      <c r="E670" s="89"/>
      <c r="AU670" s="96"/>
      <c r="AV670" s="96"/>
      <c r="AW670" s="96"/>
      <c r="AX670" s="96"/>
      <c r="AY670" s="96"/>
      <c r="AZ670" s="96"/>
      <c r="BA670" s="96"/>
      <c r="BB670" s="96"/>
      <c r="BC670" s="96"/>
    </row>
    <row r="671" spans="1:55" ht="15.75" customHeight="1" x14ac:dyDescent="0.2">
      <c r="A671" s="89"/>
      <c r="B671" s="89"/>
      <c r="C671" s="89"/>
      <c r="D671" s="89"/>
      <c r="E671" s="89"/>
      <c r="AU671" s="96"/>
      <c r="AV671" s="96"/>
      <c r="AW671" s="96"/>
      <c r="AX671" s="96"/>
      <c r="AY671" s="96"/>
      <c r="AZ671" s="96"/>
      <c r="BA671" s="96"/>
      <c r="BB671" s="96"/>
      <c r="BC671" s="96"/>
    </row>
    <row r="672" spans="1:55" ht="15.75" customHeight="1" x14ac:dyDescent="0.2">
      <c r="A672" s="89"/>
      <c r="B672" s="89"/>
      <c r="C672" s="89"/>
      <c r="D672" s="89"/>
      <c r="E672" s="89"/>
      <c r="AU672" s="96"/>
      <c r="AV672" s="96"/>
      <c r="AW672" s="96"/>
      <c r="AX672" s="96"/>
      <c r="AY672" s="96"/>
      <c r="AZ672" s="96"/>
      <c r="BA672" s="96"/>
      <c r="BB672" s="96"/>
      <c r="BC672" s="96"/>
    </row>
    <row r="673" spans="1:55" ht="15.75" customHeight="1" x14ac:dyDescent="0.2">
      <c r="A673" s="89"/>
      <c r="B673" s="89"/>
      <c r="C673" s="89"/>
      <c r="D673" s="89"/>
      <c r="E673" s="89"/>
      <c r="AU673" s="96"/>
      <c r="AV673" s="96"/>
      <c r="AW673" s="96"/>
      <c r="AX673" s="96"/>
      <c r="AY673" s="96"/>
      <c r="AZ673" s="96"/>
      <c r="BA673" s="96"/>
      <c r="BB673" s="96"/>
      <c r="BC673" s="96"/>
    </row>
    <row r="674" spans="1:55" ht="15.75" customHeight="1" x14ac:dyDescent="0.2">
      <c r="A674" s="89"/>
      <c r="B674" s="89"/>
      <c r="C674" s="89"/>
      <c r="D674" s="89"/>
      <c r="E674" s="89"/>
      <c r="AU674" s="96"/>
      <c r="AV674" s="96"/>
      <c r="AW674" s="96"/>
      <c r="AX674" s="96"/>
      <c r="AY674" s="96"/>
      <c r="AZ674" s="96"/>
      <c r="BA674" s="96"/>
      <c r="BB674" s="96"/>
      <c r="BC674" s="96"/>
    </row>
    <row r="675" spans="1:55" ht="15.75" customHeight="1" x14ac:dyDescent="0.2">
      <c r="A675" s="89"/>
      <c r="B675" s="89"/>
      <c r="C675" s="89"/>
      <c r="D675" s="89"/>
      <c r="E675" s="89"/>
      <c r="AU675" s="96"/>
      <c r="AV675" s="96"/>
      <c r="AW675" s="96"/>
      <c r="AX675" s="96"/>
      <c r="AY675" s="96"/>
      <c r="AZ675" s="96"/>
      <c r="BA675" s="96"/>
      <c r="BB675" s="96"/>
      <c r="BC675" s="96"/>
    </row>
    <row r="676" spans="1:55" ht="15.75" customHeight="1" x14ac:dyDescent="0.2">
      <c r="A676" s="89"/>
      <c r="B676" s="89"/>
      <c r="C676" s="89"/>
      <c r="D676" s="89"/>
      <c r="E676" s="89"/>
      <c r="AU676" s="96"/>
      <c r="AV676" s="96"/>
      <c r="AW676" s="96"/>
      <c r="AX676" s="96"/>
      <c r="AY676" s="96"/>
      <c r="AZ676" s="96"/>
      <c r="BA676" s="96"/>
      <c r="BB676" s="96"/>
      <c r="BC676" s="96"/>
    </row>
    <row r="677" spans="1:55" ht="15.75" customHeight="1" x14ac:dyDescent="0.2">
      <c r="A677" s="89"/>
      <c r="B677" s="89"/>
      <c r="C677" s="89"/>
      <c r="D677" s="89"/>
      <c r="E677" s="89"/>
      <c r="AU677" s="96"/>
      <c r="AV677" s="96"/>
      <c r="AW677" s="96"/>
      <c r="AX677" s="96"/>
      <c r="AY677" s="96"/>
      <c r="AZ677" s="96"/>
      <c r="BA677" s="96"/>
      <c r="BB677" s="96"/>
      <c r="BC677" s="96"/>
    </row>
    <row r="678" spans="1:55" ht="15.75" customHeight="1" x14ac:dyDescent="0.2">
      <c r="A678" s="89"/>
      <c r="B678" s="89"/>
      <c r="C678" s="89"/>
      <c r="D678" s="89"/>
      <c r="E678" s="89"/>
      <c r="AU678" s="96"/>
      <c r="AV678" s="96"/>
      <c r="AW678" s="96"/>
      <c r="AX678" s="96"/>
      <c r="AY678" s="96"/>
      <c r="AZ678" s="96"/>
      <c r="BA678" s="96"/>
      <c r="BB678" s="96"/>
      <c r="BC678" s="96"/>
    </row>
    <row r="679" spans="1:55" ht="15.75" customHeight="1" x14ac:dyDescent="0.2">
      <c r="A679" s="89"/>
      <c r="B679" s="89"/>
      <c r="C679" s="89"/>
      <c r="D679" s="89"/>
      <c r="E679" s="89"/>
      <c r="AU679" s="96"/>
      <c r="AV679" s="96"/>
      <c r="AW679" s="96"/>
      <c r="AX679" s="96"/>
      <c r="AY679" s="96"/>
      <c r="AZ679" s="96"/>
      <c r="BA679" s="96"/>
      <c r="BB679" s="96"/>
      <c r="BC679" s="96"/>
    </row>
    <row r="680" spans="1:55" ht="15.75" customHeight="1" x14ac:dyDescent="0.2">
      <c r="A680" s="89"/>
      <c r="B680" s="89"/>
      <c r="C680" s="89"/>
      <c r="D680" s="89"/>
      <c r="E680" s="89"/>
      <c r="AU680" s="96"/>
      <c r="AV680" s="96"/>
      <c r="AW680" s="96"/>
      <c r="AX680" s="96"/>
      <c r="AY680" s="96"/>
      <c r="AZ680" s="96"/>
      <c r="BA680" s="96"/>
      <c r="BB680" s="96"/>
      <c r="BC680" s="96"/>
    </row>
    <row r="681" spans="1:55" ht="15.75" customHeight="1" x14ac:dyDescent="0.2">
      <c r="A681" s="89"/>
      <c r="B681" s="89"/>
      <c r="C681" s="89"/>
      <c r="D681" s="89"/>
      <c r="E681" s="89"/>
      <c r="AU681" s="96"/>
      <c r="AV681" s="96"/>
      <c r="AW681" s="96"/>
      <c r="AX681" s="96"/>
      <c r="AY681" s="96"/>
      <c r="AZ681" s="96"/>
      <c r="BA681" s="96"/>
      <c r="BB681" s="96"/>
      <c r="BC681" s="96"/>
    </row>
    <row r="682" spans="1:55" ht="15.75" customHeight="1" x14ac:dyDescent="0.2">
      <c r="A682" s="89"/>
      <c r="B682" s="89"/>
      <c r="C682" s="89"/>
      <c r="D682" s="89"/>
      <c r="E682" s="89"/>
      <c r="AU682" s="96"/>
      <c r="AV682" s="96"/>
      <c r="AW682" s="96"/>
      <c r="AX682" s="96"/>
      <c r="AY682" s="96"/>
      <c r="AZ682" s="96"/>
      <c r="BA682" s="96"/>
      <c r="BB682" s="96"/>
      <c r="BC682" s="96"/>
    </row>
    <row r="683" spans="1:55" ht="15.75" customHeight="1" x14ac:dyDescent="0.2">
      <c r="A683" s="89"/>
      <c r="B683" s="89"/>
      <c r="C683" s="89"/>
      <c r="D683" s="89"/>
      <c r="E683" s="89"/>
      <c r="AU683" s="96"/>
      <c r="AV683" s="96"/>
      <c r="AW683" s="96"/>
      <c r="AX683" s="96"/>
      <c r="AY683" s="96"/>
      <c r="AZ683" s="96"/>
      <c r="BA683" s="96"/>
      <c r="BB683" s="96"/>
      <c r="BC683" s="96"/>
    </row>
    <row r="684" spans="1:55" ht="15.75" customHeight="1" x14ac:dyDescent="0.2">
      <c r="A684" s="89"/>
      <c r="B684" s="89"/>
      <c r="C684" s="89"/>
      <c r="D684" s="89"/>
      <c r="E684" s="89"/>
      <c r="AU684" s="96"/>
      <c r="AV684" s="96"/>
      <c r="AW684" s="96"/>
      <c r="AX684" s="96"/>
      <c r="AY684" s="96"/>
      <c r="AZ684" s="96"/>
      <c r="BA684" s="96"/>
      <c r="BB684" s="96"/>
      <c r="BC684" s="96"/>
    </row>
    <row r="685" spans="1:55" ht="15.75" customHeight="1" x14ac:dyDescent="0.2">
      <c r="A685" s="89"/>
      <c r="B685" s="89"/>
      <c r="C685" s="89"/>
      <c r="D685" s="89"/>
      <c r="E685" s="89"/>
      <c r="AU685" s="96"/>
      <c r="AV685" s="96"/>
      <c r="AW685" s="96"/>
      <c r="AX685" s="96"/>
      <c r="AY685" s="96"/>
      <c r="AZ685" s="96"/>
      <c r="BA685" s="96"/>
      <c r="BB685" s="96"/>
      <c r="BC685" s="96"/>
    </row>
    <row r="686" spans="1:55" ht="15.75" customHeight="1" x14ac:dyDescent="0.2">
      <c r="A686" s="89"/>
      <c r="B686" s="89"/>
      <c r="C686" s="89"/>
      <c r="D686" s="89"/>
      <c r="E686" s="89"/>
      <c r="AU686" s="96"/>
      <c r="AV686" s="96"/>
      <c r="AW686" s="96"/>
      <c r="AX686" s="96"/>
      <c r="AY686" s="96"/>
      <c r="AZ686" s="96"/>
      <c r="BA686" s="96"/>
      <c r="BB686" s="96"/>
      <c r="BC686" s="96"/>
    </row>
    <row r="687" spans="1:55" ht="15.75" customHeight="1" x14ac:dyDescent="0.2">
      <c r="A687" s="89"/>
      <c r="B687" s="89"/>
      <c r="C687" s="89"/>
      <c r="D687" s="89"/>
      <c r="E687" s="89"/>
      <c r="AU687" s="96"/>
      <c r="AV687" s="96"/>
      <c r="AW687" s="96"/>
      <c r="AX687" s="96"/>
      <c r="AY687" s="96"/>
      <c r="AZ687" s="96"/>
      <c r="BA687" s="96"/>
      <c r="BB687" s="96"/>
      <c r="BC687" s="96"/>
    </row>
    <row r="688" spans="1:55" ht="15.75" customHeight="1" x14ac:dyDescent="0.2">
      <c r="A688" s="89"/>
      <c r="B688" s="89"/>
      <c r="C688" s="89"/>
      <c r="D688" s="89"/>
      <c r="E688" s="89"/>
      <c r="AU688" s="96"/>
      <c r="AV688" s="96"/>
      <c r="AW688" s="96"/>
      <c r="AX688" s="96"/>
      <c r="AY688" s="96"/>
      <c r="AZ688" s="96"/>
      <c r="BA688" s="96"/>
      <c r="BB688" s="96"/>
      <c r="BC688" s="96"/>
    </row>
    <row r="689" spans="1:55" ht="15.75" customHeight="1" x14ac:dyDescent="0.2">
      <c r="A689" s="89"/>
      <c r="B689" s="89"/>
      <c r="C689" s="89"/>
      <c r="D689" s="89"/>
      <c r="E689" s="89"/>
      <c r="AU689" s="96"/>
      <c r="AV689" s="96"/>
      <c r="AW689" s="96"/>
      <c r="AX689" s="96"/>
      <c r="AY689" s="96"/>
      <c r="AZ689" s="96"/>
      <c r="BA689" s="96"/>
      <c r="BB689" s="96"/>
      <c r="BC689" s="96"/>
    </row>
    <row r="690" spans="1:55" ht="15.75" customHeight="1" x14ac:dyDescent="0.2">
      <c r="A690" s="89"/>
      <c r="B690" s="89"/>
      <c r="C690" s="89"/>
      <c r="D690" s="89"/>
      <c r="E690" s="89"/>
      <c r="AU690" s="96"/>
      <c r="AV690" s="96"/>
      <c r="AW690" s="96"/>
      <c r="AX690" s="96"/>
      <c r="AY690" s="96"/>
      <c r="AZ690" s="96"/>
      <c r="BA690" s="96"/>
      <c r="BB690" s="96"/>
      <c r="BC690" s="96"/>
    </row>
    <row r="691" spans="1:55" ht="15.75" customHeight="1" x14ac:dyDescent="0.2">
      <c r="A691" s="89"/>
      <c r="B691" s="89"/>
      <c r="C691" s="89"/>
      <c r="D691" s="89"/>
      <c r="E691" s="89"/>
      <c r="AU691" s="96"/>
      <c r="AV691" s="96"/>
      <c r="AW691" s="96"/>
      <c r="AX691" s="96"/>
      <c r="AY691" s="96"/>
      <c r="AZ691" s="96"/>
      <c r="BA691" s="96"/>
      <c r="BB691" s="96"/>
      <c r="BC691" s="96"/>
    </row>
    <row r="692" spans="1:55" ht="15.75" customHeight="1" x14ac:dyDescent="0.2">
      <c r="A692" s="89"/>
      <c r="B692" s="89"/>
      <c r="C692" s="89"/>
      <c r="D692" s="89"/>
      <c r="E692" s="89"/>
      <c r="AU692" s="96"/>
      <c r="AV692" s="96"/>
      <c r="AW692" s="96"/>
      <c r="AX692" s="96"/>
      <c r="AY692" s="96"/>
      <c r="AZ692" s="96"/>
      <c r="BA692" s="96"/>
      <c r="BB692" s="96"/>
      <c r="BC692" s="96"/>
    </row>
    <row r="693" spans="1:55" ht="15.75" customHeight="1" x14ac:dyDescent="0.2">
      <c r="A693" s="89"/>
      <c r="B693" s="89"/>
      <c r="C693" s="89"/>
      <c r="D693" s="89"/>
      <c r="E693" s="89"/>
      <c r="AU693" s="96"/>
      <c r="AV693" s="96"/>
      <c r="AW693" s="96"/>
      <c r="AX693" s="96"/>
      <c r="AY693" s="96"/>
      <c r="AZ693" s="96"/>
      <c r="BA693" s="96"/>
      <c r="BB693" s="96"/>
      <c r="BC693" s="96"/>
    </row>
    <row r="694" spans="1:55" ht="15.75" customHeight="1" x14ac:dyDescent="0.2">
      <c r="A694" s="89"/>
      <c r="B694" s="89"/>
      <c r="C694" s="89"/>
      <c r="D694" s="89"/>
      <c r="E694" s="89"/>
      <c r="AU694" s="96"/>
      <c r="AV694" s="96"/>
      <c r="AW694" s="96"/>
      <c r="AX694" s="96"/>
      <c r="AY694" s="96"/>
      <c r="AZ694" s="96"/>
      <c r="BA694" s="96"/>
      <c r="BB694" s="96"/>
      <c r="BC694" s="96"/>
    </row>
    <row r="695" spans="1:55" ht="15.75" customHeight="1" x14ac:dyDescent="0.2">
      <c r="A695" s="89"/>
      <c r="B695" s="89"/>
      <c r="C695" s="89"/>
      <c r="D695" s="89"/>
      <c r="E695" s="89"/>
      <c r="AU695" s="96"/>
      <c r="AV695" s="96"/>
      <c r="AW695" s="96"/>
      <c r="AX695" s="96"/>
      <c r="AY695" s="96"/>
      <c r="AZ695" s="96"/>
      <c r="BA695" s="96"/>
      <c r="BB695" s="96"/>
      <c r="BC695" s="96"/>
    </row>
    <row r="696" spans="1:55" ht="15.75" customHeight="1" x14ac:dyDescent="0.2">
      <c r="A696" s="89"/>
      <c r="B696" s="89"/>
      <c r="C696" s="89"/>
      <c r="D696" s="89"/>
      <c r="E696" s="89"/>
      <c r="AU696" s="96"/>
      <c r="AV696" s="96"/>
      <c r="AW696" s="96"/>
      <c r="AX696" s="96"/>
      <c r="AY696" s="96"/>
      <c r="AZ696" s="96"/>
      <c r="BA696" s="96"/>
      <c r="BB696" s="96"/>
      <c r="BC696" s="96"/>
    </row>
    <row r="697" spans="1:55" ht="15.75" customHeight="1" x14ac:dyDescent="0.2">
      <c r="A697" s="89"/>
      <c r="B697" s="89"/>
      <c r="C697" s="89"/>
      <c r="D697" s="89"/>
      <c r="E697" s="89"/>
      <c r="AU697" s="96"/>
      <c r="AV697" s="96"/>
      <c r="AW697" s="96"/>
      <c r="AX697" s="96"/>
      <c r="AY697" s="96"/>
      <c r="AZ697" s="96"/>
      <c r="BA697" s="96"/>
      <c r="BB697" s="96"/>
      <c r="BC697" s="96"/>
    </row>
    <row r="698" spans="1:55" ht="15.75" customHeight="1" x14ac:dyDescent="0.2">
      <c r="A698" s="89"/>
      <c r="B698" s="89"/>
      <c r="C698" s="89"/>
      <c r="D698" s="89"/>
      <c r="E698" s="89"/>
      <c r="AU698" s="96"/>
      <c r="AV698" s="96"/>
      <c r="AW698" s="96"/>
      <c r="AX698" s="96"/>
      <c r="AY698" s="96"/>
      <c r="AZ698" s="96"/>
      <c r="BA698" s="96"/>
      <c r="BB698" s="96"/>
      <c r="BC698" s="96"/>
    </row>
    <row r="699" spans="1:55" ht="15.75" customHeight="1" x14ac:dyDescent="0.2">
      <c r="A699" s="89"/>
      <c r="B699" s="89"/>
      <c r="C699" s="89"/>
      <c r="D699" s="89"/>
      <c r="E699" s="89"/>
      <c r="AU699" s="96"/>
      <c r="AV699" s="96"/>
      <c r="AW699" s="96"/>
      <c r="AX699" s="96"/>
      <c r="AY699" s="96"/>
      <c r="AZ699" s="96"/>
      <c r="BA699" s="96"/>
      <c r="BB699" s="96"/>
      <c r="BC699" s="96"/>
    </row>
    <row r="700" spans="1:55" ht="15.75" customHeight="1" x14ac:dyDescent="0.2">
      <c r="A700" s="89"/>
      <c r="B700" s="89"/>
      <c r="C700" s="89"/>
      <c r="D700" s="89"/>
      <c r="E700" s="89"/>
      <c r="AU700" s="96"/>
      <c r="AV700" s="96"/>
      <c r="AW700" s="96"/>
      <c r="AX700" s="96"/>
      <c r="AY700" s="96"/>
      <c r="AZ700" s="96"/>
      <c r="BA700" s="96"/>
      <c r="BB700" s="96"/>
      <c r="BC700" s="96"/>
    </row>
    <row r="701" spans="1:55" ht="15.75" customHeight="1" x14ac:dyDescent="0.2">
      <c r="A701" s="89"/>
      <c r="B701" s="89"/>
      <c r="C701" s="89"/>
      <c r="D701" s="89"/>
      <c r="E701" s="89"/>
      <c r="AU701" s="96"/>
      <c r="AV701" s="96"/>
      <c r="AW701" s="96"/>
      <c r="AX701" s="96"/>
      <c r="AY701" s="96"/>
      <c r="AZ701" s="96"/>
      <c r="BA701" s="96"/>
      <c r="BB701" s="96"/>
      <c r="BC701" s="96"/>
    </row>
    <row r="702" spans="1:55" ht="15.75" customHeight="1" x14ac:dyDescent="0.2">
      <c r="A702" s="89"/>
      <c r="B702" s="89"/>
      <c r="C702" s="89"/>
      <c r="D702" s="89"/>
      <c r="E702" s="89"/>
      <c r="AU702" s="96"/>
      <c r="AV702" s="96"/>
      <c r="AW702" s="96"/>
      <c r="AX702" s="96"/>
      <c r="AY702" s="96"/>
      <c r="AZ702" s="96"/>
      <c r="BA702" s="96"/>
      <c r="BB702" s="96"/>
      <c r="BC702" s="96"/>
    </row>
    <row r="703" spans="1:55" ht="15.75" customHeight="1" x14ac:dyDescent="0.2">
      <c r="A703" s="89"/>
      <c r="B703" s="89"/>
      <c r="C703" s="89"/>
      <c r="D703" s="89"/>
      <c r="E703" s="89"/>
      <c r="AU703" s="96"/>
      <c r="AV703" s="96"/>
      <c r="AW703" s="96"/>
      <c r="AX703" s="96"/>
      <c r="AY703" s="96"/>
      <c r="AZ703" s="96"/>
      <c r="BA703" s="96"/>
      <c r="BB703" s="96"/>
      <c r="BC703" s="96"/>
    </row>
    <row r="704" spans="1:55" ht="15.75" customHeight="1" x14ac:dyDescent="0.2">
      <c r="A704" s="89"/>
      <c r="B704" s="89"/>
      <c r="C704" s="89"/>
      <c r="D704" s="89"/>
      <c r="E704" s="89"/>
      <c r="AU704" s="96"/>
      <c r="AV704" s="96"/>
      <c r="AW704" s="96"/>
      <c r="AX704" s="96"/>
      <c r="AY704" s="96"/>
      <c r="AZ704" s="96"/>
      <c r="BA704" s="96"/>
      <c r="BB704" s="96"/>
      <c r="BC704" s="96"/>
    </row>
    <row r="705" spans="1:55" ht="15.75" customHeight="1" x14ac:dyDescent="0.2">
      <c r="A705" s="89"/>
      <c r="B705" s="89"/>
      <c r="C705" s="89"/>
      <c r="D705" s="89"/>
      <c r="E705" s="89"/>
      <c r="AU705" s="96"/>
      <c r="AV705" s="96"/>
      <c r="AW705" s="96"/>
      <c r="AX705" s="96"/>
      <c r="AY705" s="96"/>
      <c r="AZ705" s="96"/>
      <c r="BA705" s="96"/>
      <c r="BB705" s="96"/>
      <c r="BC705" s="96"/>
    </row>
    <row r="706" spans="1:55" ht="15.75" customHeight="1" x14ac:dyDescent="0.2">
      <c r="A706" s="89"/>
      <c r="B706" s="89"/>
      <c r="C706" s="89"/>
      <c r="D706" s="89"/>
      <c r="E706" s="89"/>
      <c r="AU706" s="96"/>
      <c r="AV706" s="96"/>
      <c r="AW706" s="96"/>
      <c r="AX706" s="96"/>
      <c r="AY706" s="96"/>
      <c r="AZ706" s="96"/>
      <c r="BA706" s="96"/>
      <c r="BB706" s="96"/>
      <c r="BC706" s="96"/>
    </row>
    <row r="707" spans="1:55" ht="15.75" customHeight="1" x14ac:dyDescent="0.2">
      <c r="A707" s="89"/>
      <c r="B707" s="89"/>
      <c r="C707" s="89"/>
      <c r="D707" s="89"/>
      <c r="E707" s="89"/>
      <c r="AU707" s="96"/>
      <c r="AV707" s="96"/>
      <c r="AW707" s="96"/>
      <c r="AX707" s="96"/>
      <c r="AY707" s="96"/>
      <c r="AZ707" s="96"/>
      <c r="BA707" s="96"/>
      <c r="BB707" s="96"/>
      <c r="BC707" s="96"/>
    </row>
    <row r="708" spans="1:55" ht="15.75" customHeight="1" x14ac:dyDescent="0.2">
      <c r="A708" s="89"/>
      <c r="B708" s="89"/>
      <c r="C708" s="89"/>
      <c r="D708" s="89"/>
      <c r="E708" s="89"/>
      <c r="AU708" s="96"/>
      <c r="AV708" s="96"/>
      <c r="AW708" s="96"/>
      <c r="AX708" s="96"/>
      <c r="AY708" s="96"/>
      <c r="AZ708" s="96"/>
      <c r="BA708" s="96"/>
      <c r="BB708" s="96"/>
      <c r="BC708" s="96"/>
    </row>
    <row r="709" spans="1:55" ht="15.75" customHeight="1" x14ac:dyDescent="0.2">
      <c r="A709" s="89"/>
      <c r="B709" s="89"/>
      <c r="C709" s="89"/>
      <c r="D709" s="89"/>
      <c r="E709" s="89"/>
      <c r="AU709" s="96"/>
      <c r="AV709" s="96"/>
      <c r="AW709" s="96"/>
      <c r="AX709" s="96"/>
      <c r="AY709" s="96"/>
      <c r="AZ709" s="96"/>
      <c r="BA709" s="96"/>
      <c r="BB709" s="96"/>
      <c r="BC709" s="96"/>
    </row>
    <row r="710" spans="1:55" ht="15.75" customHeight="1" x14ac:dyDescent="0.2">
      <c r="A710" s="89"/>
      <c r="B710" s="89"/>
      <c r="C710" s="89"/>
      <c r="D710" s="89"/>
      <c r="E710" s="89"/>
      <c r="AU710" s="96"/>
      <c r="AV710" s="96"/>
      <c r="AW710" s="96"/>
      <c r="AX710" s="96"/>
      <c r="AY710" s="96"/>
      <c r="AZ710" s="96"/>
      <c r="BA710" s="96"/>
      <c r="BB710" s="96"/>
      <c r="BC710" s="96"/>
    </row>
    <row r="711" spans="1:55" ht="15.75" customHeight="1" x14ac:dyDescent="0.2">
      <c r="A711" s="89"/>
      <c r="B711" s="89"/>
      <c r="C711" s="89"/>
      <c r="D711" s="89"/>
      <c r="E711" s="89"/>
      <c r="AU711" s="96"/>
      <c r="AV711" s="96"/>
      <c r="AW711" s="96"/>
      <c r="AX711" s="96"/>
      <c r="AY711" s="96"/>
      <c r="AZ711" s="96"/>
      <c r="BA711" s="96"/>
      <c r="BB711" s="96"/>
      <c r="BC711" s="96"/>
    </row>
    <row r="712" spans="1:55" ht="15.75" customHeight="1" x14ac:dyDescent="0.2">
      <c r="A712" s="89"/>
      <c r="B712" s="89"/>
      <c r="C712" s="89"/>
      <c r="D712" s="89"/>
      <c r="E712" s="89"/>
      <c r="AU712" s="96"/>
      <c r="AV712" s="96"/>
      <c r="AW712" s="96"/>
      <c r="AX712" s="96"/>
      <c r="AY712" s="96"/>
      <c r="AZ712" s="96"/>
      <c r="BA712" s="96"/>
      <c r="BB712" s="96"/>
      <c r="BC712" s="96"/>
    </row>
    <row r="713" spans="1:55" ht="15.75" customHeight="1" x14ac:dyDescent="0.2">
      <c r="A713" s="89"/>
      <c r="B713" s="89"/>
      <c r="C713" s="89"/>
      <c r="D713" s="89"/>
      <c r="E713" s="89"/>
      <c r="AU713" s="96"/>
      <c r="AV713" s="96"/>
      <c r="AW713" s="96"/>
      <c r="AX713" s="96"/>
      <c r="AY713" s="96"/>
      <c r="AZ713" s="96"/>
      <c r="BA713" s="96"/>
      <c r="BB713" s="96"/>
      <c r="BC713" s="96"/>
    </row>
    <row r="714" spans="1:55" ht="15.75" customHeight="1" x14ac:dyDescent="0.2">
      <c r="A714" s="89"/>
      <c r="B714" s="89"/>
      <c r="C714" s="89"/>
      <c r="D714" s="89"/>
      <c r="E714" s="89"/>
      <c r="AU714" s="96"/>
      <c r="AV714" s="96"/>
      <c r="AW714" s="96"/>
      <c r="AX714" s="96"/>
      <c r="AY714" s="96"/>
      <c r="AZ714" s="96"/>
      <c r="BA714" s="96"/>
      <c r="BB714" s="96"/>
      <c r="BC714" s="96"/>
    </row>
    <row r="715" spans="1:55" ht="15.75" customHeight="1" x14ac:dyDescent="0.2">
      <c r="A715" s="89"/>
      <c r="B715" s="89"/>
      <c r="C715" s="89"/>
      <c r="D715" s="89"/>
      <c r="E715" s="89"/>
      <c r="AU715" s="96"/>
      <c r="AV715" s="96"/>
      <c r="AW715" s="96"/>
      <c r="AX715" s="96"/>
      <c r="AY715" s="96"/>
      <c r="AZ715" s="96"/>
      <c r="BA715" s="96"/>
      <c r="BB715" s="96"/>
      <c r="BC715" s="96"/>
    </row>
    <row r="716" spans="1:55" ht="15.75" customHeight="1" x14ac:dyDescent="0.2">
      <c r="A716" s="89"/>
      <c r="B716" s="89"/>
      <c r="C716" s="89"/>
      <c r="D716" s="89"/>
      <c r="E716" s="89"/>
      <c r="AU716" s="96"/>
      <c r="AV716" s="96"/>
      <c r="AW716" s="96"/>
      <c r="AX716" s="96"/>
      <c r="AY716" s="96"/>
      <c r="AZ716" s="96"/>
      <c r="BA716" s="96"/>
      <c r="BB716" s="96"/>
      <c r="BC716" s="96"/>
    </row>
    <row r="717" spans="1:55" ht="15.75" customHeight="1" x14ac:dyDescent="0.2">
      <c r="A717" s="89"/>
      <c r="B717" s="89"/>
      <c r="C717" s="89"/>
      <c r="D717" s="89"/>
      <c r="E717" s="89"/>
      <c r="AU717" s="96"/>
      <c r="AV717" s="96"/>
      <c r="AW717" s="96"/>
      <c r="AX717" s="96"/>
      <c r="AY717" s="96"/>
      <c r="AZ717" s="96"/>
      <c r="BA717" s="96"/>
      <c r="BB717" s="96"/>
      <c r="BC717" s="96"/>
    </row>
    <row r="718" spans="1:55" ht="15.75" customHeight="1" x14ac:dyDescent="0.2">
      <c r="A718" s="89"/>
      <c r="B718" s="89"/>
      <c r="C718" s="89"/>
      <c r="D718" s="89"/>
      <c r="E718" s="89"/>
      <c r="AU718" s="96"/>
      <c r="AV718" s="96"/>
      <c r="AW718" s="96"/>
      <c r="AX718" s="96"/>
      <c r="AY718" s="96"/>
      <c r="AZ718" s="96"/>
      <c r="BA718" s="96"/>
      <c r="BB718" s="96"/>
      <c r="BC718" s="96"/>
    </row>
    <row r="719" spans="1:55" ht="15.75" customHeight="1" x14ac:dyDescent="0.2">
      <c r="A719" s="89"/>
      <c r="B719" s="89"/>
      <c r="C719" s="89"/>
      <c r="D719" s="89"/>
      <c r="E719" s="89"/>
      <c r="AU719" s="96"/>
      <c r="AV719" s="96"/>
      <c r="AW719" s="96"/>
      <c r="AX719" s="96"/>
      <c r="AY719" s="96"/>
      <c r="AZ719" s="96"/>
      <c r="BA719" s="96"/>
      <c r="BB719" s="96"/>
      <c r="BC719" s="96"/>
    </row>
    <row r="720" spans="1:55" ht="15.75" customHeight="1" x14ac:dyDescent="0.2">
      <c r="A720" s="89"/>
      <c r="B720" s="89"/>
      <c r="C720" s="89"/>
      <c r="D720" s="89"/>
      <c r="E720" s="89"/>
      <c r="AU720" s="96"/>
      <c r="AV720" s="96"/>
      <c r="AW720" s="96"/>
      <c r="AX720" s="96"/>
      <c r="AY720" s="96"/>
      <c r="AZ720" s="96"/>
      <c r="BA720" s="96"/>
      <c r="BB720" s="96"/>
      <c r="BC720" s="96"/>
    </row>
    <row r="721" spans="1:55" ht="15.75" customHeight="1" x14ac:dyDescent="0.2">
      <c r="A721" s="89"/>
      <c r="B721" s="89"/>
      <c r="C721" s="89"/>
      <c r="D721" s="89"/>
      <c r="E721" s="89"/>
      <c r="AU721" s="96"/>
      <c r="AV721" s="96"/>
      <c r="AW721" s="96"/>
      <c r="AX721" s="96"/>
      <c r="AY721" s="96"/>
      <c r="AZ721" s="96"/>
      <c r="BA721" s="96"/>
      <c r="BB721" s="96"/>
      <c r="BC721" s="96"/>
    </row>
    <row r="722" spans="1:55" ht="15.75" customHeight="1" x14ac:dyDescent="0.2">
      <c r="A722" s="89"/>
      <c r="B722" s="89"/>
      <c r="C722" s="89"/>
      <c r="D722" s="89"/>
      <c r="E722" s="89"/>
      <c r="AU722" s="96"/>
      <c r="AV722" s="96"/>
      <c r="AW722" s="96"/>
      <c r="AX722" s="96"/>
      <c r="AY722" s="96"/>
      <c r="AZ722" s="96"/>
      <c r="BA722" s="96"/>
      <c r="BB722" s="96"/>
      <c r="BC722" s="96"/>
    </row>
    <row r="723" spans="1:55" ht="15.75" customHeight="1" x14ac:dyDescent="0.2">
      <c r="A723" s="89"/>
      <c r="B723" s="89"/>
      <c r="C723" s="89"/>
      <c r="D723" s="89"/>
      <c r="E723" s="89"/>
      <c r="AU723" s="96"/>
      <c r="AV723" s="96"/>
      <c r="AW723" s="96"/>
      <c r="AX723" s="96"/>
      <c r="AY723" s="96"/>
      <c r="AZ723" s="96"/>
      <c r="BA723" s="96"/>
      <c r="BB723" s="96"/>
      <c r="BC723" s="96"/>
    </row>
    <row r="724" spans="1:55" ht="15.75" customHeight="1" x14ac:dyDescent="0.2">
      <c r="A724" s="89"/>
      <c r="B724" s="89"/>
      <c r="C724" s="89"/>
      <c r="D724" s="89"/>
      <c r="E724" s="89"/>
      <c r="AU724" s="96"/>
      <c r="AV724" s="96"/>
      <c r="AW724" s="96"/>
      <c r="AX724" s="96"/>
      <c r="AY724" s="96"/>
      <c r="AZ724" s="96"/>
      <c r="BA724" s="96"/>
      <c r="BB724" s="96"/>
      <c r="BC724" s="96"/>
    </row>
    <row r="725" spans="1:55" ht="15.75" customHeight="1" x14ac:dyDescent="0.2">
      <c r="A725" s="89"/>
      <c r="B725" s="89"/>
      <c r="C725" s="89"/>
      <c r="D725" s="89"/>
      <c r="E725" s="89"/>
      <c r="AU725" s="96"/>
      <c r="AV725" s="96"/>
      <c r="AW725" s="96"/>
      <c r="AX725" s="96"/>
      <c r="AY725" s="96"/>
      <c r="AZ725" s="96"/>
      <c r="BA725" s="96"/>
      <c r="BB725" s="96"/>
      <c r="BC725" s="96"/>
    </row>
    <row r="726" spans="1:55" ht="15.75" customHeight="1" x14ac:dyDescent="0.2">
      <c r="A726" s="89"/>
      <c r="B726" s="89"/>
      <c r="C726" s="89"/>
      <c r="D726" s="89"/>
      <c r="E726" s="89"/>
      <c r="AU726" s="96"/>
      <c r="AV726" s="96"/>
      <c r="AW726" s="96"/>
      <c r="AX726" s="96"/>
      <c r="AY726" s="96"/>
      <c r="AZ726" s="96"/>
      <c r="BA726" s="96"/>
      <c r="BB726" s="96"/>
      <c r="BC726" s="96"/>
    </row>
    <row r="727" spans="1:55" ht="15.75" customHeight="1" x14ac:dyDescent="0.2">
      <c r="A727" s="89"/>
      <c r="B727" s="89"/>
      <c r="C727" s="89"/>
      <c r="D727" s="89"/>
      <c r="E727" s="89"/>
      <c r="AU727" s="96"/>
      <c r="AV727" s="96"/>
      <c r="AW727" s="96"/>
      <c r="AX727" s="96"/>
      <c r="AY727" s="96"/>
      <c r="AZ727" s="96"/>
      <c r="BA727" s="96"/>
      <c r="BB727" s="96"/>
      <c r="BC727" s="96"/>
    </row>
    <row r="728" spans="1:55" ht="15.75" customHeight="1" x14ac:dyDescent="0.2">
      <c r="A728" s="89"/>
      <c r="B728" s="89"/>
      <c r="C728" s="89"/>
      <c r="D728" s="89"/>
      <c r="E728" s="89"/>
      <c r="AU728" s="96"/>
      <c r="AV728" s="96"/>
      <c r="AW728" s="96"/>
      <c r="AX728" s="96"/>
      <c r="AY728" s="96"/>
      <c r="AZ728" s="96"/>
      <c r="BA728" s="96"/>
      <c r="BB728" s="96"/>
      <c r="BC728" s="96"/>
    </row>
    <row r="729" spans="1:55" ht="15.75" customHeight="1" x14ac:dyDescent="0.2">
      <c r="A729" s="89"/>
      <c r="B729" s="89"/>
      <c r="C729" s="89"/>
      <c r="D729" s="89"/>
      <c r="E729" s="89"/>
      <c r="AU729" s="96"/>
      <c r="AV729" s="96"/>
      <c r="AW729" s="96"/>
      <c r="AX729" s="96"/>
      <c r="AY729" s="96"/>
      <c r="AZ729" s="96"/>
      <c r="BA729" s="96"/>
      <c r="BB729" s="96"/>
      <c r="BC729" s="96"/>
    </row>
    <row r="730" spans="1:55" ht="15.75" customHeight="1" x14ac:dyDescent="0.2">
      <c r="A730" s="89"/>
      <c r="B730" s="89"/>
      <c r="C730" s="89"/>
      <c r="D730" s="89"/>
      <c r="E730" s="89"/>
      <c r="AU730" s="96"/>
      <c r="AV730" s="96"/>
      <c r="AW730" s="96"/>
      <c r="AX730" s="96"/>
      <c r="AY730" s="96"/>
      <c r="AZ730" s="96"/>
      <c r="BA730" s="96"/>
      <c r="BB730" s="96"/>
      <c r="BC730" s="96"/>
    </row>
    <row r="731" spans="1:55" ht="15.75" customHeight="1" x14ac:dyDescent="0.2">
      <c r="A731" s="89"/>
      <c r="B731" s="89"/>
      <c r="C731" s="89"/>
      <c r="D731" s="89"/>
      <c r="E731" s="89"/>
      <c r="AU731" s="96"/>
      <c r="AV731" s="96"/>
      <c r="AW731" s="96"/>
      <c r="AX731" s="96"/>
      <c r="AY731" s="96"/>
      <c r="AZ731" s="96"/>
      <c r="BA731" s="96"/>
      <c r="BB731" s="96"/>
      <c r="BC731" s="96"/>
    </row>
    <row r="732" spans="1:55" ht="15.75" customHeight="1" x14ac:dyDescent="0.2">
      <c r="A732" s="89"/>
      <c r="B732" s="89"/>
      <c r="C732" s="89"/>
      <c r="D732" s="89"/>
      <c r="E732" s="89"/>
      <c r="AU732" s="96"/>
      <c r="AV732" s="96"/>
      <c r="AW732" s="96"/>
      <c r="AX732" s="96"/>
      <c r="AY732" s="96"/>
      <c r="AZ732" s="96"/>
      <c r="BA732" s="96"/>
      <c r="BB732" s="96"/>
      <c r="BC732" s="96"/>
    </row>
    <row r="733" spans="1:55" ht="15.75" customHeight="1" x14ac:dyDescent="0.2">
      <c r="A733" s="89"/>
      <c r="B733" s="89"/>
      <c r="C733" s="89"/>
      <c r="D733" s="89"/>
      <c r="E733" s="89"/>
      <c r="AU733" s="96"/>
      <c r="AV733" s="96"/>
      <c r="AW733" s="96"/>
      <c r="AX733" s="96"/>
      <c r="AY733" s="96"/>
      <c r="AZ733" s="96"/>
      <c r="BA733" s="96"/>
      <c r="BB733" s="96"/>
      <c r="BC733" s="96"/>
    </row>
    <row r="734" spans="1:55" ht="15.75" customHeight="1" x14ac:dyDescent="0.2">
      <c r="A734" s="89"/>
      <c r="B734" s="89"/>
      <c r="C734" s="89"/>
      <c r="D734" s="89"/>
      <c r="E734" s="89"/>
      <c r="AU734" s="96"/>
      <c r="AV734" s="96"/>
      <c r="AW734" s="96"/>
      <c r="AX734" s="96"/>
      <c r="AY734" s="96"/>
      <c r="AZ734" s="96"/>
      <c r="BA734" s="96"/>
      <c r="BB734" s="96"/>
      <c r="BC734" s="96"/>
    </row>
    <row r="735" spans="1:55" ht="15.75" customHeight="1" x14ac:dyDescent="0.2">
      <c r="A735" s="89"/>
      <c r="B735" s="89"/>
      <c r="C735" s="89"/>
      <c r="D735" s="89"/>
      <c r="E735" s="89"/>
      <c r="AU735" s="96"/>
      <c r="AV735" s="96"/>
      <c r="AW735" s="96"/>
      <c r="AX735" s="96"/>
      <c r="AY735" s="96"/>
      <c r="AZ735" s="96"/>
      <c r="BA735" s="96"/>
      <c r="BB735" s="96"/>
      <c r="BC735" s="96"/>
    </row>
    <row r="736" spans="1:55" ht="15.75" customHeight="1" x14ac:dyDescent="0.2">
      <c r="A736" s="89"/>
      <c r="B736" s="89"/>
      <c r="C736" s="89"/>
      <c r="D736" s="89"/>
      <c r="E736" s="89"/>
      <c r="AU736" s="96"/>
      <c r="AV736" s="96"/>
      <c r="AW736" s="96"/>
      <c r="AX736" s="96"/>
      <c r="AY736" s="96"/>
      <c r="AZ736" s="96"/>
      <c r="BA736" s="96"/>
      <c r="BB736" s="96"/>
      <c r="BC736" s="96"/>
    </row>
    <row r="737" spans="1:55" ht="15.75" customHeight="1" x14ac:dyDescent="0.2">
      <c r="A737" s="89"/>
      <c r="B737" s="89"/>
      <c r="C737" s="89"/>
      <c r="D737" s="89"/>
      <c r="E737" s="89"/>
      <c r="AU737" s="96"/>
      <c r="AV737" s="96"/>
      <c r="AW737" s="96"/>
      <c r="AX737" s="96"/>
      <c r="AY737" s="96"/>
      <c r="AZ737" s="96"/>
      <c r="BA737" s="96"/>
      <c r="BB737" s="96"/>
      <c r="BC737" s="96"/>
    </row>
    <row r="738" spans="1:55" ht="15.75" customHeight="1" x14ac:dyDescent="0.2">
      <c r="A738" s="89"/>
      <c r="B738" s="89"/>
      <c r="C738" s="89"/>
      <c r="D738" s="89"/>
      <c r="E738" s="89"/>
      <c r="AU738" s="96"/>
      <c r="AV738" s="96"/>
      <c r="AW738" s="96"/>
      <c r="AX738" s="96"/>
      <c r="AY738" s="96"/>
      <c r="AZ738" s="96"/>
      <c r="BA738" s="96"/>
      <c r="BB738" s="96"/>
      <c r="BC738" s="96"/>
    </row>
    <row r="739" spans="1:55" ht="15.75" customHeight="1" x14ac:dyDescent="0.2">
      <c r="A739" s="89"/>
      <c r="B739" s="89"/>
      <c r="C739" s="89"/>
      <c r="D739" s="89"/>
      <c r="E739" s="89"/>
      <c r="AU739" s="96"/>
      <c r="AV739" s="96"/>
      <c r="AW739" s="96"/>
      <c r="AX739" s="96"/>
      <c r="AY739" s="96"/>
      <c r="AZ739" s="96"/>
      <c r="BA739" s="96"/>
      <c r="BB739" s="96"/>
      <c r="BC739" s="96"/>
    </row>
    <row r="740" spans="1:55" ht="15.75" customHeight="1" x14ac:dyDescent="0.2">
      <c r="A740" s="89"/>
      <c r="B740" s="89"/>
      <c r="C740" s="89"/>
      <c r="D740" s="89"/>
      <c r="E740" s="89"/>
      <c r="AU740" s="96"/>
      <c r="AV740" s="96"/>
      <c r="AW740" s="96"/>
      <c r="AX740" s="96"/>
      <c r="AY740" s="96"/>
      <c r="AZ740" s="96"/>
      <c r="BA740" s="96"/>
      <c r="BB740" s="96"/>
      <c r="BC740" s="96"/>
    </row>
    <row r="741" spans="1:55" ht="15.75" customHeight="1" x14ac:dyDescent="0.2">
      <c r="A741" s="89"/>
      <c r="B741" s="89"/>
      <c r="C741" s="89"/>
      <c r="D741" s="89"/>
      <c r="E741" s="89"/>
      <c r="AU741" s="96"/>
      <c r="AV741" s="96"/>
      <c r="AW741" s="96"/>
      <c r="AX741" s="96"/>
      <c r="AY741" s="96"/>
      <c r="AZ741" s="96"/>
      <c r="BA741" s="96"/>
      <c r="BB741" s="96"/>
      <c r="BC741" s="96"/>
    </row>
    <row r="742" spans="1:55" ht="15.75" customHeight="1" x14ac:dyDescent="0.2">
      <c r="A742" s="89"/>
      <c r="B742" s="89"/>
      <c r="C742" s="89"/>
      <c r="D742" s="89"/>
      <c r="E742" s="89"/>
      <c r="AU742" s="96"/>
      <c r="AV742" s="96"/>
      <c r="AW742" s="96"/>
      <c r="AX742" s="96"/>
      <c r="AY742" s="96"/>
      <c r="AZ742" s="96"/>
      <c r="BA742" s="96"/>
      <c r="BB742" s="96"/>
      <c r="BC742" s="96"/>
    </row>
    <row r="743" spans="1:55" ht="15.75" customHeight="1" x14ac:dyDescent="0.2">
      <c r="A743" s="89"/>
      <c r="B743" s="89"/>
      <c r="C743" s="89"/>
      <c r="D743" s="89"/>
      <c r="E743" s="89"/>
      <c r="AU743" s="96"/>
      <c r="AV743" s="96"/>
      <c r="AW743" s="96"/>
      <c r="AX743" s="96"/>
      <c r="AY743" s="96"/>
      <c r="AZ743" s="96"/>
      <c r="BA743" s="96"/>
      <c r="BB743" s="96"/>
      <c r="BC743" s="96"/>
    </row>
    <row r="744" spans="1:55" ht="15.75" customHeight="1" x14ac:dyDescent="0.2">
      <c r="A744" s="89"/>
      <c r="B744" s="89"/>
      <c r="C744" s="89"/>
      <c r="D744" s="89"/>
      <c r="E744" s="89"/>
      <c r="AU744" s="96"/>
      <c r="AV744" s="96"/>
      <c r="AW744" s="96"/>
      <c r="AX744" s="96"/>
      <c r="AY744" s="96"/>
      <c r="AZ744" s="96"/>
      <c r="BA744" s="96"/>
      <c r="BB744" s="96"/>
      <c r="BC744" s="96"/>
    </row>
    <row r="745" spans="1:55" ht="15.75" customHeight="1" x14ac:dyDescent="0.2">
      <c r="A745" s="89"/>
      <c r="B745" s="89"/>
      <c r="C745" s="89"/>
      <c r="D745" s="89"/>
      <c r="E745" s="89"/>
      <c r="AU745" s="96"/>
      <c r="AV745" s="96"/>
      <c r="AW745" s="96"/>
      <c r="AX745" s="96"/>
      <c r="AY745" s="96"/>
      <c r="AZ745" s="96"/>
      <c r="BA745" s="96"/>
      <c r="BB745" s="96"/>
      <c r="BC745" s="96"/>
    </row>
    <row r="746" spans="1:55" ht="15.75" customHeight="1" x14ac:dyDescent="0.2">
      <c r="A746" s="89"/>
      <c r="B746" s="89"/>
      <c r="C746" s="89"/>
      <c r="D746" s="89"/>
      <c r="E746" s="89"/>
      <c r="AU746" s="96"/>
      <c r="AV746" s="96"/>
      <c r="AW746" s="96"/>
      <c r="AX746" s="96"/>
      <c r="AY746" s="96"/>
      <c r="AZ746" s="96"/>
      <c r="BA746" s="96"/>
      <c r="BB746" s="96"/>
      <c r="BC746" s="96"/>
    </row>
    <row r="747" spans="1:55" ht="15.75" customHeight="1" x14ac:dyDescent="0.2">
      <c r="A747" s="89"/>
      <c r="B747" s="89"/>
      <c r="C747" s="89"/>
      <c r="D747" s="89"/>
      <c r="E747" s="89"/>
      <c r="AU747" s="96"/>
      <c r="AV747" s="96"/>
      <c r="AW747" s="96"/>
      <c r="AX747" s="96"/>
      <c r="AY747" s="96"/>
      <c r="AZ747" s="96"/>
      <c r="BA747" s="96"/>
      <c r="BB747" s="96"/>
      <c r="BC747" s="96"/>
    </row>
    <row r="748" spans="1:55" ht="15.75" customHeight="1" x14ac:dyDescent="0.2">
      <c r="A748" s="89"/>
      <c r="B748" s="89"/>
      <c r="C748" s="89"/>
      <c r="D748" s="89"/>
      <c r="E748" s="89"/>
      <c r="AU748" s="96"/>
      <c r="AV748" s="96"/>
      <c r="AW748" s="96"/>
      <c r="AX748" s="96"/>
      <c r="AY748" s="96"/>
      <c r="AZ748" s="96"/>
      <c r="BA748" s="96"/>
      <c r="BB748" s="96"/>
      <c r="BC748" s="96"/>
    </row>
    <row r="749" spans="1:55" ht="15.75" customHeight="1" x14ac:dyDescent="0.2">
      <c r="A749" s="89"/>
      <c r="B749" s="89"/>
      <c r="C749" s="89"/>
      <c r="D749" s="89"/>
      <c r="E749" s="89"/>
      <c r="AU749" s="96"/>
      <c r="AV749" s="96"/>
      <c r="AW749" s="96"/>
      <c r="AX749" s="96"/>
      <c r="AY749" s="96"/>
      <c r="AZ749" s="96"/>
      <c r="BA749" s="96"/>
      <c r="BB749" s="96"/>
      <c r="BC749" s="96"/>
    </row>
    <row r="750" spans="1:55" ht="15.75" customHeight="1" x14ac:dyDescent="0.2">
      <c r="A750" s="89"/>
      <c r="B750" s="89"/>
      <c r="C750" s="89"/>
      <c r="D750" s="89"/>
      <c r="E750" s="89"/>
      <c r="AU750" s="96"/>
      <c r="AV750" s="96"/>
      <c r="AW750" s="96"/>
      <c r="AX750" s="96"/>
      <c r="AY750" s="96"/>
      <c r="AZ750" s="96"/>
      <c r="BA750" s="96"/>
      <c r="BB750" s="96"/>
      <c r="BC750" s="96"/>
    </row>
    <row r="751" spans="1:55" ht="15.75" customHeight="1" x14ac:dyDescent="0.2">
      <c r="A751" s="89"/>
      <c r="B751" s="89"/>
      <c r="C751" s="89"/>
      <c r="D751" s="89"/>
      <c r="E751" s="89"/>
      <c r="AU751" s="96"/>
      <c r="AV751" s="96"/>
      <c r="AW751" s="96"/>
      <c r="AX751" s="96"/>
      <c r="AY751" s="96"/>
      <c r="AZ751" s="96"/>
      <c r="BA751" s="96"/>
      <c r="BB751" s="96"/>
      <c r="BC751" s="96"/>
    </row>
    <row r="752" spans="1:55" ht="15.75" customHeight="1" x14ac:dyDescent="0.2">
      <c r="A752" s="89"/>
      <c r="B752" s="89"/>
      <c r="C752" s="89"/>
      <c r="D752" s="89"/>
      <c r="E752" s="89"/>
      <c r="AU752" s="96"/>
      <c r="AV752" s="96"/>
      <c r="AW752" s="96"/>
      <c r="AX752" s="96"/>
      <c r="AY752" s="96"/>
      <c r="AZ752" s="96"/>
      <c r="BA752" s="96"/>
      <c r="BB752" s="96"/>
      <c r="BC752" s="96"/>
    </row>
    <row r="753" spans="1:55" ht="15.75" customHeight="1" x14ac:dyDescent="0.2">
      <c r="A753" s="89"/>
      <c r="B753" s="89"/>
      <c r="C753" s="89"/>
      <c r="D753" s="89"/>
      <c r="E753" s="89"/>
      <c r="AU753" s="96"/>
      <c r="AV753" s="96"/>
      <c r="AW753" s="96"/>
      <c r="AX753" s="96"/>
      <c r="AY753" s="96"/>
      <c r="AZ753" s="96"/>
      <c r="BA753" s="96"/>
      <c r="BB753" s="96"/>
      <c r="BC753" s="96"/>
    </row>
    <row r="754" spans="1:55" ht="15.75" customHeight="1" x14ac:dyDescent="0.2">
      <c r="A754" s="89"/>
      <c r="B754" s="89"/>
      <c r="C754" s="89"/>
      <c r="D754" s="89"/>
      <c r="E754" s="89"/>
      <c r="AU754" s="96"/>
      <c r="AV754" s="96"/>
      <c r="AW754" s="96"/>
      <c r="AX754" s="96"/>
      <c r="AY754" s="96"/>
      <c r="AZ754" s="96"/>
      <c r="BA754" s="96"/>
      <c r="BB754" s="96"/>
      <c r="BC754" s="96"/>
    </row>
    <row r="755" spans="1:55" ht="15.75" customHeight="1" x14ac:dyDescent="0.2">
      <c r="A755" s="89"/>
      <c r="B755" s="89"/>
      <c r="C755" s="89"/>
      <c r="D755" s="89"/>
      <c r="E755" s="89"/>
      <c r="AU755" s="96"/>
      <c r="AV755" s="96"/>
      <c r="AW755" s="96"/>
      <c r="AX755" s="96"/>
      <c r="AY755" s="96"/>
      <c r="AZ755" s="96"/>
      <c r="BA755" s="96"/>
      <c r="BB755" s="96"/>
      <c r="BC755" s="96"/>
    </row>
    <row r="756" spans="1:55" ht="15.75" customHeight="1" x14ac:dyDescent="0.2">
      <c r="A756" s="89"/>
      <c r="B756" s="89"/>
      <c r="C756" s="89"/>
      <c r="D756" s="89"/>
      <c r="E756" s="89"/>
      <c r="AU756" s="96"/>
      <c r="AV756" s="96"/>
      <c r="AW756" s="96"/>
      <c r="AX756" s="96"/>
      <c r="AY756" s="96"/>
      <c r="AZ756" s="96"/>
      <c r="BA756" s="96"/>
      <c r="BB756" s="96"/>
      <c r="BC756" s="96"/>
    </row>
    <row r="757" spans="1:55" ht="15.75" customHeight="1" x14ac:dyDescent="0.2">
      <c r="A757" s="89"/>
      <c r="B757" s="89"/>
      <c r="C757" s="89"/>
      <c r="D757" s="89"/>
      <c r="E757" s="89"/>
      <c r="AU757" s="96"/>
      <c r="AV757" s="96"/>
      <c r="AW757" s="96"/>
      <c r="AX757" s="96"/>
      <c r="AY757" s="96"/>
      <c r="AZ757" s="96"/>
      <c r="BA757" s="96"/>
      <c r="BB757" s="96"/>
      <c r="BC757" s="96"/>
    </row>
    <row r="758" spans="1:55" ht="15.75" customHeight="1" x14ac:dyDescent="0.2">
      <c r="A758" s="89"/>
      <c r="B758" s="89"/>
      <c r="C758" s="89"/>
      <c r="D758" s="89"/>
      <c r="E758" s="89"/>
      <c r="AU758" s="96"/>
      <c r="AV758" s="96"/>
      <c r="AW758" s="96"/>
      <c r="AX758" s="96"/>
      <c r="AY758" s="96"/>
      <c r="AZ758" s="96"/>
      <c r="BA758" s="96"/>
      <c r="BB758" s="96"/>
      <c r="BC758" s="96"/>
    </row>
    <row r="759" spans="1:55" ht="15.75" customHeight="1" x14ac:dyDescent="0.2">
      <c r="A759" s="89"/>
      <c r="B759" s="89"/>
      <c r="C759" s="89"/>
      <c r="D759" s="89"/>
      <c r="E759" s="89"/>
      <c r="AU759" s="96"/>
      <c r="AV759" s="96"/>
      <c r="AW759" s="96"/>
      <c r="AX759" s="96"/>
      <c r="AY759" s="96"/>
      <c r="AZ759" s="96"/>
      <c r="BA759" s="96"/>
      <c r="BB759" s="96"/>
      <c r="BC759" s="96"/>
    </row>
    <row r="760" spans="1:55" ht="15.75" customHeight="1" x14ac:dyDescent="0.2">
      <c r="A760" s="89"/>
      <c r="B760" s="89"/>
      <c r="C760" s="89"/>
      <c r="D760" s="89"/>
      <c r="E760" s="89"/>
      <c r="AU760" s="96"/>
      <c r="AV760" s="96"/>
      <c r="AW760" s="96"/>
      <c r="AX760" s="96"/>
      <c r="AY760" s="96"/>
      <c r="AZ760" s="96"/>
      <c r="BA760" s="96"/>
      <c r="BB760" s="96"/>
      <c r="BC760" s="96"/>
    </row>
    <row r="761" spans="1:55" ht="15.75" customHeight="1" x14ac:dyDescent="0.2">
      <c r="A761" s="89"/>
      <c r="B761" s="89"/>
      <c r="C761" s="89"/>
      <c r="D761" s="89"/>
      <c r="E761" s="89"/>
      <c r="AU761" s="96"/>
      <c r="AV761" s="96"/>
      <c r="AW761" s="96"/>
      <c r="AX761" s="96"/>
      <c r="AY761" s="96"/>
      <c r="AZ761" s="96"/>
      <c r="BA761" s="96"/>
      <c r="BB761" s="96"/>
      <c r="BC761" s="96"/>
    </row>
    <row r="762" spans="1:55" ht="15.75" customHeight="1" x14ac:dyDescent="0.2">
      <c r="A762" s="89"/>
      <c r="B762" s="89"/>
      <c r="C762" s="89"/>
      <c r="D762" s="89"/>
      <c r="E762" s="89"/>
      <c r="AU762" s="96"/>
      <c r="AV762" s="96"/>
      <c r="AW762" s="96"/>
      <c r="AX762" s="96"/>
      <c r="AY762" s="96"/>
      <c r="AZ762" s="96"/>
      <c r="BA762" s="96"/>
      <c r="BB762" s="96"/>
      <c r="BC762" s="96"/>
    </row>
    <row r="763" spans="1:55" ht="15.75" customHeight="1" x14ac:dyDescent="0.2">
      <c r="A763" s="89"/>
      <c r="B763" s="89"/>
      <c r="C763" s="89"/>
      <c r="D763" s="89"/>
      <c r="E763" s="89"/>
      <c r="AU763" s="96"/>
      <c r="AV763" s="96"/>
      <c r="AW763" s="96"/>
      <c r="AX763" s="96"/>
      <c r="AY763" s="96"/>
      <c r="AZ763" s="96"/>
      <c r="BA763" s="96"/>
      <c r="BB763" s="96"/>
      <c r="BC763" s="96"/>
    </row>
    <row r="764" spans="1:55" ht="15.75" customHeight="1" x14ac:dyDescent="0.2">
      <c r="A764" s="89"/>
      <c r="B764" s="89"/>
      <c r="C764" s="89"/>
      <c r="D764" s="89"/>
      <c r="E764" s="89"/>
      <c r="AU764" s="96"/>
      <c r="AV764" s="96"/>
      <c r="AW764" s="96"/>
      <c r="AX764" s="96"/>
      <c r="AY764" s="96"/>
      <c r="AZ764" s="96"/>
      <c r="BA764" s="96"/>
      <c r="BB764" s="96"/>
      <c r="BC764" s="96"/>
    </row>
    <row r="765" spans="1:55" ht="15.75" customHeight="1" x14ac:dyDescent="0.2">
      <c r="A765" s="89"/>
      <c r="B765" s="89"/>
      <c r="C765" s="89"/>
      <c r="D765" s="89"/>
      <c r="E765" s="89"/>
      <c r="AU765" s="96"/>
      <c r="AV765" s="96"/>
      <c r="AW765" s="96"/>
      <c r="AX765" s="96"/>
      <c r="AY765" s="96"/>
      <c r="AZ765" s="96"/>
      <c r="BA765" s="96"/>
      <c r="BB765" s="96"/>
      <c r="BC765" s="96"/>
    </row>
    <row r="766" spans="1:55" ht="15.75" customHeight="1" x14ac:dyDescent="0.2">
      <c r="A766" s="89"/>
      <c r="B766" s="89"/>
      <c r="C766" s="89"/>
      <c r="D766" s="89"/>
      <c r="E766" s="89"/>
      <c r="AU766" s="96"/>
      <c r="AV766" s="96"/>
      <c r="AW766" s="96"/>
      <c r="AX766" s="96"/>
      <c r="AY766" s="96"/>
      <c r="AZ766" s="96"/>
      <c r="BA766" s="96"/>
      <c r="BB766" s="96"/>
      <c r="BC766" s="96"/>
    </row>
    <row r="767" spans="1:55" ht="15.75" customHeight="1" x14ac:dyDescent="0.2">
      <c r="A767" s="89"/>
      <c r="B767" s="89"/>
      <c r="C767" s="89"/>
      <c r="D767" s="89"/>
      <c r="E767" s="89"/>
      <c r="AU767" s="96"/>
      <c r="AV767" s="96"/>
      <c r="AW767" s="96"/>
      <c r="AX767" s="96"/>
      <c r="AY767" s="96"/>
      <c r="AZ767" s="96"/>
      <c r="BA767" s="96"/>
      <c r="BB767" s="96"/>
      <c r="BC767" s="96"/>
    </row>
    <row r="768" spans="1:55" ht="15.75" customHeight="1" x14ac:dyDescent="0.2">
      <c r="A768" s="89"/>
      <c r="B768" s="89"/>
      <c r="C768" s="89"/>
      <c r="D768" s="89"/>
      <c r="E768" s="89"/>
      <c r="AU768" s="96"/>
      <c r="AV768" s="96"/>
      <c r="AW768" s="96"/>
      <c r="AX768" s="96"/>
      <c r="AY768" s="96"/>
      <c r="AZ768" s="96"/>
      <c r="BA768" s="96"/>
      <c r="BB768" s="96"/>
      <c r="BC768" s="96"/>
    </row>
    <row r="769" spans="1:55" ht="15.75" customHeight="1" x14ac:dyDescent="0.2">
      <c r="A769" s="89"/>
      <c r="B769" s="89"/>
      <c r="C769" s="89"/>
      <c r="D769" s="89"/>
      <c r="E769" s="89"/>
      <c r="AU769" s="96"/>
      <c r="AV769" s="96"/>
      <c r="AW769" s="96"/>
      <c r="AX769" s="96"/>
      <c r="AY769" s="96"/>
      <c r="AZ769" s="96"/>
      <c r="BA769" s="96"/>
      <c r="BB769" s="96"/>
      <c r="BC769" s="96"/>
    </row>
    <row r="770" spans="1:55" ht="15.75" customHeight="1" x14ac:dyDescent="0.2">
      <c r="A770" s="89"/>
      <c r="B770" s="89"/>
      <c r="C770" s="89"/>
      <c r="D770" s="89"/>
      <c r="E770" s="89"/>
      <c r="AU770" s="96"/>
      <c r="AV770" s="96"/>
      <c r="AW770" s="96"/>
      <c r="AX770" s="96"/>
      <c r="AY770" s="96"/>
      <c r="AZ770" s="96"/>
      <c r="BA770" s="96"/>
      <c r="BB770" s="96"/>
      <c r="BC770" s="96"/>
    </row>
    <row r="771" spans="1:55" ht="15.75" customHeight="1" x14ac:dyDescent="0.2">
      <c r="A771" s="89"/>
      <c r="B771" s="89"/>
      <c r="C771" s="89"/>
      <c r="D771" s="89"/>
      <c r="E771" s="89"/>
      <c r="AU771" s="96"/>
      <c r="AV771" s="96"/>
      <c r="AW771" s="96"/>
      <c r="AX771" s="96"/>
      <c r="AY771" s="96"/>
      <c r="AZ771" s="96"/>
      <c r="BA771" s="96"/>
      <c r="BB771" s="96"/>
      <c r="BC771" s="96"/>
    </row>
    <row r="772" spans="1:55" ht="15.75" customHeight="1" x14ac:dyDescent="0.2">
      <c r="A772" s="89"/>
      <c r="B772" s="89"/>
      <c r="C772" s="89"/>
      <c r="D772" s="89"/>
      <c r="E772" s="89"/>
      <c r="AU772" s="96"/>
      <c r="AV772" s="96"/>
      <c r="AW772" s="96"/>
      <c r="AX772" s="96"/>
      <c r="AY772" s="96"/>
      <c r="AZ772" s="96"/>
      <c r="BA772" s="96"/>
      <c r="BB772" s="96"/>
      <c r="BC772" s="96"/>
    </row>
    <row r="773" spans="1:55" ht="15.75" customHeight="1" x14ac:dyDescent="0.2">
      <c r="A773" s="89"/>
      <c r="B773" s="89"/>
      <c r="C773" s="89"/>
      <c r="D773" s="89"/>
      <c r="E773" s="89"/>
      <c r="AU773" s="96"/>
      <c r="AV773" s="96"/>
      <c r="AW773" s="96"/>
      <c r="AX773" s="96"/>
      <c r="AY773" s="96"/>
      <c r="AZ773" s="96"/>
      <c r="BA773" s="96"/>
      <c r="BB773" s="96"/>
      <c r="BC773" s="96"/>
    </row>
    <row r="774" spans="1:55" ht="15.75" customHeight="1" x14ac:dyDescent="0.2">
      <c r="A774" s="89"/>
      <c r="B774" s="89"/>
      <c r="C774" s="89"/>
      <c r="D774" s="89"/>
      <c r="E774" s="89"/>
      <c r="AU774" s="96"/>
      <c r="AV774" s="96"/>
      <c r="AW774" s="96"/>
      <c r="AX774" s="96"/>
      <c r="AY774" s="96"/>
      <c r="AZ774" s="96"/>
      <c r="BA774" s="96"/>
      <c r="BB774" s="96"/>
      <c r="BC774" s="96"/>
    </row>
    <row r="775" spans="1:55" ht="15.75" customHeight="1" x14ac:dyDescent="0.2">
      <c r="A775" s="89"/>
      <c r="B775" s="89"/>
      <c r="C775" s="89"/>
      <c r="D775" s="89"/>
      <c r="E775" s="89"/>
      <c r="AU775" s="96"/>
      <c r="AV775" s="96"/>
      <c r="AW775" s="96"/>
      <c r="AX775" s="96"/>
      <c r="AY775" s="96"/>
      <c r="AZ775" s="96"/>
      <c r="BA775" s="96"/>
      <c r="BB775" s="96"/>
      <c r="BC775" s="96"/>
    </row>
    <row r="776" spans="1:55" ht="15.75" customHeight="1" x14ac:dyDescent="0.2">
      <c r="A776" s="89"/>
      <c r="B776" s="89"/>
      <c r="C776" s="89"/>
      <c r="D776" s="89"/>
      <c r="E776" s="89"/>
      <c r="AU776" s="96"/>
      <c r="AV776" s="96"/>
      <c r="AW776" s="96"/>
      <c r="AX776" s="96"/>
      <c r="AY776" s="96"/>
      <c r="AZ776" s="96"/>
      <c r="BA776" s="96"/>
      <c r="BB776" s="96"/>
      <c r="BC776" s="96"/>
    </row>
    <row r="777" spans="1:55" ht="15.75" customHeight="1" x14ac:dyDescent="0.2">
      <c r="A777" s="89"/>
      <c r="B777" s="89"/>
      <c r="C777" s="89"/>
      <c r="D777" s="89"/>
      <c r="E777" s="89"/>
      <c r="AU777" s="96"/>
      <c r="AV777" s="96"/>
      <c r="AW777" s="96"/>
      <c r="AX777" s="96"/>
      <c r="AY777" s="96"/>
      <c r="AZ777" s="96"/>
      <c r="BA777" s="96"/>
      <c r="BB777" s="96"/>
      <c r="BC777" s="96"/>
    </row>
    <row r="778" spans="1:55" ht="15.75" customHeight="1" x14ac:dyDescent="0.2">
      <c r="A778" s="89"/>
      <c r="B778" s="89"/>
      <c r="C778" s="89"/>
      <c r="D778" s="89"/>
      <c r="E778" s="89"/>
      <c r="AU778" s="96"/>
      <c r="AV778" s="96"/>
      <c r="AW778" s="96"/>
      <c r="AX778" s="96"/>
      <c r="AY778" s="96"/>
      <c r="AZ778" s="96"/>
      <c r="BA778" s="96"/>
      <c r="BB778" s="96"/>
      <c r="BC778" s="96"/>
    </row>
    <row r="779" spans="1:55" ht="15.75" customHeight="1" x14ac:dyDescent="0.2">
      <c r="A779" s="89"/>
      <c r="B779" s="89"/>
      <c r="C779" s="89"/>
      <c r="D779" s="89"/>
      <c r="E779" s="89"/>
      <c r="AU779" s="96"/>
      <c r="AV779" s="96"/>
      <c r="AW779" s="96"/>
      <c r="AX779" s="96"/>
      <c r="AY779" s="96"/>
      <c r="AZ779" s="96"/>
      <c r="BA779" s="96"/>
      <c r="BB779" s="96"/>
      <c r="BC779" s="96"/>
    </row>
    <row r="780" spans="1:55" ht="15.75" customHeight="1" x14ac:dyDescent="0.2">
      <c r="A780" s="89"/>
      <c r="B780" s="89"/>
      <c r="C780" s="89"/>
      <c r="D780" s="89"/>
      <c r="E780" s="89"/>
      <c r="AU780" s="96"/>
      <c r="AV780" s="96"/>
      <c r="AW780" s="96"/>
      <c r="AX780" s="96"/>
      <c r="AY780" s="96"/>
      <c r="AZ780" s="96"/>
      <c r="BA780" s="96"/>
      <c r="BB780" s="96"/>
      <c r="BC780" s="96"/>
    </row>
    <row r="781" spans="1:55" ht="15.75" customHeight="1" x14ac:dyDescent="0.2">
      <c r="A781" s="89"/>
      <c r="B781" s="89"/>
      <c r="C781" s="89"/>
      <c r="D781" s="89"/>
      <c r="E781" s="89"/>
      <c r="AU781" s="96"/>
      <c r="AV781" s="96"/>
      <c r="AW781" s="96"/>
      <c r="AX781" s="96"/>
      <c r="AY781" s="96"/>
      <c r="AZ781" s="96"/>
      <c r="BA781" s="96"/>
      <c r="BB781" s="96"/>
      <c r="BC781" s="96"/>
    </row>
    <row r="782" spans="1:55" ht="15.75" customHeight="1" x14ac:dyDescent="0.2">
      <c r="A782" s="89"/>
      <c r="B782" s="89"/>
      <c r="C782" s="89"/>
      <c r="D782" s="89"/>
      <c r="E782" s="89"/>
      <c r="AU782" s="96"/>
      <c r="AV782" s="96"/>
      <c r="AW782" s="96"/>
      <c r="AX782" s="96"/>
      <c r="AY782" s="96"/>
      <c r="AZ782" s="96"/>
      <c r="BA782" s="96"/>
      <c r="BB782" s="96"/>
      <c r="BC782" s="96"/>
    </row>
    <row r="783" spans="1:55" ht="15.75" customHeight="1" x14ac:dyDescent="0.2">
      <c r="A783" s="89"/>
      <c r="B783" s="89"/>
      <c r="C783" s="89"/>
      <c r="D783" s="89"/>
      <c r="E783" s="89"/>
      <c r="AU783" s="96"/>
      <c r="AV783" s="96"/>
      <c r="AW783" s="96"/>
      <c r="AX783" s="96"/>
      <c r="AY783" s="96"/>
      <c r="AZ783" s="96"/>
      <c r="BA783" s="96"/>
      <c r="BB783" s="96"/>
      <c r="BC783" s="96"/>
    </row>
    <row r="784" spans="1:55" ht="15.75" customHeight="1" x14ac:dyDescent="0.2">
      <c r="A784" s="89"/>
      <c r="B784" s="89"/>
      <c r="C784" s="89"/>
      <c r="D784" s="89"/>
      <c r="E784" s="89"/>
      <c r="AU784" s="96"/>
      <c r="AV784" s="96"/>
      <c r="AW784" s="96"/>
      <c r="AX784" s="96"/>
      <c r="AY784" s="96"/>
      <c r="AZ784" s="96"/>
      <c r="BA784" s="96"/>
      <c r="BB784" s="96"/>
      <c r="BC784" s="96"/>
    </row>
    <row r="785" spans="1:55" ht="15.75" customHeight="1" x14ac:dyDescent="0.2">
      <c r="A785" s="89"/>
      <c r="B785" s="89"/>
      <c r="C785" s="89"/>
      <c r="D785" s="89"/>
      <c r="E785" s="89"/>
      <c r="AU785" s="96"/>
      <c r="AV785" s="96"/>
      <c r="AW785" s="96"/>
      <c r="AX785" s="96"/>
      <c r="AY785" s="96"/>
      <c r="AZ785" s="96"/>
      <c r="BA785" s="96"/>
      <c r="BB785" s="96"/>
      <c r="BC785" s="96"/>
    </row>
    <row r="786" spans="1:55" ht="15.75" customHeight="1" x14ac:dyDescent="0.2">
      <c r="A786" s="89"/>
      <c r="B786" s="89"/>
      <c r="C786" s="89"/>
      <c r="D786" s="89"/>
      <c r="E786" s="89"/>
      <c r="AU786" s="96"/>
      <c r="AV786" s="96"/>
      <c r="AW786" s="96"/>
      <c r="AX786" s="96"/>
      <c r="AY786" s="96"/>
      <c r="AZ786" s="96"/>
      <c r="BA786" s="96"/>
      <c r="BB786" s="96"/>
      <c r="BC786" s="96"/>
    </row>
    <row r="787" spans="1:55" ht="15.75" customHeight="1" x14ac:dyDescent="0.2">
      <c r="A787" s="89"/>
      <c r="B787" s="89"/>
      <c r="C787" s="89"/>
      <c r="D787" s="89"/>
      <c r="E787" s="89"/>
      <c r="AU787" s="96"/>
      <c r="AV787" s="96"/>
      <c r="AW787" s="96"/>
      <c r="AX787" s="96"/>
      <c r="AY787" s="96"/>
      <c r="AZ787" s="96"/>
      <c r="BA787" s="96"/>
      <c r="BB787" s="96"/>
      <c r="BC787" s="96"/>
    </row>
    <row r="788" spans="1:55" ht="15.75" customHeight="1" x14ac:dyDescent="0.2">
      <c r="A788" s="89"/>
      <c r="B788" s="89"/>
      <c r="C788" s="89"/>
      <c r="D788" s="89"/>
      <c r="E788" s="89"/>
      <c r="AU788" s="96"/>
      <c r="AV788" s="96"/>
      <c r="AW788" s="96"/>
      <c r="AX788" s="96"/>
      <c r="AY788" s="96"/>
      <c r="AZ788" s="96"/>
      <c r="BA788" s="96"/>
      <c r="BB788" s="96"/>
      <c r="BC788" s="96"/>
    </row>
    <row r="789" spans="1:55" ht="15.75" customHeight="1" x14ac:dyDescent="0.2">
      <c r="A789" s="89"/>
      <c r="B789" s="89"/>
      <c r="C789" s="89"/>
      <c r="D789" s="89"/>
      <c r="E789" s="89"/>
      <c r="AU789" s="96"/>
      <c r="AV789" s="96"/>
      <c r="AW789" s="96"/>
      <c r="AX789" s="96"/>
      <c r="AY789" s="96"/>
      <c r="AZ789" s="96"/>
      <c r="BA789" s="96"/>
      <c r="BB789" s="96"/>
      <c r="BC789" s="96"/>
    </row>
    <row r="790" spans="1:55" ht="15.75" customHeight="1" x14ac:dyDescent="0.2">
      <c r="A790" s="89"/>
      <c r="B790" s="89"/>
      <c r="C790" s="89"/>
      <c r="D790" s="89"/>
      <c r="E790" s="89"/>
      <c r="AU790" s="96"/>
      <c r="AV790" s="96"/>
      <c r="AW790" s="96"/>
      <c r="AX790" s="96"/>
      <c r="AY790" s="96"/>
      <c r="AZ790" s="96"/>
      <c r="BA790" s="96"/>
      <c r="BB790" s="96"/>
      <c r="BC790" s="96"/>
    </row>
    <row r="791" spans="1:55" ht="15.75" customHeight="1" x14ac:dyDescent="0.2">
      <c r="A791" s="89"/>
      <c r="B791" s="89"/>
      <c r="C791" s="89"/>
      <c r="D791" s="89"/>
      <c r="E791" s="89"/>
      <c r="AU791" s="96"/>
      <c r="AV791" s="96"/>
      <c r="AW791" s="96"/>
      <c r="AX791" s="96"/>
      <c r="AY791" s="96"/>
      <c r="AZ791" s="96"/>
      <c r="BA791" s="96"/>
      <c r="BB791" s="96"/>
      <c r="BC791" s="96"/>
    </row>
    <row r="792" spans="1:55" ht="15.75" customHeight="1" x14ac:dyDescent="0.2">
      <c r="A792" s="89"/>
      <c r="B792" s="89"/>
      <c r="C792" s="89"/>
      <c r="D792" s="89"/>
      <c r="E792" s="89"/>
      <c r="AU792" s="96"/>
      <c r="AV792" s="96"/>
      <c r="AW792" s="96"/>
      <c r="AX792" s="96"/>
      <c r="AY792" s="96"/>
      <c r="AZ792" s="96"/>
      <c r="BA792" s="96"/>
      <c r="BB792" s="96"/>
      <c r="BC792" s="96"/>
    </row>
    <row r="793" spans="1:55" ht="15.75" customHeight="1" x14ac:dyDescent="0.2">
      <c r="A793" s="89"/>
      <c r="B793" s="89"/>
      <c r="C793" s="89"/>
      <c r="D793" s="89"/>
      <c r="E793" s="89"/>
      <c r="AU793" s="96"/>
      <c r="AV793" s="96"/>
      <c r="AW793" s="96"/>
      <c r="AX793" s="96"/>
      <c r="AY793" s="96"/>
      <c r="AZ793" s="96"/>
      <c r="BA793" s="96"/>
      <c r="BB793" s="96"/>
      <c r="BC793" s="96"/>
    </row>
    <row r="794" spans="1:55" ht="15.75" customHeight="1" x14ac:dyDescent="0.2">
      <c r="A794" s="89"/>
      <c r="B794" s="89"/>
      <c r="C794" s="89"/>
      <c r="D794" s="89"/>
      <c r="E794" s="89"/>
      <c r="AU794" s="96"/>
      <c r="AV794" s="96"/>
      <c r="AW794" s="96"/>
      <c r="AX794" s="96"/>
      <c r="AY794" s="96"/>
      <c r="AZ794" s="96"/>
      <c r="BA794" s="96"/>
      <c r="BB794" s="96"/>
      <c r="BC794" s="96"/>
    </row>
    <row r="795" spans="1:55" ht="15.75" customHeight="1" x14ac:dyDescent="0.2">
      <c r="A795" s="89"/>
      <c r="B795" s="89"/>
      <c r="C795" s="89"/>
      <c r="D795" s="89"/>
      <c r="E795" s="89"/>
      <c r="AU795" s="96"/>
      <c r="AV795" s="96"/>
      <c r="AW795" s="96"/>
      <c r="AX795" s="96"/>
      <c r="AY795" s="96"/>
      <c r="AZ795" s="96"/>
      <c r="BA795" s="96"/>
      <c r="BB795" s="96"/>
      <c r="BC795" s="96"/>
    </row>
    <row r="796" spans="1:55" ht="15.75" customHeight="1" x14ac:dyDescent="0.2">
      <c r="A796" s="89"/>
      <c r="B796" s="89"/>
      <c r="C796" s="89"/>
      <c r="D796" s="89"/>
      <c r="E796" s="89"/>
      <c r="AU796" s="96"/>
      <c r="AV796" s="96"/>
      <c r="AW796" s="96"/>
      <c r="AX796" s="96"/>
      <c r="AY796" s="96"/>
      <c r="AZ796" s="96"/>
      <c r="BA796" s="96"/>
      <c r="BB796" s="96"/>
      <c r="BC796" s="96"/>
    </row>
    <row r="797" spans="1:55" ht="15.75" customHeight="1" x14ac:dyDescent="0.2">
      <c r="A797" s="89"/>
      <c r="B797" s="89"/>
      <c r="C797" s="89"/>
      <c r="D797" s="89"/>
      <c r="E797" s="89"/>
      <c r="AU797" s="96"/>
      <c r="AV797" s="96"/>
      <c r="AW797" s="96"/>
      <c r="AX797" s="96"/>
      <c r="AY797" s="96"/>
      <c r="AZ797" s="96"/>
      <c r="BA797" s="96"/>
      <c r="BB797" s="96"/>
      <c r="BC797" s="96"/>
    </row>
    <row r="798" spans="1:55" ht="15.75" customHeight="1" x14ac:dyDescent="0.2">
      <c r="A798" s="89"/>
      <c r="B798" s="89"/>
      <c r="C798" s="89"/>
      <c r="D798" s="89"/>
      <c r="E798" s="89"/>
      <c r="AU798" s="96"/>
      <c r="AV798" s="96"/>
      <c r="AW798" s="96"/>
      <c r="AX798" s="96"/>
      <c r="AY798" s="96"/>
      <c r="AZ798" s="96"/>
      <c r="BA798" s="96"/>
      <c r="BB798" s="96"/>
      <c r="BC798" s="96"/>
    </row>
    <row r="799" spans="1:55" ht="15.75" customHeight="1" x14ac:dyDescent="0.2">
      <c r="A799" s="89"/>
      <c r="B799" s="89"/>
      <c r="C799" s="89"/>
      <c r="D799" s="89"/>
      <c r="E799" s="89"/>
      <c r="AU799" s="96"/>
      <c r="AV799" s="96"/>
      <c r="AW799" s="96"/>
      <c r="AX799" s="96"/>
      <c r="AY799" s="96"/>
      <c r="AZ799" s="96"/>
      <c r="BA799" s="96"/>
      <c r="BB799" s="96"/>
      <c r="BC799" s="96"/>
    </row>
    <row r="800" spans="1:55" ht="15.75" customHeight="1" x14ac:dyDescent="0.2">
      <c r="A800" s="89"/>
      <c r="B800" s="89"/>
      <c r="C800" s="89"/>
      <c r="D800" s="89"/>
      <c r="E800" s="89"/>
      <c r="AU800" s="96"/>
      <c r="AV800" s="96"/>
      <c r="AW800" s="96"/>
      <c r="AX800" s="96"/>
      <c r="AY800" s="96"/>
      <c r="AZ800" s="96"/>
      <c r="BA800" s="96"/>
      <c r="BB800" s="96"/>
      <c r="BC800" s="96"/>
    </row>
    <row r="801" spans="1:55" ht="15.75" customHeight="1" x14ac:dyDescent="0.2">
      <c r="A801" s="89"/>
      <c r="B801" s="89"/>
      <c r="C801" s="89"/>
      <c r="D801" s="89"/>
      <c r="E801" s="89"/>
      <c r="AU801" s="96"/>
      <c r="AV801" s="96"/>
      <c r="AW801" s="96"/>
      <c r="AX801" s="96"/>
      <c r="AY801" s="96"/>
      <c r="AZ801" s="96"/>
      <c r="BA801" s="96"/>
      <c r="BB801" s="96"/>
      <c r="BC801" s="96"/>
    </row>
    <row r="802" spans="1:55" ht="15.75" customHeight="1" x14ac:dyDescent="0.2">
      <c r="A802" s="89"/>
      <c r="B802" s="89"/>
      <c r="C802" s="89"/>
      <c r="D802" s="89"/>
      <c r="E802" s="89"/>
      <c r="AU802" s="96"/>
      <c r="AV802" s="96"/>
      <c r="AW802" s="96"/>
      <c r="AX802" s="96"/>
      <c r="AY802" s="96"/>
      <c r="AZ802" s="96"/>
      <c r="BA802" s="96"/>
      <c r="BB802" s="96"/>
      <c r="BC802" s="96"/>
    </row>
    <row r="803" spans="1:55" ht="15.75" customHeight="1" x14ac:dyDescent="0.2">
      <c r="A803" s="89"/>
      <c r="B803" s="89"/>
      <c r="C803" s="89"/>
      <c r="D803" s="89"/>
      <c r="E803" s="89"/>
      <c r="AU803" s="96"/>
      <c r="AV803" s="96"/>
      <c r="AW803" s="96"/>
      <c r="AX803" s="96"/>
      <c r="AY803" s="96"/>
      <c r="AZ803" s="96"/>
      <c r="BA803" s="96"/>
      <c r="BB803" s="96"/>
      <c r="BC803" s="96"/>
    </row>
    <row r="804" spans="1:55" ht="15.75" customHeight="1" x14ac:dyDescent="0.2">
      <c r="A804" s="89"/>
      <c r="B804" s="89"/>
      <c r="C804" s="89"/>
      <c r="D804" s="89"/>
      <c r="E804" s="89"/>
      <c r="AU804" s="96"/>
      <c r="AV804" s="96"/>
      <c r="AW804" s="96"/>
      <c r="AX804" s="96"/>
      <c r="AY804" s="96"/>
      <c r="AZ804" s="96"/>
      <c r="BA804" s="96"/>
      <c r="BB804" s="96"/>
      <c r="BC804" s="96"/>
    </row>
    <row r="805" spans="1:55" ht="15.75" customHeight="1" x14ac:dyDescent="0.2">
      <c r="A805" s="89"/>
      <c r="B805" s="89"/>
      <c r="C805" s="89"/>
      <c r="D805" s="89"/>
      <c r="E805" s="89"/>
      <c r="AU805" s="96"/>
      <c r="AV805" s="96"/>
      <c r="AW805" s="96"/>
      <c r="AX805" s="96"/>
      <c r="AY805" s="96"/>
      <c r="AZ805" s="96"/>
      <c r="BA805" s="96"/>
      <c r="BB805" s="96"/>
      <c r="BC805" s="96"/>
    </row>
    <row r="806" spans="1:55" ht="15.75" customHeight="1" x14ac:dyDescent="0.2">
      <c r="A806" s="89"/>
      <c r="B806" s="89"/>
      <c r="C806" s="89"/>
      <c r="D806" s="89"/>
      <c r="E806" s="89"/>
      <c r="AU806" s="96"/>
      <c r="AV806" s="96"/>
      <c r="AW806" s="96"/>
      <c r="AX806" s="96"/>
      <c r="AY806" s="96"/>
      <c r="AZ806" s="96"/>
      <c r="BA806" s="96"/>
      <c r="BB806" s="96"/>
      <c r="BC806" s="96"/>
    </row>
    <row r="807" spans="1:55" ht="15.75" customHeight="1" x14ac:dyDescent="0.2">
      <c r="A807" s="89"/>
      <c r="B807" s="89"/>
      <c r="C807" s="89"/>
      <c r="D807" s="89"/>
      <c r="E807" s="89"/>
      <c r="AU807" s="96"/>
      <c r="AV807" s="96"/>
      <c r="AW807" s="96"/>
      <c r="AX807" s="96"/>
      <c r="AY807" s="96"/>
      <c r="AZ807" s="96"/>
      <c r="BA807" s="96"/>
      <c r="BB807" s="96"/>
      <c r="BC807" s="96"/>
    </row>
    <row r="808" spans="1:55" ht="15.75" customHeight="1" x14ac:dyDescent="0.2">
      <c r="A808" s="89"/>
      <c r="B808" s="89"/>
      <c r="C808" s="89"/>
      <c r="D808" s="89"/>
      <c r="E808" s="89"/>
      <c r="AU808" s="96"/>
      <c r="AV808" s="96"/>
      <c r="AW808" s="96"/>
      <c r="AX808" s="96"/>
      <c r="AY808" s="96"/>
      <c r="AZ808" s="96"/>
      <c r="BA808" s="96"/>
      <c r="BB808" s="96"/>
      <c r="BC808" s="96"/>
    </row>
    <row r="809" spans="1:55" ht="15.75" customHeight="1" x14ac:dyDescent="0.2">
      <c r="A809" s="89"/>
      <c r="B809" s="89"/>
      <c r="C809" s="89"/>
      <c r="D809" s="89"/>
      <c r="E809" s="89"/>
      <c r="AU809" s="96"/>
      <c r="AV809" s="96"/>
      <c r="AW809" s="96"/>
      <c r="AX809" s="96"/>
      <c r="AY809" s="96"/>
      <c r="AZ809" s="96"/>
      <c r="BA809" s="96"/>
      <c r="BB809" s="96"/>
      <c r="BC809" s="96"/>
    </row>
    <row r="810" spans="1:55" ht="15.75" customHeight="1" x14ac:dyDescent="0.2">
      <c r="A810" s="89"/>
      <c r="B810" s="89"/>
      <c r="C810" s="89"/>
      <c r="D810" s="89"/>
      <c r="E810" s="89"/>
      <c r="AU810" s="96"/>
      <c r="AV810" s="96"/>
      <c r="AW810" s="96"/>
      <c r="AX810" s="96"/>
      <c r="AY810" s="96"/>
      <c r="AZ810" s="96"/>
      <c r="BA810" s="96"/>
      <c r="BB810" s="96"/>
      <c r="BC810" s="96"/>
    </row>
    <row r="811" spans="1:55" ht="15.75" customHeight="1" x14ac:dyDescent="0.2">
      <c r="A811" s="89"/>
      <c r="B811" s="89"/>
      <c r="C811" s="89"/>
      <c r="D811" s="89"/>
      <c r="E811" s="89"/>
      <c r="AU811" s="96"/>
      <c r="AV811" s="96"/>
      <c r="AW811" s="96"/>
      <c r="AX811" s="96"/>
      <c r="AY811" s="96"/>
      <c r="AZ811" s="96"/>
      <c r="BA811" s="96"/>
      <c r="BB811" s="96"/>
      <c r="BC811" s="96"/>
    </row>
    <row r="812" spans="1:55" ht="15.75" customHeight="1" x14ac:dyDescent="0.2">
      <c r="A812" s="89"/>
      <c r="B812" s="89"/>
      <c r="C812" s="89"/>
      <c r="D812" s="89"/>
      <c r="E812" s="89"/>
      <c r="AU812" s="96"/>
      <c r="AV812" s="96"/>
      <c r="AW812" s="96"/>
      <c r="AX812" s="96"/>
      <c r="AY812" s="96"/>
      <c r="AZ812" s="96"/>
      <c r="BA812" s="96"/>
      <c r="BB812" s="96"/>
      <c r="BC812" s="96"/>
    </row>
    <row r="813" spans="1:55" ht="15.75" customHeight="1" x14ac:dyDescent="0.2">
      <c r="A813" s="89"/>
      <c r="B813" s="89"/>
      <c r="C813" s="89"/>
      <c r="D813" s="89"/>
      <c r="E813" s="89"/>
      <c r="AU813" s="96"/>
      <c r="AV813" s="96"/>
      <c r="AW813" s="96"/>
      <c r="AX813" s="96"/>
      <c r="AY813" s="96"/>
      <c r="AZ813" s="96"/>
      <c r="BA813" s="96"/>
      <c r="BB813" s="96"/>
      <c r="BC813" s="96"/>
    </row>
    <row r="814" spans="1:55" ht="15.75" customHeight="1" x14ac:dyDescent="0.2">
      <c r="A814" s="89"/>
      <c r="B814" s="89"/>
      <c r="C814" s="89"/>
      <c r="D814" s="89"/>
      <c r="E814" s="89"/>
      <c r="AU814" s="96"/>
      <c r="AV814" s="96"/>
      <c r="AW814" s="96"/>
      <c r="AX814" s="96"/>
      <c r="AY814" s="96"/>
      <c r="AZ814" s="96"/>
      <c r="BA814" s="96"/>
      <c r="BB814" s="96"/>
      <c r="BC814" s="96"/>
    </row>
    <row r="815" spans="1:55" ht="15.75" customHeight="1" x14ac:dyDescent="0.2">
      <c r="A815" s="89"/>
      <c r="B815" s="89"/>
      <c r="C815" s="89"/>
      <c r="D815" s="89"/>
      <c r="E815" s="89"/>
      <c r="AU815" s="96"/>
      <c r="AV815" s="96"/>
      <c r="AW815" s="96"/>
      <c r="AX815" s="96"/>
      <c r="AY815" s="96"/>
      <c r="AZ815" s="96"/>
      <c r="BA815" s="96"/>
      <c r="BB815" s="96"/>
      <c r="BC815" s="96"/>
    </row>
    <row r="816" spans="1:55" ht="15.75" customHeight="1" x14ac:dyDescent="0.2">
      <c r="A816" s="89"/>
      <c r="B816" s="89"/>
      <c r="C816" s="89"/>
      <c r="D816" s="89"/>
      <c r="E816" s="89"/>
      <c r="AU816" s="96"/>
      <c r="AV816" s="96"/>
      <c r="AW816" s="96"/>
      <c r="AX816" s="96"/>
      <c r="AY816" s="96"/>
      <c r="AZ816" s="96"/>
      <c r="BA816" s="96"/>
      <c r="BB816" s="96"/>
      <c r="BC816" s="96"/>
    </row>
    <row r="817" spans="1:55" ht="15.75" customHeight="1" x14ac:dyDescent="0.2">
      <c r="A817" s="89"/>
      <c r="B817" s="89"/>
      <c r="C817" s="89"/>
      <c r="D817" s="89"/>
      <c r="E817" s="89"/>
      <c r="AU817" s="96"/>
      <c r="AV817" s="96"/>
      <c r="AW817" s="96"/>
      <c r="AX817" s="96"/>
      <c r="AY817" s="96"/>
      <c r="AZ817" s="96"/>
      <c r="BA817" s="96"/>
      <c r="BB817" s="96"/>
      <c r="BC817" s="96"/>
    </row>
    <row r="818" spans="1:55" ht="15.75" customHeight="1" x14ac:dyDescent="0.2">
      <c r="A818" s="89"/>
      <c r="B818" s="89"/>
      <c r="C818" s="89"/>
      <c r="D818" s="89"/>
      <c r="E818" s="89"/>
      <c r="AU818" s="96"/>
      <c r="AV818" s="96"/>
      <c r="AW818" s="96"/>
      <c r="AX818" s="96"/>
      <c r="AY818" s="96"/>
      <c r="AZ818" s="96"/>
      <c r="BA818" s="96"/>
      <c r="BB818" s="96"/>
      <c r="BC818" s="96"/>
    </row>
    <row r="819" spans="1:55" ht="15.75" customHeight="1" x14ac:dyDescent="0.2">
      <c r="A819" s="89"/>
      <c r="B819" s="89"/>
      <c r="C819" s="89"/>
      <c r="D819" s="89"/>
      <c r="E819" s="89"/>
      <c r="AU819" s="96"/>
      <c r="AV819" s="96"/>
      <c r="AW819" s="96"/>
      <c r="AX819" s="96"/>
      <c r="AY819" s="96"/>
      <c r="AZ819" s="96"/>
      <c r="BA819" s="96"/>
      <c r="BB819" s="96"/>
      <c r="BC819" s="96"/>
    </row>
    <row r="820" spans="1:55" ht="15.75" customHeight="1" x14ac:dyDescent="0.2">
      <c r="A820" s="89"/>
      <c r="B820" s="89"/>
      <c r="C820" s="89"/>
      <c r="D820" s="89"/>
      <c r="E820" s="89"/>
      <c r="AU820" s="96"/>
      <c r="AV820" s="96"/>
      <c r="AW820" s="96"/>
      <c r="AX820" s="96"/>
      <c r="AY820" s="96"/>
      <c r="AZ820" s="96"/>
      <c r="BA820" s="96"/>
      <c r="BB820" s="96"/>
      <c r="BC820" s="96"/>
    </row>
    <row r="821" spans="1:55" ht="15.75" customHeight="1" x14ac:dyDescent="0.2">
      <c r="A821" s="89"/>
      <c r="B821" s="89"/>
      <c r="C821" s="89"/>
      <c r="D821" s="89"/>
      <c r="E821" s="89"/>
      <c r="AU821" s="96"/>
      <c r="AV821" s="96"/>
      <c r="AW821" s="96"/>
      <c r="AX821" s="96"/>
      <c r="AY821" s="96"/>
      <c r="AZ821" s="96"/>
      <c r="BA821" s="96"/>
      <c r="BB821" s="96"/>
      <c r="BC821" s="96"/>
    </row>
    <row r="822" spans="1:55" ht="15.75" customHeight="1" x14ac:dyDescent="0.2">
      <c r="A822" s="89"/>
      <c r="B822" s="89"/>
      <c r="C822" s="89"/>
      <c r="D822" s="89"/>
      <c r="E822" s="89"/>
      <c r="AU822" s="96"/>
      <c r="AV822" s="96"/>
      <c r="AW822" s="96"/>
      <c r="AX822" s="96"/>
      <c r="AY822" s="96"/>
      <c r="AZ822" s="96"/>
      <c r="BA822" s="96"/>
      <c r="BB822" s="96"/>
      <c r="BC822" s="96"/>
    </row>
    <row r="823" spans="1:55" ht="15.75" customHeight="1" x14ac:dyDescent="0.2">
      <c r="A823" s="89"/>
      <c r="B823" s="89"/>
      <c r="C823" s="89"/>
      <c r="D823" s="89"/>
      <c r="E823" s="89"/>
      <c r="AU823" s="96"/>
      <c r="AV823" s="96"/>
      <c r="AW823" s="96"/>
      <c r="AX823" s="96"/>
      <c r="AY823" s="96"/>
      <c r="AZ823" s="96"/>
      <c r="BA823" s="96"/>
      <c r="BB823" s="96"/>
      <c r="BC823" s="96"/>
    </row>
    <row r="824" spans="1:55" ht="15.75" customHeight="1" x14ac:dyDescent="0.2">
      <c r="A824" s="89"/>
      <c r="B824" s="89"/>
      <c r="C824" s="89"/>
      <c r="D824" s="89"/>
      <c r="E824" s="89"/>
      <c r="AU824" s="96"/>
      <c r="AV824" s="96"/>
      <c r="AW824" s="96"/>
      <c r="AX824" s="96"/>
      <c r="AY824" s="96"/>
      <c r="AZ824" s="96"/>
      <c r="BA824" s="96"/>
      <c r="BB824" s="96"/>
      <c r="BC824" s="96"/>
    </row>
    <row r="825" spans="1:55" ht="15.75" customHeight="1" x14ac:dyDescent="0.2">
      <c r="A825" s="89"/>
      <c r="B825" s="89"/>
      <c r="C825" s="89"/>
      <c r="D825" s="89"/>
      <c r="E825" s="89"/>
      <c r="AU825" s="96"/>
      <c r="AV825" s="96"/>
      <c r="AW825" s="96"/>
      <c r="AX825" s="96"/>
      <c r="AY825" s="96"/>
      <c r="AZ825" s="96"/>
      <c r="BA825" s="96"/>
      <c r="BB825" s="96"/>
      <c r="BC825" s="96"/>
    </row>
    <row r="826" spans="1:55" ht="15.75" customHeight="1" x14ac:dyDescent="0.2">
      <c r="A826" s="89"/>
      <c r="B826" s="89"/>
      <c r="C826" s="89"/>
      <c r="D826" s="89"/>
      <c r="E826" s="89"/>
      <c r="AU826" s="96"/>
      <c r="AV826" s="96"/>
      <c r="AW826" s="96"/>
      <c r="AX826" s="96"/>
      <c r="AY826" s="96"/>
      <c r="AZ826" s="96"/>
      <c r="BA826" s="96"/>
      <c r="BB826" s="96"/>
      <c r="BC826" s="96"/>
    </row>
    <row r="827" spans="1:55" ht="15.75" customHeight="1" x14ac:dyDescent="0.2">
      <c r="A827" s="89"/>
      <c r="B827" s="89"/>
      <c r="C827" s="89"/>
      <c r="D827" s="89"/>
      <c r="E827" s="89"/>
      <c r="AU827" s="96"/>
      <c r="AV827" s="96"/>
      <c r="AW827" s="96"/>
      <c r="AX827" s="96"/>
      <c r="AY827" s="96"/>
      <c r="AZ827" s="96"/>
      <c r="BA827" s="96"/>
      <c r="BB827" s="96"/>
      <c r="BC827" s="96"/>
    </row>
    <row r="828" spans="1:55" ht="15.75" customHeight="1" x14ac:dyDescent="0.2">
      <c r="A828" s="89"/>
      <c r="B828" s="89"/>
      <c r="C828" s="89"/>
      <c r="D828" s="89"/>
      <c r="E828" s="89"/>
      <c r="AU828" s="96"/>
      <c r="AV828" s="96"/>
      <c r="AW828" s="96"/>
      <c r="AX828" s="96"/>
      <c r="AY828" s="96"/>
      <c r="AZ828" s="96"/>
      <c r="BA828" s="96"/>
      <c r="BB828" s="96"/>
      <c r="BC828" s="96"/>
    </row>
    <row r="829" spans="1:55" ht="15.75" customHeight="1" x14ac:dyDescent="0.2">
      <c r="A829" s="89"/>
      <c r="B829" s="89"/>
      <c r="C829" s="89"/>
      <c r="D829" s="89"/>
      <c r="E829" s="89"/>
      <c r="AU829" s="96"/>
      <c r="AV829" s="96"/>
      <c r="AW829" s="96"/>
      <c r="AX829" s="96"/>
      <c r="AY829" s="96"/>
      <c r="AZ829" s="96"/>
      <c r="BA829" s="96"/>
      <c r="BB829" s="96"/>
      <c r="BC829" s="96"/>
    </row>
    <row r="830" spans="1:55" ht="15.75" customHeight="1" x14ac:dyDescent="0.2">
      <c r="A830" s="89"/>
      <c r="B830" s="89"/>
      <c r="C830" s="89"/>
      <c r="D830" s="89"/>
      <c r="E830" s="89"/>
      <c r="AU830" s="96"/>
      <c r="AV830" s="96"/>
      <c r="AW830" s="96"/>
      <c r="AX830" s="96"/>
      <c r="AY830" s="96"/>
      <c r="AZ830" s="96"/>
      <c r="BA830" s="96"/>
      <c r="BB830" s="96"/>
      <c r="BC830" s="96"/>
    </row>
    <row r="831" spans="1:55" ht="15.75" customHeight="1" x14ac:dyDescent="0.2">
      <c r="A831" s="89"/>
      <c r="B831" s="89"/>
      <c r="C831" s="89"/>
      <c r="D831" s="89"/>
      <c r="E831" s="89"/>
      <c r="AU831" s="96"/>
      <c r="AV831" s="96"/>
      <c r="AW831" s="96"/>
      <c r="AX831" s="96"/>
      <c r="AY831" s="96"/>
      <c r="AZ831" s="96"/>
      <c r="BA831" s="96"/>
      <c r="BB831" s="96"/>
      <c r="BC831" s="96"/>
    </row>
    <row r="832" spans="1:55" ht="15.75" customHeight="1" x14ac:dyDescent="0.2">
      <c r="A832" s="89"/>
      <c r="B832" s="89"/>
      <c r="C832" s="89"/>
      <c r="D832" s="89"/>
      <c r="E832" s="89"/>
      <c r="AU832" s="96"/>
      <c r="AV832" s="96"/>
      <c r="AW832" s="96"/>
      <c r="AX832" s="96"/>
      <c r="AY832" s="96"/>
      <c r="AZ832" s="96"/>
      <c r="BA832" s="96"/>
      <c r="BB832" s="96"/>
      <c r="BC832" s="96"/>
    </row>
    <row r="833" spans="1:55" ht="15.75" customHeight="1" x14ac:dyDescent="0.2">
      <c r="A833" s="89"/>
      <c r="B833" s="89"/>
      <c r="C833" s="89"/>
      <c r="D833" s="89"/>
      <c r="E833" s="89"/>
      <c r="AU833" s="96"/>
      <c r="AV833" s="96"/>
      <c r="AW833" s="96"/>
      <c r="AX833" s="96"/>
      <c r="AY833" s="96"/>
      <c r="AZ833" s="96"/>
      <c r="BA833" s="96"/>
      <c r="BB833" s="96"/>
      <c r="BC833" s="96"/>
    </row>
    <row r="834" spans="1:55" ht="15.75" customHeight="1" x14ac:dyDescent="0.2">
      <c r="A834" s="89"/>
      <c r="B834" s="89"/>
      <c r="C834" s="89"/>
      <c r="D834" s="89"/>
      <c r="E834" s="89"/>
      <c r="AU834" s="96"/>
      <c r="AV834" s="96"/>
      <c r="AW834" s="96"/>
      <c r="AX834" s="96"/>
      <c r="AY834" s="96"/>
      <c r="AZ834" s="96"/>
      <c r="BA834" s="96"/>
      <c r="BB834" s="96"/>
      <c r="BC834" s="96"/>
    </row>
    <row r="835" spans="1:55" ht="15.75" customHeight="1" x14ac:dyDescent="0.2">
      <c r="A835" s="89"/>
      <c r="B835" s="89"/>
      <c r="C835" s="89"/>
      <c r="D835" s="89"/>
      <c r="E835" s="89"/>
      <c r="AU835" s="96"/>
      <c r="AV835" s="96"/>
      <c r="AW835" s="96"/>
      <c r="AX835" s="96"/>
      <c r="AY835" s="96"/>
      <c r="AZ835" s="96"/>
      <c r="BA835" s="96"/>
      <c r="BB835" s="96"/>
      <c r="BC835" s="96"/>
    </row>
    <row r="836" spans="1:55" ht="15.75" customHeight="1" x14ac:dyDescent="0.2">
      <c r="A836" s="89"/>
      <c r="B836" s="89"/>
      <c r="C836" s="89"/>
      <c r="D836" s="89"/>
      <c r="E836" s="89"/>
      <c r="AU836" s="96"/>
      <c r="AV836" s="96"/>
      <c r="AW836" s="96"/>
      <c r="AX836" s="96"/>
      <c r="AY836" s="96"/>
      <c r="AZ836" s="96"/>
      <c r="BA836" s="96"/>
      <c r="BB836" s="96"/>
      <c r="BC836" s="96"/>
    </row>
    <row r="837" spans="1:55" ht="15.75" customHeight="1" x14ac:dyDescent="0.2">
      <c r="A837" s="89"/>
      <c r="B837" s="89"/>
      <c r="C837" s="89"/>
      <c r="D837" s="89"/>
      <c r="E837" s="89"/>
      <c r="AU837" s="96"/>
      <c r="AV837" s="96"/>
      <c r="AW837" s="96"/>
      <c r="AX837" s="96"/>
      <c r="AY837" s="96"/>
      <c r="AZ837" s="96"/>
      <c r="BA837" s="96"/>
      <c r="BB837" s="96"/>
      <c r="BC837" s="96"/>
    </row>
    <row r="838" spans="1:55" ht="15.75" customHeight="1" x14ac:dyDescent="0.2">
      <c r="A838" s="89"/>
      <c r="B838" s="89"/>
      <c r="C838" s="89"/>
      <c r="D838" s="89"/>
      <c r="E838" s="89"/>
      <c r="AU838" s="96"/>
      <c r="AV838" s="96"/>
      <c r="AW838" s="96"/>
      <c r="AX838" s="96"/>
      <c r="AY838" s="96"/>
      <c r="AZ838" s="96"/>
      <c r="BA838" s="96"/>
      <c r="BB838" s="96"/>
      <c r="BC838" s="96"/>
    </row>
    <row r="839" spans="1:55" ht="15.75" customHeight="1" x14ac:dyDescent="0.2">
      <c r="A839" s="89"/>
      <c r="B839" s="89"/>
      <c r="C839" s="89"/>
      <c r="D839" s="89"/>
      <c r="E839" s="89"/>
      <c r="AU839" s="96"/>
      <c r="AV839" s="96"/>
      <c r="AW839" s="96"/>
      <c r="AX839" s="96"/>
      <c r="AY839" s="96"/>
      <c r="AZ839" s="96"/>
      <c r="BA839" s="96"/>
      <c r="BB839" s="96"/>
      <c r="BC839" s="96"/>
    </row>
    <row r="840" spans="1:55" ht="15.75" customHeight="1" x14ac:dyDescent="0.2">
      <c r="A840" s="89"/>
      <c r="B840" s="89"/>
      <c r="C840" s="89"/>
      <c r="D840" s="89"/>
      <c r="E840" s="89"/>
      <c r="AU840" s="96"/>
      <c r="AV840" s="96"/>
      <c r="AW840" s="96"/>
      <c r="AX840" s="96"/>
      <c r="AY840" s="96"/>
      <c r="AZ840" s="96"/>
      <c r="BA840" s="96"/>
      <c r="BB840" s="96"/>
      <c r="BC840" s="96"/>
    </row>
    <row r="841" spans="1:55" ht="15.75" customHeight="1" x14ac:dyDescent="0.2">
      <c r="A841" s="89"/>
      <c r="B841" s="89"/>
      <c r="C841" s="89"/>
      <c r="D841" s="89"/>
      <c r="E841" s="89"/>
      <c r="AU841" s="96"/>
      <c r="AV841" s="96"/>
      <c r="AW841" s="96"/>
      <c r="AX841" s="96"/>
      <c r="AY841" s="96"/>
      <c r="AZ841" s="96"/>
      <c r="BA841" s="96"/>
      <c r="BB841" s="96"/>
      <c r="BC841" s="96"/>
    </row>
    <row r="842" spans="1:55" ht="15.75" customHeight="1" x14ac:dyDescent="0.2">
      <c r="A842" s="89"/>
      <c r="B842" s="89"/>
      <c r="C842" s="89"/>
      <c r="D842" s="89"/>
      <c r="E842" s="89"/>
      <c r="AU842" s="96"/>
      <c r="AV842" s="96"/>
      <c r="AW842" s="96"/>
      <c r="AX842" s="96"/>
      <c r="AY842" s="96"/>
      <c r="AZ842" s="96"/>
      <c r="BA842" s="96"/>
      <c r="BB842" s="96"/>
      <c r="BC842" s="96"/>
    </row>
    <row r="843" spans="1:55" ht="15.75" customHeight="1" x14ac:dyDescent="0.2">
      <c r="A843" s="89"/>
      <c r="B843" s="89"/>
      <c r="C843" s="89"/>
      <c r="D843" s="89"/>
      <c r="E843" s="89"/>
      <c r="AU843" s="96"/>
      <c r="AV843" s="96"/>
      <c r="AW843" s="96"/>
      <c r="AX843" s="96"/>
      <c r="AY843" s="96"/>
      <c r="AZ843" s="96"/>
      <c r="BA843" s="96"/>
      <c r="BB843" s="96"/>
      <c r="BC843" s="96"/>
    </row>
    <row r="844" spans="1:55" ht="15.75" customHeight="1" x14ac:dyDescent="0.2">
      <c r="A844" s="89"/>
      <c r="B844" s="89"/>
      <c r="C844" s="89"/>
      <c r="D844" s="89"/>
      <c r="E844" s="89"/>
      <c r="AU844" s="96"/>
      <c r="AV844" s="96"/>
      <c r="AW844" s="96"/>
      <c r="AX844" s="96"/>
      <c r="AY844" s="96"/>
      <c r="AZ844" s="96"/>
      <c r="BA844" s="96"/>
      <c r="BB844" s="96"/>
      <c r="BC844" s="96"/>
    </row>
    <row r="845" spans="1:55" ht="15.75" customHeight="1" x14ac:dyDescent="0.2">
      <c r="A845" s="89"/>
      <c r="B845" s="89"/>
      <c r="C845" s="89"/>
      <c r="D845" s="89"/>
      <c r="E845" s="89"/>
      <c r="AU845" s="96"/>
      <c r="AV845" s="96"/>
      <c r="AW845" s="96"/>
      <c r="AX845" s="96"/>
      <c r="AY845" s="96"/>
      <c r="AZ845" s="96"/>
      <c r="BA845" s="96"/>
      <c r="BB845" s="96"/>
      <c r="BC845" s="96"/>
    </row>
    <row r="846" spans="1:55" ht="15.75" customHeight="1" x14ac:dyDescent="0.2">
      <c r="A846" s="89"/>
      <c r="B846" s="89"/>
      <c r="C846" s="89"/>
      <c r="D846" s="89"/>
      <c r="E846" s="89"/>
      <c r="AU846" s="96"/>
      <c r="AV846" s="96"/>
      <c r="AW846" s="96"/>
      <c r="AX846" s="96"/>
      <c r="AY846" s="96"/>
      <c r="AZ846" s="96"/>
      <c r="BA846" s="96"/>
      <c r="BB846" s="96"/>
      <c r="BC846" s="96"/>
    </row>
    <row r="847" spans="1:55" ht="15.75" customHeight="1" x14ac:dyDescent="0.2">
      <c r="A847" s="89"/>
      <c r="B847" s="89"/>
      <c r="C847" s="89"/>
      <c r="D847" s="89"/>
      <c r="E847" s="89"/>
      <c r="AU847" s="96"/>
      <c r="AV847" s="96"/>
      <c r="AW847" s="96"/>
      <c r="AX847" s="96"/>
      <c r="AY847" s="96"/>
      <c r="AZ847" s="96"/>
      <c r="BA847" s="96"/>
      <c r="BB847" s="96"/>
      <c r="BC847" s="96"/>
    </row>
    <row r="848" spans="1:55" ht="15.75" customHeight="1" x14ac:dyDescent="0.2">
      <c r="A848" s="89"/>
      <c r="B848" s="89"/>
      <c r="C848" s="89"/>
      <c r="D848" s="89"/>
      <c r="E848" s="89"/>
      <c r="AU848" s="96"/>
      <c r="AV848" s="96"/>
      <c r="AW848" s="96"/>
      <c r="AX848" s="96"/>
      <c r="AY848" s="96"/>
      <c r="AZ848" s="96"/>
      <c r="BA848" s="96"/>
      <c r="BB848" s="96"/>
      <c r="BC848" s="96"/>
    </row>
    <row r="849" spans="1:55" ht="15.75" customHeight="1" x14ac:dyDescent="0.2">
      <c r="A849" s="89"/>
      <c r="B849" s="89"/>
      <c r="C849" s="89"/>
      <c r="D849" s="89"/>
      <c r="E849" s="89"/>
      <c r="AU849" s="96"/>
      <c r="AV849" s="96"/>
      <c r="AW849" s="96"/>
      <c r="AX849" s="96"/>
      <c r="AY849" s="96"/>
      <c r="AZ849" s="96"/>
      <c r="BA849" s="96"/>
      <c r="BB849" s="96"/>
      <c r="BC849" s="96"/>
    </row>
    <row r="850" spans="1:55" ht="15.75" customHeight="1" x14ac:dyDescent="0.2">
      <c r="A850" s="89"/>
      <c r="B850" s="89"/>
      <c r="C850" s="89"/>
      <c r="D850" s="89"/>
      <c r="E850" s="89"/>
      <c r="AU850" s="96"/>
      <c r="AV850" s="96"/>
      <c r="AW850" s="96"/>
      <c r="AX850" s="96"/>
      <c r="AY850" s="96"/>
      <c r="AZ850" s="96"/>
      <c r="BA850" s="96"/>
      <c r="BB850" s="96"/>
      <c r="BC850" s="96"/>
    </row>
    <row r="851" spans="1:55" ht="15.75" customHeight="1" x14ac:dyDescent="0.2">
      <c r="A851" s="89"/>
      <c r="B851" s="89"/>
      <c r="C851" s="89"/>
      <c r="D851" s="89"/>
      <c r="E851" s="89"/>
      <c r="AU851" s="96"/>
      <c r="AV851" s="96"/>
      <c r="AW851" s="96"/>
      <c r="AX851" s="96"/>
      <c r="AY851" s="96"/>
      <c r="AZ851" s="96"/>
      <c r="BA851" s="96"/>
      <c r="BB851" s="96"/>
      <c r="BC851" s="96"/>
    </row>
    <row r="852" spans="1:55" ht="15.75" customHeight="1" x14ac:dyDescent="0.2">
      <c r="A852" s="89"/>
      <c r="B852" s="89"/>
      <c r="C852" s="89"/>
      <c r="D852" s="89"/>
      <c r="E852" s="89"/>
      <c r="AU852" s="96"/>
      <c r="AV852" s="96"/>
      <c r="AW852" s="96"/>
      <c r="AX852" s="96"/>
      <c r="AY852" s="96"/>
      <c r="AZ852" s="96"/>
      <c r="BA852" s="96"/>
      <c r="BB852" s="96"/>
      <c r="BC852" s="96"/>
    </row>
    <row r="853" spans="1:55" ht="15.75" customHeight="1" x14ac:dyDescent="0.2">
      <c r="A853" s="89"/>
      <c r="B853" s="89"/>
      <c r="C853" s="89"/>
      <c r="D853" s="89"/>
      <c r="E853" s="89"/>
      <c r="AU853" s="96"/>
      <c r="AV853" s="96"/>
      <c r="AW853" s="96"/>
      <c r="AX853" s="96"/>
      <c r="AY853" s="96"/>
      <c r="AZ853" s="96"/>
      <c r="BA853" s="96"/>
      <c r="BB853" s="96"/>
      <c r="BC853" s="96"/>
    </row>
    <row r="854" spans="1:55" ht="15.75" customHeight="1" x14ac:dyDescent="0.2">
      <c r="A854" s="89"/>
      <c r="B854" s="89"/>
      <c r="C854" s="89"/>
      <c r="D854" s="89"/>
      <c r="E854" s="89"/>
      <c r="AU854" s="96"/>
      <c r="AV854" s="96"/>
      <c r="AW854" s="96"/>
      <c r="AX854" s="96"/>
      <c r="AY854" s="96"/>
      <c r="AZ854" s="96"/>
      <c r="BA854" s="96"/>
      <c r="BB854" s="96"/>
      <c r="BC854" s="96"/>
    </row>
    <row r="855" spans="1:55" ht="15.75" customHeight="1" x14ac:dyDescent="0.2">
      <c r="A855" s="89"/>
      <c r="B855" s="89"/>
      <c r="C855" s="89"/>
      <c r="D855" s="89"/>
      <c r="E855" s="89"/>
      <c r="AU855" s="96"/>
      <c r="AV855" s="96"/>
      <c r="AW855" s="96"/>
      <c r="AX855" s="96"/>
      <c r="AY855" s="96"/>
      <c r="AZ855" s="96"/>
      <c r="BA855" s="96"/>
      <c r="BB855" s="96"/>
      <c r="BC855" s="96"/>
    </row>
    <row r="856" spans="1:55" ht="15.75" customHeight="1" x14ac:dyDescent="0.2">
      <c r="A856" s="89"/>
      <c r="B856" s="89"/>
      <c r="C856" s="89"/>
      <c r="D856" s="89"/>
      <c r="E856" s="89"/>
      <c r="AU856" s="96"/>
      <c r="AV856" s="96"/>
      <c r="AW856" s="96"/>
      <c r="AX856" s="96"/>
      <c r="AY856" s="96"/>
      <c r="AZ856" s="96"/>
      <c r="BA856" s="96"/>
      <c r="BB856" s="96"/>
      <c r="BC856" s="96"/>
    </row>
    <row r="857" spans="1:55" ht="15.75" customHeight="1" x14ac:dyDescent="0.2">
      <c r="A857" s="89"/>
      <c r="B857" s="89"/>
      <c r="C857" s="89"/>
      <c r="D857" s="89"/>
      <c r="E857" s="89"/>
      <c r="AU857" s="96"/>
      <c r="AV857" s="96"/>
      <c r="AW857" s="96"/>
      <c r="AX857" s="96"/>
      <c r="AY857" s="96"/>
      <c r="AZ857" s="96"/>
      <c r="BA857" s="96"/>
      <c r="BB857" s="96"/>
      <c r="BC857" s="96"/>
    </row>
    <row r="858" spans="1:55" ht="15.75" customHeight="1" x14ac:dyDescent="0.2">
      <c r="A858" s="89"/>
      <c r="B858" s="89"/>
      <c r="C858" s="89"/>
      <c r="D858" s="89"/>
      <c r="E858" s="89"/>
      <c r="AU858" s="96"/>
      <c r="AV858" s="96"/>
      <c r="AW858" s="96"/>
      <c r="AX858" s="96"/>
      <c r="AY858" s="96"/>
      <c r="AZ858" s="96"/>
      <c r="BA858" s="96"/>
      <c r="BB858" s="96"/>
      <c r="BC858" s="96"/>
    </row>
    <row r="859" spans="1:55" ht="15.75" customHeight="1" x14ac:dyDescent="0.2">
      <c r="A859" s="89"/>
      <c r="B859" s="89"/>
      <c r="C859" s="89"/>
      <c r="D859" s="89"/>
      <c r="E859" s="89"/>
      <c r="AU859" s="96"/>
      <c r="AV859" s="96"/>
      <c r="AW859" s="96"/>
      <c r="AX859" s="96"/>
      <c r="AY859" s="96"/>
      <c r="AZ859" s="96"/>
      <c r="BA859" s="96"/>
      <c r="BB859" s="96"/>
      <c r="BC859" s="96"/>
    </row>
    <row r="860" spans="1:55" ht="15.75" customHeight="1" x14ac:dyDescent="0.2">
      <c r="A860" s="89"/>
      <c r="B860" s="89"/>
      <c r="C860" s="89"/>
      <c r="D860" s="89"/>
      <c r="E860" s="89"/>
      <c r="AU860" s="96"/>
      <c r="AV860" s="96"/>
      <c r="AW860" s="96"/>
      <c r="AX860" s="96"/>
      <c r="AY860" s="96"/>
      <c r="AZ860" s="96"/>
      <c r="BA860" s="96"/>
      <c r="BB860" s="96"/>
      <c r="BC860" s="96"/>
    </row>
    <row r="861" spans="1:55" ht="15.75" customHeight="1" x14ac:dyDescent="0.2">
      <c r="A861" s="89"/>
      <c r="B861" s="89"/>
      <c r="C861" s="89"/>
      <c r="D861" s="89"/>
      <c r="E861" s="89"/>
      <c r="AU861" s="96"/>
      <c r="AV861" s="96"/>
      <c r="AW861" s="96"/>
      <c r="AX861" s="96"/>
      <c r="AY861" s="96"/>
      <c r="AZ861" s="96"/>
      <c r="BA861" s="96"/>
      <c r="BB861" s="96"/>
      <c r="BC861" s="96"/>
    </row>
    <row r="862" spans="1:55" ht="15.75" customHeight="1" x14ac:dyDescent="0.2">
      <c r="A862" s="89"/>
      <c r="B862" s="89"/>
      <c r="C862" s="89"/>
      <c r="D862" s="89"/>
      <c r="E862" s="89"/>
      <c r="AU862" s="96"/>
      <c r="AV862" s="96"/>
      <c r="AW862" s="96"/>
      <c r="AX862" s="96"/>
      <c r="AY862" s="96"/>
      <c r="AZ862" s="96"/>
      <c r="BA862" s="96"/>
      <c r="BB862" s="96"/>
      <c r="BC862" s="96"/>
    </row>
    <row r="863" spans="1:55" ht="15.75" customHeight="1" x14ac:dyDescent="0.2">
      <c r="A863" s="89"/>
      <c r="B863" s="89"/>
      <c r="C863" s="89"/>
      <c r="D863" s="89"/>
      <c r="E863" s="89"/>
      <c r="AU863" s="96"/>
      <c r="AV863" s="96"/>
      <c r="AW863" s="96"/>
      <c r="AX863" s="96"/>
      <c r="AY863" s="96"/>
      <c r="AZ863" s="96"/>
      <c r="BA863" s="96"/>
      <c r="BB863" s="96"/>
      <c r="BC863" s="96"/>
    </row>
    <row r="864" spans="1:55" ht="15.75" customHeight="1" x14ac:dyDescent="0.2">
      <c r="A864" s="89"/>
      <c r="B864" s="89"/>
      <c r="C864" s="89"/>
      <c r="D864" s="89"/>
      <c r="E864" s="89"/>
      <c r="AU864" s="96"/>
      <c r="AV864" s="96"/>
      <c r="AW864" s="96"/>
      <c r="AX864" s="96"/>
      <c r="AY864" s="96"/>
      <c r="AZ864" s="96"/>
      <c r="BA864" s="96"/>
      <c r="BB864" s="96"/>
      <c r="BC864" s="96"/>
    </row>
    <row r="865" spans="1:55" ht="15.75" customHeight="1" x14ac:dyDescent="0.2">
      <c r="A865" s="89"/>
      <c r="B865" s="89"/>
      <c r="C865" s="89"/>
      <c r="D865" s="89"/>
      <c r="E865" s="89"/>
      <c r="AU865" s="96"/>
      <c r="AV865" s="96"/>
      <c r="AW865" s="96"/>
      <c r="AX865" s="96"/>
      <c r="AY865" s="96"/>
      <c r="AZ865" s="96"/>
      <c r="BA865" s="96"/>
      <c r="BB865" s="96"/>
      <c r="BC865" s="96"/>
    </row>
    <row r="866" spans="1:55" ht="15.75" customHeight="1" x14ac:dyDescent="0.2">
      <c r="A866" s="89"/>
      <c r="B866" s="89"/>
      <c r="C866" s="89"/>
      <c r="D866" s="89"/>
      <c r="E866" s="89"/>
      <c r="AU866" s="96"/>
      <c r="AV866" s="96"/>
      <c r="AW866" s="96"/>
      <c r="AX866" s="96"/>
      <c r="AY866" s="96"/>
      <c r="AZ866" s="96"/>
      <c r="BA866" s="96"/>
      <c r="BB866" s="96"/>
      <c r="BC866" s="96"/>
    </row>
    <row r="867" spans="1:55" ht="15.75" customHeight="1" x14ac:dyDescent="0.2">
      <c r="A867" s="89"/>
      <c r="B867" s="89"/>
      <c r="C867" s="89"/>
      <c r="D867" s="89"/>
      <c r="E867" s="89"/>
      <c r="AU867" s="96"/>
      <c r="AV867" s="96"/>
      <c r="AW867" s="96"/>
      <c r="AX867" s="96"/>
      <c r="AY867" s="96"/>
      <c r="AZ867" s="96"/>
      <c r="BA867" s="96"/>
      <c r="BB867" s="96"/>
      <c r="BC867" s="96"/>
    </row>
    <row r="868" spans="1:55" ht="15.75" customHeight="1" x14ac:dyDescent="0.2">
      <c r="A868" s="89"/>
      <c r="B868" s="89"/>
      <c r="C868" s="89"/>
      <c r="D868" s="89"/>
      <c r="E868" s="89"/>
      <c r="AU868" s="96"/>
      <c r="AV868" s="96"/>
      <c r="AW868" s="96"/>
      <c r="AX868" s="96"/>
      <c r="AY868" s="96"/>
      <c r="AZ868" s="96"/>
      <c r="BA868" s="96"/>
      <c r="BB868" s="96"/>
      <c r="BC868" s="96"/>
    </row>
    <row r="869" spans="1:55" ht="15.75" customHeight="1" x14ac:dyDescent="0.2">
      <c r="A869" s="89"/>
      <c r="B869" s="89"/>
      <c r="C869" s="89"/>
      <c r="D869" s="89"/>
      <c r="E869" s="89"/>
      <c r="AU869" s="96"/>
      <c r="AV869" s="96"/>
      <c r="AW869" s="96"/>
      <c r="AX869" s="96"/>
      <c r="AY869" s="96"/>
      <c r="AZ869" s="96"/>
      <c r="BA869" s="96"/>
      <c r="BB869" s="96"/>
      <c r="BC869" s="96"/>
    </row>
    <row r="870" spans="1:55" ht="15.75" customHeight="1" x14ac:dyDescent="0.2">
      <c r="A870" s="89"/>
      <c r="B870" s="89"/>
      <c r="C870" s="89"/>
      <c r="D870" s="89"/>
      <c r="E870" s="89"/>
      <c r="AU870" s="96"/>
      <c r="AV870" s="96"/>
      <c r="AW870" s="96"/>
      <c r="AX870" s="96"/>
      <c r="AY870" s="96"/>
      <c r="AZ870" s="96"/>
      <c r="BA870" s="96"/>
      <c r="BB870" s="96"/>
      <c r="BC870" s="96"/>
    </row>
    <row r="871" spans="1:55" ht="15.75" customHeight="1" x14ac:dyDescent="0.2">
      <c r="A871" s="89"/>
      <c r="B871" s="89"/>
      <c r="C871" s="89"/>
      <c r="D871" s="89"/>
      <c r="E871" s="89"/>
      <c r="AU871" s="96"/>
      <c r="AV871" s="96"/>
      <c r="AW871" s="96"/>
      <c r="AX871" s="96"/>
      <c r="AY871" s="96"/>
      <c r="AZ871" s="96"/>
      <c r="BA871" s="96"/>
      <c r="BB871" s="96"/>
      <c r="BC871" s="96"/>
    </row>
    <row r="872" spans="1:55" ht="15.75" customHeight="1" x14ac:dyDescent="0.2">
      <c r="A872" s="89"/>
      <c r="B872" s="89"/>
      <c r="C872" s="89"/>
      <c r="D872" s="89"/>
      <c r="E872" s="89"/>
      <c r="AU872" s="96"/>
      <c r="AV872" s="96"/>
      <c r="AW872" s="96"/>
      <c r="AX872" s="96"/>
      <c r="AY872" s="96"/>
      <c r="AZ872" s="96"/>
      <c r="BA872" s="96"/>
      <c r="BB872" s="96"/>
      <c r="BC872" s="96"/>
    </row>
    <row r="873" spans="1:55" ht="15.75" customHeight="1" x14ac:dyDescent="0.2">
      <c r="A873" s="89"/>
      <c r="B873" s="89"/>
      <c r="C873" s="89"/>
      <c r="D873" s="89"/>
      <c r="E873" s="89"/>
      <c r="AU873" s="96"/>
      <c r="AV873" s="96"/>
      <c r="AW873" s="96"/>
      <c r="AX873" s="96"/>
      <c r="AY873" s="96"/>
      <c r="AZ873" s="96"/>
      <c r="BA873" s="96"/>
      <c r="BB873" s="96"/>
      <c r="BC873" s="96"/>
    </row>
    <row r="874" spans="1:55" ht="15.75" customHeight="1" x14ac:dyDescent="0.2">
      <c r="A874" s="89"/>
      <c r="B874" s="89"/>
      <c r="C874" s="89"/>
      <c r="D874" s="89"/>
      <c r="E874" s="89"/>
      <c r="AU874" s="96"/>
      <c r="AV874" s="96"/>
      <c r="AW874" s="96"/>
      <c r="AX874" s="96"/>
      <c r="AY874" s="96"/>
      <c r="AZ874" s="96"/>
      <c r="BA874" s="96"/>
      <c r="BB874" s="96"/>
      <c r="BC874" s="96"/>
    </row>
    <row r="875" spans="1:55" ht="15.75" customHeight="1" x14ac:dyDescent="0.2">
      <c r="A875" s="89"/>
      <c r="B875" s="89"/>
      <c r="C875" s="89"/>
      <c r="D875" s="89"/>
      <c r="E875" s="89"/>
      <c r="AU875" s="96"/>
      <c r="AV875" s="96"/>
      <c r="AW875" s="96"/>
      <c r="AX875" s="96"/>
      <c r="AY875" s="96"/>
      <c r="AZ875" s="96"/>
      <c r="BA875" s="96"/>
      <c r="BB875" s="96"/>
      <c r="BC875" s="96"/>
    </row>
    <row r="876" spans="1:55" ht="15.75" customHeight="1" x14ac:dyDescent="0.2">
      <c r="A876" s="89"/>
      <c r="B876" s="89"/>
      <c r="C876" s="89"/>
      <c r="D876" s="89"/>
      <c r="E876" s="89"/>
      <c r="AU876" s="96"/>
      <c r="AV876" s="96"/>
      <c r="AW876" s="96"/>
      <c r="AX876" s="96"/>
      <c r="AY876" s="96"/>
      <c r="AZ876" s="96"/>
      <c r="BA876" s="96"/>
      <c r="BB876" s="96"/>
      <c r="BC876" s="96"/>
    </row>
    <row r="877" spans="1:55" ht="15.75" customHeight="1" x14ac:dyDescent="0.2">
      <c r="A877" s="89"/>
      <c r="B877" s="89"/>
      <c r="C877" s="89"/>
      <c r="D877" s="89"/>
      <c r="E877" s="89"/>
      <c r="AU877" s="96"/>
      <c r="AV877" s="96"/>
      <c r="AW877" s="96"/>
      <c r="AX877" s="96"/>
      <c r="AY877" s="96"/>
      <c r="AZ877" s="96"/>
      <c r="BA877" s="96"/>
      <c r="BB877" s="96"/>
      <c r="BC877" s="96"/>
    </row>
    <row r="878" spans="1:55" ht="15.75" customHeight="1" x14ac:dyDescent="0.2">
      <c r="A878" s="89"/>
      <c r="B878" s="89"/>
      <c r="C878" s="89"/>
      <c r="D878" s="89"/>
      <c r="E878" s="89"/>
      <c r="AU878" s="96"/>
      <c r="AV878" s="96"/>
      <c r="AW878" s="96"/>
      <c r="AX878" s="96"/>
      <c r="AY878" s="96"/>
      <c r="AZ878" s="96"/>
      <c r="BA878" s="96"/>
      <c r="BB878" s="96"/>
      <c r="BC878" s="96"/>
    </row>
    <row r="879" spans="1:55" ht="15.75" customHeight="1" x14ac:dyDescent="0.2">
      <c r="A879" s="89"/>
      <c r="B879" s="89"/>
      <c r="C879" s="89"/>
      <c r="D879" s="89"/>
      <c r="E879" s="89"/>
      <c r="AU879" s="96"/>
      <c r="AV879" s="96"/>
      <c r="AW879" s="96"/>
      <c r="AX879" s="96"/>
      <c r="AY879" s="96"/>
      <c r="AZ879" s="96"/>
      <c r="BA879" s="96"/>
      <c r="BB879" s="96"/>
      <c r="BC879" s="96"/>
    </row>
    <row r="880" spans="1:55" ht="15.75" customHeight="1" x14ac:dyDescent="0.2">
      <c r="A880" s="89"/>
      <c r="B880" s="89"/>
      <c r="C880" s="89"/>
      <c r="D880" s="89"/>
      <c r="E880" s="89"/>
      <c r="AU880" s="96"/>
      <c r="AV880" s="96"/>
      <c r="AW880" s="96"/>
      <c r="AX880" s="96"/>
      <c r="AY880" s="96"/>
      <c r="AZ880" s="96"/>
      <c r="BA880" s="96"/>
      <c r="BB880" s="96"/>
      <c r="BC880" s="96"/>
    </row>
    <row r="881" spans="1:55" ht="15.75" customHeight="1" x14ac:dyDescent="0.2">
      <c r="A881" s="89"/>
      <c r="B881" s="89"/>
      <c r="C881" s="89"/>
      <c r="D881" s="89"/>
      <c r="E881" s="89"/>
      <c r="AU881" s="96"/>
      <c r="AV881" s="96"/>
      <c r="AW881" s="96"/>
      <c r="AX881" s="96"/>
      <c r="AY881" s="96"/>
      <c r="AZ881" s="96"/>
      <c r="BA881" s="96"/>
      <c r="BB881" s="96"/>
      <c r="BC881" s="96"/>
    </row>
    <row r="882" spans="1:55" ht="15.75" customHeight="1" x14ac:dyDescent="0.2">
      <c r="A882" s="89"/>
      <c r="B882" s="89"/>
      <c r="C882" s="89"/>
      <c r="D882" s="89"/>
      <c r="E882" s="89"/>
      <c r="AU882" s="96"/>
      <c r="AV882" s="96"/>
      <c r="AW882" s="96"/>
      <c r="AX882" s="96"/>
      <c r="AY882" s="96"/>
      <c r="AZ882" s="96"/>
      <c r="BA882" s="96"/>
      <c r="BB882" s="96"/>
      <c r="BC882" s="96"/>
    </row>
    <row r="883" spans="1:55" ht="15.75" customHeight="1" x14ac:dyDescent="0.2">
      <c r="A883" s="89"/>
      <c r="B883" s="89"/>
      <c r="C883" s="89"/>
      <c r="D883" s="89"/>
      <c r="E883" s="89"/>
      <c r="AU883" s="96"/>
      <c r="AV883" s="96"/>
      <c r="AW883" s="96"/>
      <c r="AX883" s="96"/>
      <c r="AY883" s="96"/>
      <c r="AZ883" s="96"/>
      <c r="BA883" s="96"/>
      <c r="BB883" s="96"/>
      <c r="BC883" s="96"/>
    </row>
    <row r="884" spans="1:55" ht="15.75" customHeight="1" x14ac:dyDescent="0.2">
      <c r="A884" s="89"/>
      <c r="B884" s="89"/>
      <c r="C884" s="89"/>
      <c r="D884" s="89"/>
      <c r="E884" s="89"/>
      <c r="AU884" s="96"/>
      <c r="AV884" s="96"/>
      <c r="AW884" s="96"/>
      <c r="AX884" s="96"/>
      <c r="AY884" s="96"/>
      <c r="AZ884" s="96"/>
      <c r="BA884" s="96"/>
      <c r="BB884" s="96"/>
      <c r="BC884" s="96"/>
    </row>
    <row r="885" spans="1:55" ht="15.75" customHeight="1" x14ac:dyDescent="0.2">
      <c r="A885" s="89"/>
      <c r="B885" s="89"/>
      <c r="C885" s="89"/>
      <c r="D885" s="89"/>
      <c r="E885" s="89"/>
      <c r="AU885" s="96"/>
      <c r="AV885" s="96"/>
      <c r="AW885" s="96"/>
      <c r="AX885" s="96"/>
      <c r="AY885" s="96"/>
      <c r="AZ885" s="96"/>
      <c r="BA885" s="96"/>
      <c r="BB885" s="96"/>
      <c r="BC885" s="96"/>
    </row>
    <row r="886" spans="1:55" ht="15.75" customHeight="1" x14ac:dyDescent="0.2">
      <c r="A886" s="89"/>
      <c r="B886" s="89"/>
      <c r="C886" s="89"/>
      <c r="D886" s="89"/>
      <c r="E886" s="89"/>
      <c r="AU886" s="96"/>
      <c r="AV886" s="96"/>
      <c r="AW886" s="96"/>
      <c r="AX886" s="96"/>
      <c r="AY886" s="96"/>
      <c r="AZ886" s="96"/>
      <c r="BA886" s="96"/>
      <c r="BB886" s="96"/>
      <c r="BC886" s="96"/>
    </row>
    <row r="887" spans="1:55" ht="15.75" customHeight="1" x14ac:dyDescent="0.2">
      <c r="A887" s="89"/>
      <c r="B887" s="89"/>
      <c r="C887" s="89"/>
      <c r="D887" s="89"/>
      <c r="E887" s="89"/>
      <c r="AU887" s="96"/>
      <c r="AV887" s="96"/>
      <c r="AW887" s="96"/>
      <c r="AX887" s="96"/>
      <c r="AY887" s="96"/>
      <c r="AZ887" s="96"/>
      <c r="BA887" s="96"/>
      <c r="BB887" s="96"/>
      <c r="BC887" s="96"/>
    </row>
    <row r="888" spans="1:55" ht="15.75" customHeight="1" x14ac:dyDescent="0.2">
      <c r="A888" s="89"/>
      <c r="B888" s="89"/>
      <c r="C888" s="89"/>
      <c r="D888" s="89"/>
      <c r="E888" s="89"/>
      <c r="AU888" s="96"/>
      <c r="AV888" s="96"/>
      <c r="AW888" s="96"/>
      <c r="AX888" s="96"/>
      <c r="AY888" s="96"/>
      <c r="AZ888" s="96"/>
      <c r="BA888" s="96"/>
      <c r="BB888" s="96"/>
      <c r="BC888" s="96"/>
    </row>
    <row r="889" spans="1:55" ht="15.75" customHeight="1" x14ac:dyDescent="0.2">
      <c r="A889" s="89"/>
      <c r="B889" s="89"/>
      <c r="C889" s="89"/>
      <c r="D889" s="89"/>
      <c r="E889" s="89"/>
      <c r="AU889" s="96"/>
      <c r="AV889" s="96"/>
      <c r="AW889" s="96"/>
      <c r="AX889" s="96"/>
      <c r="AY889" s="96"/>
      <c r="AZ889" s="96"/>
      <c r="BA889" s="96"/>
      <c r="BB889" s="96"/>
      <c r="BC889" s="96"/>
    </row>
    <row r="890" spans="1:55" ht="15.75" customHeight="1" x14ac:dyDescent="0.2">
      <c r="A890" s="89"/>
      <c r="B890" s="89"/>
      <c r="C890" s="89"/>
      <c r="D890" s="89"/>
      <c r="E890" s="89"/>
      <c r="AU890" s="96"/>
      <c r="AV890" s="96"/>
      <c r="AW890" s="96"/>
      <c r="AX890" s="96"/>
      <c r="AY890" s="96"/>
      <c r="AZ890" s="96"/>
      <c r="BA890" s="96"/>
      <c r="BB890" s="96"/>
      <c r="BC890" s="96"/>
    </row>
    <row r="891" spans="1:55" ht="15.75" customHeight="1" x14ac:dyDescent="0.2">
      <c r="A891" s="89"/>
      <c r="B891" s="89"/>
      <c r="C891" s="89"/>
      <c r="D891" s="89"/>
      <c r="E891" s="89"/>
      <c r="AU891" s="96"/>
      <c r="AV891" s="96"/>
      <c r="AW891" s="96"/>
      <c r="AX891" s="96"/>
      <c r="AY891" s="96"/>
      <c r="AZ891" s="96"/>
      <c r="BA891" s="96"/>
      <c r="BB891" s="96"/>
      <c r="BC891" s="96"/>
    </row>
    <row r="892" spans="1:55" ht="15.75" customHeight="1" x14ac:dyDescent="0.2">
      <c r="A892" s="89"/>
      <c r="B892" s="89"/>
      <c r="C892" s="89"/>
      <c r="D892" s="89"/>
      <c r="E892" s="89"/>
      <c r="AU892" s="96"/>
      <c r="AV892" s="96"/>
      <c r="AW892" s="96"/>
      <c r="AX892" s="96"/>
      <c r="AY892" s="96"/>
      <c r="AZ892" s="96"/>
      <c r="BA892" s="96"/>
      <c r="BB892" s="96"/>
      <c r="BC892" s="96"/>
    </row>
    <row r="893" spans="1:55" ht="15.75" customHeight="1" x14ac:dyDescent="0.2">
      <c r="A893" s="89"/>
      <c r="B893" s="89"/>
      <c r="C893" s="89"/>
      <c r="D893" s="89"/>
      <c r="E893" s="89"/>
      <c r="AU893" s="96"/>
      <c r="AV893" s="96"/>
      <c r="AW893" s="96"/>
      <c r="AX893" s="96"/>
      <c r="AY893" s="96"/>
      <c r="AZ893" s="96"/>
      <c r="BA893" s="96"/>
      <c r="BB893" s="96"/>
      <c r="BC893" s="96"/>
    </row>
    <row r="894" spans="1:55" ht="15.75" customHeight="1" x14ac:dyDescent="0.2">
      <c r="A894" s="89"/>
      <c r="B894" s="89"/>
      <c r="C894" s="89"/>
      <c r="D894" s="89"/>
      <c r="E894" s="89"/>
      <c r="AU894" s="96"/>
      <c r="AV894" s="96"/>
      <c r="AW894" s="96"/>
      <c r="AX894" s="96"/>
      <c r="AY894" s="96"/>
      <c r="AZ894" s="96"/>
      <c r="BA894" s="96"/>
      <c r="BB894" s="96"/>
      <c r="BC894" s="96"/>
    </row>
    <row r="895" spans="1:55" ht="15.75" customHeight="1" x14ac:dyDescent="0.2">
      <c r="A895" s="89"/>
      <c r="B895" s="89"/>
      <c r="C895" s="89"/>
      <c r="D895" s="89"/>
      <c r="E895" s="89"/>
      <c r="AU895" s="96"/>
      <c r="AV895" s="96"/>
      <c r="AW895" s="96"/>
      <c r="AX895" s="96"/>
      <c r="AY895" s="96"/>
      <c r="AZ895" s="96"/>
      <c r="BA895" s="96"/>
      <c r="BB895" s="96"/>
      <c r="BC895" s="96"/>
    </row>
    <row r="896" spans="1:55" ht="15.75" customHeight="1" x14ac:dyDescent="0.2">
      <c r="A896" s="89"/>
      <c r="B896" s="89"/>
      <c r="C896" s="89"/>
      <c r="D896" s="89"/>
      <c r="E896" s="89"/>
      <c r="AU896" s="96"/>
      <c r="AV896" s="96"/>
      <c r="AW896" s="96"/>
      <c r="AX896" s="96"/>
      <c r="AY896" s="96"/>
      <c r="AZ896" s="96"/>
      <c r="BA896" s="96"/>
      <c r="BB896" s="96"/>
      <c r="BC896" s="96"/>
    </row>
    <row r="897" spans="1:55" ht="15.75" customHeight="1" x14ac:dyDescent="0.2">
      <c r="A897" s="89"/>
      <c r="B897" s="89"/>
      <c r="C897" s="89"/>
      <c r="D897" s="89"/>
      <c r="E897" s="89"/>
      <c r="AU897" s="96"/>
      <c r="AV897" s="96"/>
      <c r="AW897" s="96"/>
      <c r="AX897" s="96"/>
      <c r="AY897" s="96"/>
      <c r="AZ897" s="96"/>
      <c r="BA897" s="96"/>
      <c r="BB897" s="96"/>
      <c r="BC897" s="96"/>
    </row>
    <row r="898" spans="1:55" ht="15.75" customHeight="1" x14ac:dyDescent="0.2">
      <c r="A898" s="89"/>
      <c r="B898" s="89"/>
      <c r="C898" s="89"/>
      <c r="D898" s="89"/>
      <c r="E898" s="89"/>
      <c r="AU898" s="96"/>
      <c r="AV898" s="96"/>
      <c r="AW898" s="96"/>
      <c r="AX898" s="96"/>
      <c r="AY898" s="96"/>
      <c r="AZ898" s="96"/>
      <c r="BA898" s="96"/>
      <c r="BB898" s="96"/>
      <c r="BC898" s="96"/>
    </row>
    <row r="899" spans="1:55" ht="15.75" customHeight="1" x14ac:dyDescent="0.2">
      <c r="A899" s="89"/>
      <c r="B899" s="89"/>
      <c r="C899" s="89"/>
      <c r="D899" s="89"/>
      <c r="E899" s="89"/>
      <c r="AU899" s="96"/>
      <c r="AV899" s="96"/>
      <c r="AW899" s="96"/>
      <c r="AX899" s="96"/>
      <c r="AY899" s="96"/>
      <c r="AZ899" s="96"/>
      <c r="BA899" s="96"/>
      <c r="BB899" s="96"/>
      <c r="BC899" s="96"/>
    </row>
    <row r="900" spans="1:55" ht="15.75" customHeight="1" x14ac:dyDescent="0.2">
      <c r="A900" s="89"/>
      <c r="B900" s="89"/>
      <c r="C900" s="89"/>
      <c r="D900" s="89"/>
      <c r="E900" s="89"/>
      <c r="AU900" s="96"/>
      <c r="AV900" s="96"/>
      <c r="AW900" s="96"/>
      <c r="AX900" s="96"/>
      <c r="AY900" s="96"/>
      <c r="AZ900" s="96"/>
      <c r="BA900" s="96"/>
      <c r="BB900" s="96"/>
      <c r="BC900" s="96"/>
    </row>
    <row r="901" spans="1:55" ht="15.75" customHeight="1" x14ac:dyDescent="0.2">
      <c r="A901" s="89"/>
      <c r="B901" s="89"/>
      <c r="C901" s="89"/>
      <c r="D901" s="89"/>
      <c r="E901" s="89"/>
      <c r="AU901" s="96"/>
      <c r="AV901" s="96"/>
      <c r="AW901" s="96"/>
      <c r="AX901" s="96"/>
      <c r="AY901" s="96"/>
      <c r="AZ901" s="96"/>
      <c r="BA901" s="96"/>
      <c r="BB901" s="96"/>
      <c r="BC901" s="96"/>
    </row>
    <row r="902" spans="1:55" ht="15.75" customHeight="1" x14ac:dyDescent="0.2">
      <c r="A902" s="89"/>
      <c r="B902" s="89"/>
      <c r="C902" s="89"/>
      <c r="D902" s="89"/>
      <c r="E902" s="89"/>
      <c r="AU902" s="96"/>
      <c r="AV902" s="96"/>
      <c r="AW902" s="96"/>
      <c r="AX902" s="96"/>
      <c r="AY902" s="96"/>
      <c r="AZ902" s="96"/>
      <c r="BA902" s="96"/>
      <c r="BB902" s="96"/>
      <c r="BC902" s="96"/>
    </row>
    <row r="903" spans="1:55" ht="15.75" customHeight="1" x14ac:dyDescent="0.2">
      <c r="A903" s="89"/>
      <c r="B903" s="89"/>
      <c r="C903" s="89"/>
      <c r="D903" s="89"/>
      <c r="E903" s="89"/>
      <c r="AU903" s="96"/>
      <c r="AV903" s="96"/>
      <c r="AW903" s="96"/>
      <c r="AX903" s="96"/>
      <c r="AY903" s="96"/>
      <c r="AZ903" s="96"/>
      <c r="BA903" s="96"/>
      <c r="BB903" s="96"/>
      <c r="BC903" s="96"/>
    </row>
    <row r="904" spans="1:55" ht="15.75" customHeight="1" x14ac:dyDescent="0.2">
      <c r="A904" s="89"/>
      <c r="B904" s="89"/>
      <c r="C904" s="89"/>
      <c r="D904" s="89"/>
      <c r="E904" s="89"/>
      <c r="AU904" s="96"/>
      <c r="AV904" s="96"/>
      <c r="AW904" s="96"/>
      <c r="AX904" s="96"/>
      <c r="AY904" s="96"/>
      <c r="AZ904" s="96"/>
      <c r="BA904" s="96"/>
      <c r="BB904" s="96"/>
      <c r="BC904" s="96"/>
    </row>
    <row r="905" spans="1:55" ht="15.75" customHeight="1" x14ac:dyDescent="0.2">
      <c r="A905" s="89"/>
      <c r="B905" s="89"/>
      <c r="C905" s="89"/>
      <c r="D905" s="89"/>
      <c r="E905" s="89"/>
      <c r="AU905" s="96"/>
      <c r="AV905" s="96"/>
      <c r="AW905" s="96"/>
      <c r="AX905" s="96"/>
      <c r="AY905" s="96"/>
      <c r="AZ905" s="96"/>
      <c r="BA905" s="96"/>
      <c r="BB905" s="96"/>
      <c r="BC905" s="96"/>
    </row>
    <row r="906" spans="1:55" ht="15.75" customHeight="1" x14ac:dyDescent="0.2">
      <c r="A906" s="89"/>
      <c r="B906" s="89"/>
      <c r="C906" s="89"/>
      <c r="D906" s="89"/>
      <c r="E906" s="89"/>
      <c r="AU906" s="96"/>
      <c r="AV906" s="96"/>
      <c r="AW906" s="96"/>
      <c r="AX906" s="96"/>
      <c r="AY906" s="96"/>
      <c r="AZ906" s="96"/>
      <c r="BA906" s="96"/>
      <c r="BB906" s="96"/>
      <c r="BC906" s="96"/>
    </row>
    <row r="907" spans="1:55" ht="15.75" customHeight="1" x14ac:dyDescent="0.2">
      <c r="A907" s="89"/>
      <c r="B907" s="89"/>
      <c r="C907" s="89"/>
      <c r="D907" s="89"/>
      <c r="E907" s="89"/>
      <c r="AU907" s="96"/>
      <c r="AV907" s="96"/>
      <c r="AW907" s="96"/>
      <c r="AX907" s="96"/>
      <c r="AY907" s="96"/>
      <c r="AZ907" s="96"/>
      <c r="BA907" s="96"/>
      <c r="BB907" s="96"/>
      <c r="BC907" s="96"/>
    </row>
    <row r="908" spans="1:55" ht="15.75" customHeight="1" x14ac:dyDescent="0.2">
      <c r="A908" s="89"/>
      <c r="B908" s="89"/>
      <c r="C908" s="89"/>
      <c r="D908" s="89"/>
      <c r="E908" s="89"/>
      <c r="AU908" s="96"/>
      <c r="AV908" s="96"/>
      <c r="AW908" s="96"/>
      <c r="AX908" s="96"/>
      <c r="AY908" s="96"/>
      <c r="AZ908" s="96"/>
      <c r="BA908" s="96"/>
      <c r="BB908" s="96"/>
      <c r="BC908" s="96"/>
    </row>
    <row r="909" spans="1:55" ht="15.75" customHeight="1" x14ac:dyDescent="0.2">
      <c r="A909" s="89"/>
      <c r="B909" s="89"/>
      <c r="C909" s="89"/>
      <c r="D909" s="89"/>
      <c r="E909" s="89"/>
      <c r="AU909" s="96"/>
      <c r="AV909" s="96"/>
      <c r="AW909" s="96"/>
      <c r="AX909" s="96"/>
      <c r="AY909" s="96"/>
      <c r="AZ909" s="96"/>
      <c r="BA909" s="96"/>
      <c r="BB909" s="96"/>
      <c r="BC909" s="96"/>
    </row>
    <row r="910" spans="1:55" ht="15.75" customHeight="1" x14ac:dyDescent="0.2">
      <c r="A910" s="89"/>
      <c r="B910" s="89"/>
      <c r="C910" s="89"/>
      <c r="D910" s="89"/>
      <c r="E910" s="89"/>
      <c r="AU910" s="96"/>
      <c r="AV910" s="96"/>
      <c r="AW910" s="96"/>
      <c r="AX910" s="96"/>
      <c r="AY910" s="96"/>
      <c r="AZ910" s="96"/>
      <c r="BA910" s="96"/>
      <c r="BB910" s="96"/>
      <c r="BC910" s="96"/>
    </row>
    <row r="911" spans="1:55" ht="15.75" customHeight="1" x14ac:dyDescent="0.2">
      <c r="A911" s="89"/>
      <c r="B911" s="89"/>
      <c r="C911" s="89"/>
      <c r="D911" s="89"/>
      <c r="E911" s="89"/>
      <c r="AU911" s="96"/>
      <c r="AV911" s="96"/>
      <c r="AW911" s="96"/>
      <c r="AX911" s="96"/>
      <c r="AY911" s="96"/>
      <c r="AZ911" s="96"/>
      <c r="BA911" s="96"/>
      <c r="BB911" s="96"/>
      <c r="BC911" s="96"/>
    </row>
    <row r="912" spans="1:55" ht="15.75" customHeight="1" x14ac:dyDescent="0.2">
      <c r="A912" s="89"/>
      <c r="B912" s="89"/>
      <c r="C912" s="89"/>
      <c r="D912" s="89"/>
      <c r="E912" s="89"/>
      <c r="AU912" s="96"/>
      <c r="AV912" s="96"/>
      <c r="AW912" s="96"/>
      <c r="AX912" s="96"/>
      <c r="AY912" s="96"/>
      <c r="AZ912" s="96"/>
      <c r="BA912" s="96"/>
      <c r="BB912" s="96"/>
      <c r="BC912" s="96"/>
    </row>
    <row r="913" spans="1:55" ht="15.75" customHeight="1" x14ac:dyDescent="0.2">
      <c r="A913" s="89"/>
      <c r="B913" s="89"/>
      <c r="C913" s="89"/>
      <c r="D913" s="89"/>
      <c r="E913" s="89"/>
      <c r="AU913" s="96"/>
      <c r="AV913" s="96"/>
      <c r="AW913" s="96"/>
      <c r="AX913" s="96"/>
      <c r="AY913" s="96"/>
      <c r="AZ913" s="96"/>
      <c r="BA913" s="96"/>
      <c r="BB913" s="96"/>
      <c r="BC913" s="96"/>
    </row>
    <row r="914" spans="1:55" ht="15.75" customHeight="1" x14ac:dyDescent="0.2">
      <c r="A914" s="89"/>
      <c r="B914" s="89"/>
      <c r="C914" s="89"/>
      <c r="D914" s="89"/>
      <c r="E914" s="89"/>
      <c r="AU914" s="96"/>
      <c r="AV914" s="96"/>
      <c r="AW914" s="96"/>
      <c r="AX914" s="96"/>
      <c r="AY914" s="96"/>
      <c r="AZ914" s="96"/>
      <c r="BA914" s="96"/>
      <c r="BB914" s="96"/>
      <c r="BC914" s="96"/>
    </row>
    <row r="915" spans="1:55" ht="15.75" customHeight="1" x14ac:dyDescent="0.2">
      <c r="A915" s="89"/>
      <c r="B915" s="89"/>
      <c r="C915" s="89"/>
      <c r="D915" s="89"/>
      <c r="E915" s="89"/>
      <c r="AU915" s="96"/>
      <c r="AV915" s="96"/>
      <c r="AW915" s="96"/>
      <c r="AX915" s="96"/>
      <c r="AY915" s="96"/>
      <c r="AZ915" s="96"/>
      <c r="BA915" s="96"/>
      <c r="BB915" s="96"/>
      <c r="BC915" s="96"/>
    </row>
    <row r="916" spans="1:55" ht="15.75" customHeight="1" x14ac:dyDescent="0.2">
      <c r="A916" s="89"/>
      <c r="B916" s="89"/>
      <c r="C916" s="89"/>
      <c r="D916" s="89"/>
      <c r="E916" s="89"/>
      <c r="AU916" s="96"/>
      <c r="AV916" s="96"/>
      <c r="AW916" s="96"/>
      <c r="AX916" s="96"/>
      <c r="AY916" s="96"/>
      <c r="AZ916" s="96"/>
      <c r="BA916" s="96"/>
      <c r="BB916" s="96"/>
      <c r="BC916" s="96"/>
    </row>
    <row r="917" spans="1:55" ht="15.75" customHeight="1" x14ac:dyDescent="0.2">
      <c r="A917" s="89"/>
      <c r="B917" s="89"/>
      <c r="C917" s="89"/>
      <c r="D917" s="89"/>
      <c r="E917" s="89"/>
      <c r="AU917" s="96"/>
      <c r="AV917" s="96"/>
      <c r="AW917" s="96"/>
      <c r="AX917" s="96"/>
      <c r="AY917" s="96"/>
      <c r="AZ917" s="96"/>
      <c r="BA917" s="96"/>
      <c r="BB917" s="96"/>
      <c r="BC917" s="96"/>
    </row>
    <row r="918" spans="1:55" ht="15.75" customHeight="1" x14ac:dyDescent="0.2">
      <c r="A918" s="89"/>
      <c r="B918" s="89"/>
      <c r="C918" s="89"/>
      <c r="D918" s="89"/>
      <c r="E918" s="89"/>
      <c r="AU918" s="96"/>
      <c r="AV918" s="96"/>
      <c r="AW918" s="96"/>
      <c r="AX918" s="96"/>
      <c r="AY918" s="96"/>
      <c r="AZ918" s="96"/>
      <c r="BA918" s="96"/>
      <c r="BB918" s="96"/>
      <c r="BC918" s="96"/>
    </row>
    <row r="919" spans="1:55" ht="15.75" customHeight="1" x14ac:dyDescent="0.2">
      <c r="A919" s="89"/>
      <c r="B919" s="89"/>
      <c r="C919" s="89"/>
      <c r="D919" s="89"/>
      <c r="E919" s="89"/>
      <c r="AU919" s="96"/>
      <c r="AV919" s="96"/>
      <c r="AW919" s="96"/>
      <c r="AX919" s="96"/>
      <c r="AY919" s="96"/>
      <c r="AZ919" s="96"/>
      <c r="BA919" s="96"/>
      <c r="BB919" s="96"/>
      <c r="BC919" s="96"/>
    </row>
    <row r="920" spans="1:55" ht="15.75" customHeight="1" x14ac:dyDescent="0.2">
      <c r="A920" s="89"/>
      <c r="B920" s="89"/>
      <c r="C920" s="89"/>
      <c r="D920" s="89"/>
      <c r="E920" s="89"/>
      <c r="AU920" s="96"/>
      <c r="AV920" s="96"/>
      <c r="AW920" s="96"/>
      <c r="AX920" s="96"/>
      <c r="AY920" s="96"/>
      <c r="AZ920" s="96"/>
      <c r="BA920" s="96"/>
      <c r="BB920" s="96"/>
      <c r="BC920" s="96"/>
    </row>
    <row r="921" spans="1:55" ht="15.75" customHeight="1" x14ac:dyDescent="0.2">
      <c r="A921" s="89"/>
      <c r="B921" s="89"/>
      <c r="C921" s="89"/>
      <c r="D921" s="89"/>
      <c r="E921" s="89"/>
      <c r="AU921" s="96"/>
      <c r="AV921" s="96"/>
      <c r="AW921" s="96"/>
      <c r="AX921" s="96"/>
      <c r="AY921" s="96"/>
      <c r="AZ921" s="96"/>
      <c r="BA921" s="96"/>
      <c r="BB921" s="96"/>
      <c r="BC921" s="96"/>
    </row>
    <row r="922" spans="1:55" ht="15.75" customHeight="1" x14ac:dyDescent="0.2">
      <c r="A922" s="89"/>
      <c r="B922" s="89"/>
      <c r="C922" s="89"/>
      <c r="D922" s="89"/>
      <c r="E922" s="89"/>
      <c r="AU922" s="96"/>
      <c r="AV922" s="96"/>
      <c r="AW922" s="96"/>
      <c r="AX922" s="96"/>
      <c r="AY922" s="96"/>
      <c r="AZ922" s="96"/>
      <c r="BA922" s="96"/>
      <c r="BB922" s="96"/>
      <c r="BC922" s="96"/>
    </row>
    <row r="923" spans="1:55" ht="15.75" customHeight="1" x14ac:dyDescent="0.2">
      <c r="A923" s="89"/>
      <c r="B923" s="89"/>
      <c r="C923" s="89"/>
      <c r="D923" s="89"/>
      <c r="E923" s="89"/>
      <c r="AU923" s="96"/>
      <c r="AV923" s="96"/>
      <c r="AW923" s="96"/>
      <c r="AX923" s="96"/>
      <c r="AY923" s="96"/>
      <c r="AZ923" s="96"/>
      <c r="BA923" s="96"/>
      <c r="BB923" s="96"/>
      <c r="BC923" s="96"/>
    </row>
    <row r="924" spans="1:55" ht="15.75" customHeight="1" x14ac:dyDescent="0.2">
      <c r="A924" s="89"/>
      <c r="B924" s="89"/>
      <c r="C924" s="89"/>
      <c r="D924" s="89"/>
      <c r="E924" s="89"/>
      <c r="AU924" s="96"/>
      <c r="AV924" s="96"/>
      <c r="AW924" s="96"/>
      <c r="AX924" s="96"/>
      <c r="AY924" s="96"/>
      <c r="AZ924" s="96"/>
      <c r="BA924" s="96"/>
      <c r="BB924" s="96"/>
      <c r="BC924" s="96"/>
    </row>
    <row r="925" spans="1:55" ht="15.75" customHeight="1" x14ac:dyDescent="0.2">
      <c r="A925" s="89"/>
      <c r="B925" s="89"/>
      <c r="C925" s="89"/>
      <c r="D925" s="89"/>
      <c r="E925" s="89"/>
      <c r="AU925" s="96"/>
      <c r="AV925" s="96"/>
      <c r="AW925" s="96"/>
      <c r="AX925" s="96"/>
      <c r="AY925" s="96"/>
      <c r="AZ925" s="96"/>
      <c r="BA925" s="96"/>
      <c r="BB925" s="96"/>
      <c r="BC925" s="96"/>
    </row>
    <row r="926" spans="1:55" ht="15.75" customHeight="1" x14ac:dyDescent="0.2">
      <c r="A926" s="89"/>
      <c r="B926" s="89"/>
      <c r="C926" s="89"/>
      <c r="D926" s="89"/>
      <c r="E926" s="89"/>
      <c r="AU926" s="96"/>
      <c r="AV926" s="96"/>
      <c r="AW926" s="96"/>
      <c r="AX926" s="96"/>
      <c r="AY926" s="96"/>
      <c r="AZ926" s="96"/>
      <c r="BA926" s="96"/>
      <c r="BB926" s="96"/>
      <c r="BC926" s="96"/>
    </row>
    <row r="927" spans="1:55" ht="15.75" customHeight="1" x14ac:dyDescent="0.2">
      <c r="A927" s="89"/>
      <c r="B927" s="89"/>
      <c r="C927" s="89"/>
      <c r="D927" s="89"/>
      <c r="E927" s="89"/>
      <c r="AU927" s="96"/>
      <c r="AV927" s="96"/>
      <c r="AW927" s="96"/>
      <c r="AX927" s="96"/>
      <c r="AY927" s="96"/>
      <c r="AZ927" s="96"/>
      <c r="BA927" s="96"/>
      <c r="BB927" s="96"/>
      <c r="BC927" s="96"/>
    </row>
    <row r="928" spans="1:55" ht="15.75" customHeight="1" x14ac:dyDescent="0.2">
      <c r="A928" s="89"/>
      <c r="B928" s="89"/>
      <c r="C928" s="89"/>
      <c r="D928" s="89"/>
      <c r="E928" s="89"/>
      <c r="AU928" s="96"/>
      <c r="AV928" s="96"/>
      <c r="AW928" s="96"/>
      <c r="AX928" s="96"/>
      <c r="AY928" s="96"/>
      <c r="AZ928" s="96"/>
      <c r="BA928" s="96"/>
      <c r="BB928" s="96"/>
      <c r="BC928" s="96"/>
    </row>
    <row r="929" spans="1:55" ht="15.75" customHeight="1" x14ac:dyDescent="0.2">
      <c r="A929" s="89"/>
      <c r="B929" s="89"/>
      <c r="C929" s="89"/>
      <c r="D929" s="89"/>
      <c r="E929" s="89"/>
      <c r="AU929" s="96"/>
      <c r="AV929" s="96"/>
      <c r="AW929" s="96"/>
      <c r="AX929" s="96"/>
      <c r="AY929" s="96"/>
      <c r="AZ929" s="96"/>
      <c r="BA929" s="96"/>
      <c r="BB929" s="96"/>
      <c r="BC929" s="96"/>
    </row>
    <row r="930" spans="1:55" ht="15.75" customHeight="1" x14ac:dyDescent="0.2">
      <c r="A930" s="89"/>
      <c r="B930" s="89"/>
      <c r="C930" s="89"/>
      <c r="D930" s="89"/>
      <c r="E930" s="89"/>
      <c r="AU930" s="96"/>
      <c r="AV930" s="96"/>
      <c r="AW930" s="96"/>
      <c r="AX930" s="96"/>
      <c r="AY930" s="96"/>
      <c r="AZ930" s="96"/>
      <c r="BA930" s="96"/>
      <c r="BB930" s="96"/>
      <c r="BC930" s="96"/>
    </row>
    <row r="931" spans="1:55" ht="15.75" customHeight="1" x14ac:dyDescent="0.2">
      <c r="A931" s="89"/>
      <c r="B931" s="89"/>
      <c r="C931" s="89"/>
      <c r="D931" s="89"/>
      <c r="E931" s="89"/>
      <c r="AU931" s="96"/>
      <c r="AV931" s="96"/>
      <c r="AW931" s="96"/>
      <c r="AX931" s="96"/>
      <c r="AY931" s="96"/>
      <c r="AZ931" s="96"/>
      <c r="BA931" s="96"/>
      <c r="BB931" s="96"/>
      <c r="BC931" s="96"/>
    </row>
    <row r="932" spans="1:55" ht="15.75" customHeight="1" x14ac:dyDescent="0.2">
      <c r="A932" s="89"/>
      <c r="B932" s="89"/>
      <c r="C932" s="89"/>
      <c r="D932" s="89"/>
      <c r="E932" s="89"/>
      <c r="AU932" s="96"/>
      <c r="AV932" s="96"/>
      <c r="AW932" s="96"/>
      <c r="AX932" s="96"/>
      <c r="AY932" s="96"/>
      <c r="AZ932" s="96"/>
      <c r="BA932" s="96"/>
      <c r="BB932" s="96"/>
      <c r="BC932" s="96"/>
    </row>
    <row r="933" spans="1:55" ht="15.75" customHeight="1" x14ac:dyDescent="0.2">
      <c r="A933" s="89"/>
      <c r="B933" s="89"/>
      <c r="C933" s="89"/>
      <c r="D933" s="89"/>
      <c r="E933" s="89"/>
      <c r="AU933" s="96"/>
      <c r="AV933" s="96"/>
      <c r="AW933" s="96"/>
      <c r="AX933" s="96"/>
      <c r="AY933" s="96"/>
      <c r="AZ933" s="96"/>
      <c r="BA933" s="96"/>
      <c r="BB933" s="96"/>
      <c r="BC933" s="96"/>
    </row>
    <row r="934" spans="1:55" ht="15.75" customHeight="1" x14ac:dyDescent="0.2">
      <c r="A934" s="89"/>
      <c r="B934" s="89"/>
      <c r="C934" s="89"/>
      <c r="D934" s="89"/>
      <c r="E934" s="89"/>
      <c r="AU934" s="96"/>
      <c r="AV934" s="96"/>
      <c r="AW934" s="96"/>
      <c r="AX934" s="96"/>
      <c r="AY934" s="96"/>
      <c r="AZ934" s="96"/>
      <c r="BA934" s="96"/>
      <c r="BB934" s="96"/>
      <c r="BC934" s="96"/>
    </row>
    <row r="935" spans="1:55" ht="15.75" customHeight="1" x14ac:dyDescent="0.2">
      <c r="A935" s="89"/>
      <c r="B935" s="89"/>
      <c r="C935" s="89"/>
      <c r="D935" s="89"/>
      <c r="E935" s="89"/>
      <c r="AU935" s="96"/>
      <c r="AV935" s="96"/>
      <c r="AW935" s="96"/>
      <c r="AX935" s="96"/>
      <c r="AY935" s="96"/>
      <c r="AZ935" s="96"/>
      <c r="BA935" s="96"/>
      <c r="BB935" s="96"/>
      <c r="BC935" s="96"/>
    </row>
    <row r="936" spans="1:55" ht="15.75" customHeight="1" x14ac:dyDescent="0.2">
      <c r="A936" s="89"/>
      <c r="B936" s="89"/>
      <c r="C936" s="89"/>
      <c r="D936" s="89"/>
      <c r="E936" s="89"/>
      <c r="AU936" s="96"/>
      <c r="AV936" s="96"/>
      <c r="AW936" s="96"/>
      <c r="AX936" s="96"/>
      <c r="AY936" s="96"/>
      <c r="AZ936" s="96"/>
      <c r="BA936" s="96"/>
      <c r="BB936" s="96"/>
      <c r="BC936" s="96"/>
    </row>
    <row r="937" spans="1:55" ht="15.75" customHeight="1" x14ac:dyDescent="0.2">
      <c r="A937" s="89"/>
      <c r="B937" s="89"/>
      <c r="C937" s="89"/>
      <c r="D937" s="89"/>
      <c r="E937" s="89"/>
      <c r="AU937" s="96"/>
      <c r="AV937" s="96"/>
      <c r="AW937" s="96"/>
      <c r="AX937" s="96"/>
      <c r="AY937" s="96"/>
      <c r="AZ937" s="96"/>
      <c r="BA937" s="96"/>
      <c r="BB937" s="96"/>
      <c r="BC937" s="96"/>
    </row>
    <row r="938" spans="1:55" ht="15.75" customHeight="1" x14ac:dyDescent="0.2">
      <c r="A938" s="89"/>
      <c r="B938" s="89"/>
      <c r="C938" s="89"/>
      <c r="D938" s="89"/>
      <c r="E938" s="89"/>
      <c r="AU938" s="96"/>
      <c r="AV938" s="96"/>
      <c r="AW938" s="96"/>
      <c r="AX938" s="96"/>
      <c r="AY938" s="96"/>
      <c r="AZ938" s="96"/>
      <c r="BA938" s="96"/>
      <c r="BB938" s="96"/>
      <c r="BC938" s="96"/>
    </row>
    <row r="939" spans="1:55" ht="15.75" customHeight="1" x14ac:dyDescent="0.2">
      <c r="A939" s="89"/>
      <c r="B939" s="89"/>
      <c r="C939" s="89"/>
      <c r="D939" s="89"/>
      <c r="E939" s="89"/>
      <c r="AU939" s="96"/>
      <c r="AV939" s="96"/>
      <c r="AW939" s="96"/>
      <c r="AX939" s="96"/>
      <c r="AY939" s="96"/>
      <c r="AZ939" s="96"/>
      <c r="BA939" s="96"/>
      <c r="BB939" s="96"/>
      <c r="BC939" s="96"/>
    </row>
    <row r="940" spans="1:55" ht="15.75" customHeight="1" x14ac:dyDescent="0.2">
      <c r="A940" s="89"/>
      <c r="B940" s="89"/>
      <c r="C940" s="89"/>
      <c r="D940" s="89"/>
      <c r="E940" s="89"/>
      <c r="AU940" s="96"/>
      <c r="AV940" s="96"/>
      <c r="AW940" s="96"/>
      <c r="AX940" s="96"/>
      <c r="AY940" s="96"/>
      <c r="AZ940" s="96"/>
      <c r="BA940" s="96"/>
      <c r="BB940" s="96"/>
      <c r="BC940" s="96"/>
    </row>
    <row r="941" spans="1:55" ht="15.75" customHeight="1" x14ac:dyDescent="0.2">
      <c r="A941" s="89"/>
      <c r="B941" s="89"/>
      <c r="C941" s="89"/>
      <c r="D941" s="89"/>
      <c r="E941" s="89"/>
      <c r="AU941" s="96"/>
      <c r="AV941" s="96"/>
      <c r="AW941" s="96"/>
      <c r="AX941" s="96"/>
      <c r="AY941" s="96"/>
      <c r="AZ941" s="96"/>
      <c r="BA941" s="96"/>
      <c r="BB941" s="96"/>
      <c r="BC941" s="96"/>
    </row>
    <row r="942" spans="1:55" ht="15.75" customHeight="1" x14ac:dyDescent="0.2">
      <c r="A942" s="89"/>
      <c r="B942" s="89"/>
      <c r="C942" s="89"/>
      <c r="D942" s="89"/>
      <c r="E942" s="89"/>
      <c r="AU942" s="96"/>
      <c r="AV942" s="96"/>
      <c r="AW942" s="96"/>
      <c r="AX942" s="96"/>
      <c r="AY942" s="96"/>
      <c r="AZ942" s="96"/>
      <c r="BA942" s="96"/>
      <c r="BB942" s="96"/>
      <c r="BC942" s="96"/>
    </row>
    <row r="943" spans="1:55" ht="15.75" customHeight="1" x14ac:dyDescent="0.2">
      <c r="A943" s="89"/>
      <c r="B943" s="89"/>
      <c r="C943" s="89"/>
      <c r="D943" s="89"/>
      <c r="E943" s="89"/>
      <c r="AU943" s="96"/>
      <c r="AV943" s="96"/>
      <c r="AW943" s="96"/>
      <c r="AX943" s="96"/>
      <c r="AY943" s="96"/>
      <c r="AZ943" s="96"/>
      <c r="BA943" s="96"/>
      <c r="BB943" s="96"/>
      <c r="BC943" s="96"/>
    </row>
    <row r="944" spans="1:55" ht="15.75" customHeight="1" x14ac:dyDescent="0.2">
      <c r="A944" s="89"/>
      <c r="B944" s="89"/>
      <c r="C944" s="89"/>
      <c r="D944" s="89"/>
      <c r="E944" s="89"/>
      <c r="AU944" s="96"/>
      <c r="AV944" s="96"/>
      <c r="AW944" s="96"/>
      <c r="AX944" s="96"/>
      <c r="AY944" s="96"/>
      <c r="AZ944" s="96"/>
      <c r="BA944" s="96"/>
      <c r="BB944" s="96"/>
      <c r="BC944" s="96"/>
    </row>
    <row r="945" spans="1:55" ht="15.75" customHeight="1" x14ac:dyDescent="0.2">
      <c r="A945" s="89"/>
      <c r="B945" s="89"/>
      <c r="C945" s="89"/>
      <c r="D945" s="89"/>
      <c r="E945" s="89"/>
      <c r="AU945" s="96"/>
      <c r="AV945" s="96"/>
      <c r="AW945" s="96"/>
      <c r="AX945" s="96"/>
      <c r="AY945" s="96"/>
      <c r="AZ945" s="96"/>
      <c r="BA945" s="96"/>
      <c r="BB945" s="96"/>
      <c r="BC945" s="96"/>
    </row>
    <row r="946" spans="1:55" ht="15.75" customHeight="1" x14ac:dyDescent="0.2">
      <c r="A946" s="89"/>
      <c r="B946" s="89"/>
      <c r="C946" s="89"/>
      <c r="D946" s="89"/>
      <c r="E946" s="89"/>
      <c r="AU946" s="96"/>
      <c r="AV946" s="96"/>
      <c r="AW946" s="96"/>
      <c r="AX946" s="96"/>
      <c r="AY946" s="96"/>
      <c r="AZ946" s="96"/>
      <c r="BA946" s="96"/>
      <c r="BB946" s="96"/>
      <c r="BC946" s="96"/>
    </row>
    <row r="947" spans="1:55" ht="15.75" customHeight="1" x14ac:dyDescent="0.2">
      <c r="A947" s="89"/>
      <c r="B947" s="89"/>
      <c r="C947" s="89"/>
      <c r="D947" s="89"/>
      <c r="E947" s="89"/>
      <c r="AU947" s="96"/>
      <c r="AV947" s="96"/>
      <c r="AW947" s="96"/>
      <c r="AX947" s="96"/>
      <c r="AY947" s="96"/>
      <c r="AZ947" s="96"/>
      <c r="BA947" s="96"/>
      <c r="BB947" s="96"/>
      <c r="BC947" s="96"/>
    </row>
    <row r="948" spans="1:55" ht="15.75" customHeight="1" x14ac:dyDescent="0.2">
      <c r="A948" s="89"/>
      <c r="B948" s="89"/>
      <c r="C948" s="89"/>
      <c r="D948" s="89"/>
      <c r="E948" s="89"/>
      <c r="AU948" s="96"/>
      <c r="AV948" s="96"/>
      <c r="AW948" s="96"/>
      <c r="AX948" s="96"/>
      <c r="AY948" s="96"/>
      <c r="AZ948" s="96"/>
      <c r="BA948" s="96"/>
      <c r="BB948" s="96"/>
      <c r="BC948" s="96"/>
    </row>
    <row r="949" spans="1:55" ht="15.75" customHeight="1" x14ac:dyDescent="0.2">
      <c r="A949" s="89"/>
      <c r="B949" s="89"/>
      <c r="C949" s="89"/>
      <c r="D949" s="89"/>
      <c r="E949" s="89"/>
      <c r="AU949" s="96"/>
      <c r="AV949" s="96"/>
      <c r="AW949" s="96"/>
      <c r="AX949" s="96"/>
      <c r="AY949" s="96"/>
      <c r="AZ949" s="96"/>
      <c r="BA949" s="96"/>
      <c r="BB949" s="96"/>
      <c r="BC949" s="96"/>
    </row>
    <row r="950" spans="1:55" ht="15.75" customHeight="1" x14ac:dyDescent="0.2">
      <c r="A950" s="89"/>
      <c r="B950" s="89"/>
      <c r="C950" s="89"/>
      <c r="D950" s="89"/>
      <c r="E950" s="89"/>
      <c r="AU950" s="96"/>
      <c r="AV950" s="96"/>
      <c r="AW950" s="96"/>
      <c r="AX950" s="96"/>
      <c r="AY950" s="96"/>
      <c r="AZ950" s="96"/>
      <c r="BA950" s="96"/>
      <c r="BB950" s="96"/>
      <c r="BC950" s="96"/>
    </row>
    <row r="951" spans="1:55" ht="15.75" customHeight="1" x14ac:dyDescent="0.2">
      <c r="A951" s="89"/>
      <c r="B951" s="89"/>
      <c r="C951" s="89"/>
      <c r="D951" s="89"/>
      <c r="E951" s="89"/>
      <c r="AU951" s="96"/>
      <c r="AV951" s="96"/>
      <c r="AW951" s="96"/>
      <c r="AX951" s="96"/>
      <c r="AY951" s="96"/>
      <c r="AZ951" s="96"/>
      <c r="BA951" s="96"/>
      <c r="BB951" s="96"/>
      <c r="BC951" s="96"/>
    </row>
    <row r="952" spans="1:55" ht="15.75" customHeight="1" x14ac:dyDescent="0.2">
      <c r="A952" s="89"/>
      <c r="B952" s="89"/>
      <c r="C952" s="89"/>
      <c r="D952" s="89"/>
      <c r="E952" s="89"/>
      <c r="AU952" s="96"/>
      <c r="AV952" s="96"/>
      <c r="AW952" s="96"/>
      <c r="AX952" s="96"/>
      <c r="AY952" s="96"/>
      <c r="AZ952" s="96"/>
      <c r="BA952" s="96"/>
      <c r="BB952" s="96"/>
      <c r="BC952" s="96"/>
    </row>
    <row r="953" spans="1:55" ht="15.75" customHeight="1" x14ac:dyDescent="0.2">
      <c r="A953" s="89"/>
      <c r="B953" s="89"/>
      <c r="C953" s="89"/>
      <c r="D953" s="89"/>
      <c r="E953" s="89"/>
      <c r="AU953" s="96"/>
      <c r="AV953" s="96"/>
      <c r="AW953" s="96"/>
      <c r="AX953" s="96"/>
      <c r="AY953" s="96"/>
      <c r="AZ953" s="96"/>
      <c r="BA953" s="96"/>
      <c r="BB953" s="96"/>
      <c r="BC953" s="96"/>
    </row>
    <row r="954" spans="1:55" ht="15.75" customHeight="1" x14ac:dyDescent="0.2">
      <c r="A954" s="89"/>
      <c r="B954" s="89"/>
      <c r="C954" s="89"/>
      <c r="D954" s="89"/>
      <c r="E954" s="89"/>
      <c r="AU954" s="96"/>
      <c r="AV954" s="96"/>
      <c r="AW954" s="96"/>
      <c r="AX954" s="96"/>
      <c r="AY954" s="96"/>
      <c r="AZ954" s="96"/>
      <c r="BA954" s="96"/>
      <c r="BB954" s="96"/>
      <c r="BC954" s="96"/>
    </row>
    <row r="955" spans="1:55" ht="15.75" customHeight="1" x14ac:dyDescent="0.2">
      <c r="A955" s="89"/>
      <c r="B955" s="89"/>
      <c r="C955" s="89"/>
      <c r="D955" s="89"/>
      <c r="E955" s="89"/>
      <c r="AU955" s="96"/>
      <c r="AV955" s="96"/>
      <c r="AW955" s="96"/>
      <c r="AX955" s="96"/>
      <c r="AY955" s="96"/>
      <c r="AZ955" s="96"/>
      <c r="BA955" s="96"/>
      <c r="BB955" s="96"/>
      <c r="BC955" s="96"/>
    </row>
    <row r="956" spans="1:55" ht="15.75" customHeight="1" x14ac:dyDescent="0.2">
      <c r="A956" s="89"/>
      <c r="B956" s="89"/>
      <c r="C956" s="89"/>
      <c r="D956" s="89"/>
      <c r="E956" s="89"/>
      <c r="AU956" s="96"/>
      <c r="AV956" s="96"/>
      <c r="AW956" s="96"/>
      <c r="AX956" s="96"/>
      <c r="AY956" s="96"/>
      <c r="AZ956" s="96"/>
      <c r="BA956" s="96"/>
      <c r="BB956" s="96"/>
      <c r="BC956" s="96"/>
    </row>
    <row r="957" spans="1:55" ht="15.75" customHeight="1" x14ac:dyDescent="0.2">
      <c r="A957" s="89"/>
      <c r="B957" s="89"/>
      <c r="C957" s="89"/>
      <c r="D957" s="89"/>
      <c r="E957" s="89"/>
      <c r="AU957" s="96"/>
      <c r="AV957" s="96"/>
      <c r="AW957" s="96"/>
      <c r="AX957" s="96"/>
      <c r="AY957" s="96"/>
      <c r="AZ957" s="96"/>
      <c r="BA957" s="96"/>
      <c r="BB957" s="96"/>
      <c r="BC957" s="96"/>
    </row>
    <row r="958" spans="1:55" ht="15.75" customHeight="1" x14ac:dyDescent="0.2">
      <c r="A958" s="89"/>
      <c r="B958" s="89"/>
      <c r="C958" s="89"/>
      <c r="D958" s="89"/>
      <c r="E958" s="89"/>
      <c r="AU958" s="96"/>
      <c r="AV958" s="96"/>
      <c r="AW958" s="96"/>
      <c r="AX958" s="96"/>
      <c r="AY958" s="96"/>
      <c r="AZ958" s="96"/>
      <c r="BA958" s="96"/>
      <c r="BB958" s="96"/>
      <c r="BC958" s="96"/>
    </row>
    <row r="959" spans="1:55" ht="15.75" customHeight="1" x14ac:dyDescent="0.2">
      <c r="A959" s="89"/>
      <c r="B959" s="89"/>
      <c r="C959" s="89"/>
      <c r="D959" s="89"/>
      <c r="E959" s="89"/>
      <c r="AU959" s="96"/>
      <c r="AV959" s="96"/>
      <c r="AW959" s="96"/>
      <c r="AX959" s="96"/>
      <c r="AY959" s="96"/>
      <c r="AZ959" s="96"/>
      <c r="BA959" s="96"/>
      <c r="BB959" s="96"/>
      <c r="BC959" s="96"/>
    </row>
    <row r="960" spans="1:55" ht="15.75" customHeight="1" x14ac:dyDescent="0.2">
      <c r="A960" s="89"/>
      <c r="B960" s="89"/>
      <c r="C960" s="89"/>
      <c r="D960" s="89"/>
      <c r="E960" s="89"/>
      <c r="AU960" s="96"/>
      <c r="AV960" s="96"/>
      <c r="AW960" s="96"/>
      <c r="AX960" s="96"/>
      <c r="AY960" s="96"/>
      <c r="AZ960" s="96"/>
      <c r="BA960" s="96"/>
      <c r="BB960" s="96"/>
      <c r="BC960" s="96"/>
    </row>
    <row r="961" spans="1:55" ht="15.75" customHeight="1" x14ac:dyDescent="0.2">
      <c r="A961" s="89"/>
      <c r="B961" s="89"/>
      <c r="C961" s="89"/>
      <c r="D961" s="89"/>
      <c r="E961" s="89"/>
      <c r="AU961" s="96"/>
      <c r="AV961" s="96"/>
      <c r="AW961" s="96"/>
      <c r="AX961" s="96"/>
      <c r="AY961" s="96"/>
      <c r="AZ961" s="96"/>
      <c r="BA961" s="96"/>
      <c r="BB961" s="96"/>
      <c r="BC961" s="96"/>
    </row>
    <row r="962" spans="1:55" ht="15.75" customHeight="1" x14ac:dyDescent="0.2">
      <c r="A962" s="89"/>
      <c r="B962" s="89"/>
      <c r="C962" s="89"/>
      <c r="D962" s="89"/>
      <c r="E962" s="89"/>
      <c r="AU962" s="96"/>
      <c r="AV962" s="96"/>
      <c r="AW962" s="96"/>
      <c r="AX962" s="96"/>
      <c r="AY962" s="96"/>
      <c r="AZ962" s="96"/>
      <c r="BA962" s="96"/>
      <c r="BB962" s="96"/>
      <c r="BC962" s="96"/>
    </row>
    <row r="963" spans="1:55" ht="15.75" customHeight="1" x14ac:dyDescent="0.2">
      <c r="A963" s="89"/>
      <c r="B963" s="89"/>
      <c r="C963" s="89"/>
      <c r="D963" s="89"/>
      <c r="E963" s="89"/>
      <c r="AU963" s="96"/>
      <c r="AV963" s="96"/>
      <c r="AW963" s="96"/>
      <c r="AX963" s="96"/>
      <c r="AY963" s="96"/>
      <c r="AZ963" s="96"/>
      <c r="BA963" s="96"/>
      <c r="BB963" s="96"/>
      <c r="BC963" s="96"/>
    </row>
    <row r="964" spans="1:55" ht="15.75" customHeight="1" x14ac:dyDescent="0.2">
      <c r="A964" s="89"/>
      <c r="B964" s="89"/>
      <c r="C964" s="89"/>
      <c r="D964" s="89"/>
      <c r="E964" s="89"/>
      <c r="AU964" s="96"/>
      <c r="AV964" s="96"/>
      <c r="AW964" s="96"/>
      <c r="AX964" s="96"/>
      <c r="AY964" s="96"/>
      <c r="AZ964" s="96"/>
      <c r="BA964" s="96"/>
      <c r="BB964" s="96"/>
      <c r="BC964" s="96"/>
    </row>
    <row r="965" spans="1:55" ht="15.75" customHeight="1" x14ac:dyDescent="0.2">
      <c r="A965" s="89"/>
      <c r="B965" s="89"/>
      <c r="C965" s="89"/>
      <c r="D965" s="89"/>
      <c r="E965" s="89"/>
      <c r="AU965" s="96"/>
      <c r="AV965" s="96"/>
      <c r="AW965" s="96"/>
      <c r="AX965" s="96"/>
      <c r="AY965" s="96"/>
      <c r="AZ965" s="96"/>
      <c r="BA965" s="96"/>
      <c r="BB965" s="96"/>
      <c r="BC965" s="96"/>
    </row>
    <row r="966" spans="1:55" ht="15.75" customHeight="1" x14ac:dyDescent="0.2">
      <c r="A966" s="89"/>
      <c r="B966" s="89"/>
      <c r="C966" s="89"/>
      <c r="D966" s="89"/>
      <c r="E966" s="89"/>
      <c r="AU966" s="96"/>
      <c r="AV966" s="96"/>
      <c r="AW966" s="96"/>
      <c r="AX966" s="96"/>
      <c r="AY966" s="96"/>
      <c r="AZ966" s="96"/>
      <c r="BA966" s="96"/>
      <c r="BB966" s="96"/>
      <c r="BC966" s="96"/>
    </row>
    <row r="967" spans="1:55" ht="15.75" customHeight="1" x14ac:dyDescent="0.2">
      <c r="A967" s="89"/>
      <c r="B967" s="89"/>
      <c r="C967" s="89"/>
      <c r="D967" s="89"/>
      <c r="E967" s="89"/>
      <c r="AU967" s="96"/>
      <c r="AV967" s="96"/>
      <c r="AW967" s="96"/>
      <c r="AX967" s="96"/>
      <c r="AY967" s="96"/>
      <c r="AZ967" s="96"/>
      <c r="BA967" s="96"/>
      <c r="BB967" s="96"/>
      <c r="BC967" s="96"/>
    </row>
    <row r="968" spans="1:55" ht="15.75" customHeight="1" x14ac:dyDescent="0.2">
      <c r="A968" s="89"/>
      <c r="B968" s="89"/>
      <c r="C968" s="89"/>
      <c r="D968" s="89"/>
      <c r="E968" s="89"/>
      <c r="AU968" s="96"/>
      <c r="AV968" s="96"/>
      <c r="AW968" s="96"/>
      <c r="AX968" s="96"/>
      <c r="AY968" s="96"/>
      <c r="AZ968" s="96"/>
      <c r="BA968" s="96"/>
      <c r="BB968" s="96"/>
      <c r="BC968" s="96"/>
    </row>
    <row r="969" spans="1:55" ht="15.75" customHeight="1" x14ac:dyDescent="0.2">
      <c r="A969" s="89"/>
      <c r="B969" s="89"/>
      <c r="C969" s="89"/>
      <c r="D969" s="89"/>
      <c r="E969" s="89"/>
      <c r="AU969" s="96"/>
      <c r="AV969" s="96"/>
      <c r="AW969" s="96"/>
      <c r="AX969" s="96"/>
      <c r="AY969" s="96"/>
      <c r="AZ969" s="96"/>
      <c r="BA969" s="96"/>
      <c r="BB969" s="96"/>
      <c r="BC969" s="96"/>
    </row>
    <row r="970" spans="1:55" ht="15.75" customHeight="1" x14ac:dyDescent="0.2">
      <c r="A970" s="89"/>
      <c r="B970" s="89"/>
      <c r="C970" s="89"/>
      <c r="D970" s="89"/>
      <c r="E970" s="89"/>
      <c r="AU970" s="96"/>
      <c r="AV970" s="96"/>
      <c r="AW970" s="96"/>
      <c r="AX970" s="96"/>
      <c r="AY970" s="96"/>
      <c r="AZ970" s="96"/>
      <c r="BA970" s="96"/>
      <c r="BB970" s="96"/>
      <c r="BC970" s="96"/>
    </row>
    <row r="971" spans="1:55" ht="15.75" customHeight="1" x14ac:dyDescent="0.2">
      <c r="A971" s="89"/>
      <c r="B971" s="89"/>
      <c r="C971" s="89"/>
      <c r="D971" s="89"/>
      <c r="E971" s="89"/>
      <c r="AU971" s="96"/>
      <c r="AV971" s="96"/>
      <c r="AW971" s="96"/>
      <c r="AX971" s="96"/>
      <c r="AY971" s="96"/>
      <c r="AZ971" s="96"/>
      <c r="BA971" s="96"/>
      <c r="BB971" s="96"/>
      <c r="BC971" s="96"/>
    </row>
    <row r="972" spans="1:55" ht="15.75" customHeight="1" x14ac:dyDescent="0.2">
      <c r="A972" s="89"/>
      <c r="B972" s="89"/>
      <c r="C972" s="89"/>
      <c r="D972" s="89"/>
      <c r="E972" s="89"/>
      <c r="AU972" s="96"/>
      <c r="AV972" s="96"/>
      <c r="AW972" s="96"/>
      <c r="AX972" s="96"/>
      <c r="AY972" s="96"/>
      <c r="AZ972" s="96"/>
      <c r="BA972" s="96"/>
      <c r="BB972" s="96"/>
      <c r="BC972" s="96"/>
    </row>
    <row r="973" spans="1:55" ht="15.75" customHeight="1" x14ac:dyDescent="0.2">
      <c r="A973" s="89"/>
      <c r="B973" s="89"/>
      <c r="C973" s="89"/>
      <c r="D973" s="89"/>
      <c r="E973" s="89"/>
      <c r="AU973" s="96"/>
      <c r="AV973" s="96"/>
      <c r="AW973" s="96"/>
      <c r="AX973" s="96"/>
      <c r="AY973" s="96"/>
      <c r="AZ973" s="96"/>
      <c r="BA973" s="96"/>
      <c r="BB973" s="96"/>
      <c r="BC973" s="96"/>
    </row>
    <row r="974" spans="1:55" ht="15.75" customHeight="1" x14ac:dyDescent="0.2">
      <c r="A974" s="89"/>
      <c r="B974" s="89"/>
      <c r="C974" s="89"/>
      <c r="D974" s="89"/>
      <c r="E974" s="89"/>
      <c r="AU974" s="96"/>
      <c r="AV974" s="96"/>
      <c r="AW974" s="96"/>
      <c r="AX974" s="96"/>
      <c r="AY974" s="96"/>
      <c r="AZ974" s="96"/>
      <c r="BA974" s="96"/>
      <c r="BB974" s="96"/>
      <c r="BC974" s="96"/>
    </row>
    <row r="975" spans="1:55" ht="15.75" customHeight="1" x14ac:dyDescent="0.2">
      <c r="A975" s="89"/>
      <c r="B975" s="89"/>
      <c r="C975" s="89"/>
      <c r="D975" s="89"/>
      <c r="E975" s="89"/>
      <c r="AU975" s="96"/>
      <c r="AV975" s="96"/>
      <c r="AW975" s="96"/>
      <c r="AX975" s="96"/>
      <c r="AY975" s="96"/>
      <c r="AZ975" s="96"/>
      <c r="BA975" s="96"/>
      <c r="BB975" s="96"/>
      <c r="BC975" s="96"/>
    </row>
    <row r="976" spans="1:55" ht="15.75" customHeight="1" x14ac:dyDescent="0.2">
      <c r="A976" s="89"/>
      <c r="B976" s="89"/>
      <c r="C976" s="89"/>
      <c r="D976" s="89"/>
      <c r="E976" s="89"/>
      <c r="AU976" s="96"/>
      <c r="AV976" s="96"/>
      <c r="AW976" s="96"/>
      <c r="AX976" s="96"/>
      <c r="AY976" s="96"/>
      <c r="AZ976" s="96"/>
      <c r="BA976" s="96"/>
      <c r="BB976" s="96"/>
      <c r="BC976" s="96"/>
    </row>
    <row r="977" spans="1:55" ht="15.75" customHeight="1" x14ac:dyDescent="0.2">
      <c r="A977" s="89"/>
      <c r="B977" s="89"/>
      <c r="C977" s="89"/>
      <c r="D977" s="89"/>
      <c r="E977" s="89"/>
      <c r="AU977" s="96"/>
      <c r="AV977" s="96"/>
      <c r="AW977" s="96"/>
      <c r="AX977" s="96"/>
      <c r="AY977" s="96"/>
      <c r="AZ977" s="96"/>
      <c r="BA977" s="96"/>
      <c r="BB977" s="96"/>
      <c r="BC977" s="96"/>
    </row>
    <row r="978" spans="1:55" ht="15.75" customHeight="1" x14ac:dyDescent="0.2">
      <c r="A978" s="89"/>
      <c r="B978" s="89"/>
      <c r="C978" s="89"/>
      <c r="D978" s="89"/>
      <c r="E978" s="89"/>
      <c r="AU978" s="96"/>
      <c r="AV978" s="96"/>
      <c r="AW978" s="96"/>
      <c r="AX978" s="96"/>
      <c r="AY978" s="96"/>
      <c r="AZ978" s="96"/>
      <c r="BA978" s="96"/>
      <c r="BB978" s="96"/>
      <c r="BC978" s="96"/>
    </row>
    <row r="979" spans="1:55" ht="15.75" customHeight="1" x14ac:dyDescent="0.2">
      <c r="A979" s="89"/>
      <c r="B979" s="89"/>
      <c r="C979" s="89"/>
      <c r="D979" s="89"/>
      <c r="E979" s="89"/>
      <c r="AU979" s="96"/>
      <c r="AV979" s="96"/>
      <c r="AW979" s="96"/>
      <c r="AX979" s="96"/>
      <c r="AY979" s="96"/>
      <c r="AZ979" s="96"/>
      <c r="BA979" s="96"/>
      <c r="BB979" s="96"/>
      <c r="BC979" s="96"/>
    </row>
    <row r="980" spans="1:55" ht="15.75" customHeight="1" x14ac:dyDescent="0.2">
      <c r="A980" s="89"/>
      <c r="B980" s="89"/>
      <c r="C980" s="89"/>
      <c r="D980" s="89"/>
      <c r="E980" s="89"/>
      <c r="AU980" s="96"/>
      <c r="AV980" s="96"/>
      <c r="AW980" s="96"/>
      <c r="AX980" s="96"/>
      <c r="AY980" s="96"/>
      <c r="AZ980" s="96"/>
      <c r="BA980" s="96"/>
      <c r="BB980" s="96"/>
      <c r="BC980" s="96"/>
    </row>
    <row r="981" spans="1:55" ht="15.75" customHeight="1" x14ac:dyDescent="0.2">
      <c r="A981" s="89"/>
      <c r="B981" s="89"/>
      <c r="C981" s="89"/>
      <c r="D981" s="89"/>
      <c r="E981" s="89"/>
      <c r="AU981" s="96"/>
      <c r="AV981" s="96"/>
      <c r="AW981" s="96"/>
      <c r="AX981" s="96"/>
      <c r="AY981" s="96"/>
      <c r="AZ981" s="96"/>
      <c r="BA981" s="96"/>
      <c r="BB981" s="96"/>
      <c r="BC981" s="96"/>
    </row>
    <row r="982" spans="1:55" ht="15.75" customHeight="1" x14ac:dyDescent="0.2">
      <c r="A982" s="89"/>
      <c r="B982" s="89"/>
      <c r="C982" s="89"/>
      <c r="D982" s="89"/>
      <c r="E982" s="89"/>
      <c r="AU982" s="96"/>
      <c r="AV982" s="96"/>
      <c r="AW982" s="96"/>
      <c r="AX982" s="96"/>
      <c r="AY982" s="96"/>
      <c r="AZ982" s="96"/>
      <c r="BA982" s="96"/>
      <c r="BB982" s="96"/>
      <c r="BC982" s="96"/>
    </row>
    <row r="983" spans="1:55" ht="15.75" customHeight="1" x14ac:dyDescent="0.2">
      <c r="A983" s="89"/>
      <c r="B983" s="89"/>
      <c r="C983" s="89"/>
      <c r="D983" s="89"/>
      <c r="E983" s="89"/>
      <c r="AU983" s="96"/>
      <c r="AV983" s="96"/>
      <c r="AW983" s="96"/>
      <c r="AX983" s="96"/>
      <c r="AY983" s="96"/>
      <c r="AZ983" s="96"/>
      <c r="BA983" s="96"/>
      <c r="BB983" s="96"/>
      <c r="BC983" s="96"/>
    </row>
    <row r="984" spans="1:55" ht="15.75" customHeight="1" x14ac:dyDescent="0.2">
      <c r="A984" s="89"/>
      <c r="B984" s="89"/>
      <c r="C984" s="89"/>
      <c r="D984" s="89"/>
      <c r="E984" s="89"/>
      <c r="AU984" s="96"/>
      <c r="AV984" s="96"/>
      <c r="AW984" s="96"/>
      <c r="AX984" s="96"/>
      <c r="AY984" s="96"/>
      <c r="AZ984" s="96"/>
      <c r="BA984" s="96"/>
      <c r="BB984" s="96"/>
      <c r="BC984" s="96"/>
    </row>
    <row r="985" spans="1:55" ht="15.75" customHeight="1" x14ac:dyDescent="0.2">
      <c r="A985" s="89"/>
      <c r="B985" s="89"/>
      <c r="C985" s="89"/>
      <c r="D985" s="89"/>
      <c r="E985" s="89"/>
      <c r="AU985" s="96"/>
      <c r="AV985" s="96"/>
      <c r="AW985" s="96"/>
      <c r="AX985" s="96"/>
      <c r="AY985" s="96"/>
      <c r="AZ985" s="96"/>
      <c r="BA985" s="96"/>
      <c r="BB985" s="96"/>
      <c r="BC985" s="96"/>
    </row>
    <row r="986" spans="1:55" ht="15.75" customHeight="1" x14ac:dyDescent="0.2">
      <c r="A986" s="89"/>
      <c r="B986" s="89"/>
      <c r="C986" s="89"/>
      <c r="D986" s="89"/>
      <c r="E986" s="89"/>
      <c r="AU986" s="96"/>
      <c r="AV986" s="96"/>
      <c r="AW986" s="96"/>
      <c r="AX986" s="96"/>
      <c r="AY986" s="96"/>
      <c r="AZ986" s="96"/>
      <c r="BA986" s="96"/>
      <c r="BB986" s="96"/>
      <c r="BC986" s="96"/>
    </row>
    <row r="987" spans="1:55" ht="15.75" customHeight="1" x14ac:dyDescent="0.2">
      <c r="A987" s="89"/>
      <c r="B987" s="89"/>
      <c r="C987" s="89"/>
      <c r="D987" s="89"/>
      <c r="E987" s="89"/>
      <c r="AU987" s="96"/>
      <c r="AV987" s="96"/>
      <c r="AW987" s="96"/>
      <c r="AX987" s="96"/>
      <c r="AY987" s="96"/>
      <c r="AZ987" s="96"/>
      <c r="BA987" s="96"/>
      <c r="BB987" s="96"/>
      <c r="BC987" s="96"/>
    </row>
    <row r="988" spans="1:55" ht="15.75" customHeight="1" x14ac:dyDescent="0.2">
      <c r="A988" s="89"/>
      <c r="B988" s="89"/>
      <c r="C988" s="89"/>
      <c r="D988" s="89"/>
      <c r="E988" s="89"/>
      <c r="AU988" s="96"/>
      <c r="AV988" s="96"/>
      <c r="AW988" s="96"/>
      <c r="AX988" s="96"/>
      <c r="AY988" s="96"/>
      <c r="AZ988" s="96"/>
      <c r="BA988" s="96"/>
      <c r="BB988" s="96"/>
      <c r="BC988" s="96"/>
    </row>
    <row r="989" spans="1:55" ht="15.75" customHeight="1" x14ac:dyDescent="0.2">
      <c r="A989" s="89"/>
      <c r="B989" s="89"/>
      <c r="C989" s="89"/>
      <c r="D989" s="89"/>
      <c r="E989" s="89"/>
      <c r="AU989" s="96"/>
      <c r="AV989" s="96"/>
      <c r="AW989" s="96"/>
      <c r="AX989" s="96"/>
      <c r="AY989" s="96"/>
      <c r="AZ989" s="96"/>
      <c r="BA989" s="96"/>
      <c r="BB989" s="96"/>
      <c r="BC989" s="96"/>
    </row>
    <row r="990" spans="1:55" ht="15.75" customHeight="1" x14ac:dyDescent="0.2">
      <c r="A990" s="89"/>
      <c r="B990" s="89"/>
      <c r="C990" s="89"/>
      <c r="D990" s="89"/>
      <c r="E990" s="89"/>
      <c r="AU990" s="96"/>
      <c r="AV990" s="96"/>
      <c r="AW990" s="96"/>
      <c r="AX990" s="96"/>
      <c r="AY990" s="96"/>
      <c r="AZ990" s="96"/>
      <c r="BA990" s="96"/>
      <c r="BB990" s="96"/>
      <c r="BC990" s="96"/>
    </row>
    <row r="991" spans="1:55" ht="15.75" customHeight="1" x14ac:dyDescent="0.2">
      <c r="A991" s="89"/>
      <c r="B991" s="89"/>
      <c r="C991" s="89"/>
      <c r="D991" s="89"/>
      <c r="E991" s="89"/>
      <c r="AU991" s="96"/>
      <c r="AV991" s="96"/>
      <c r="AW991" s="96"/>
      <c r="AX991" s="96"/>
      <c r="AY991" s="96"/>
      <c r="AZ991" s="96"/>
      <c r="BA991" s="96"/>
      <c r="BB991" s="96"/>
      <c r="BC991" s="96"/>
    </row>
    <row r="992" spans="1:55" ht="15.75" customHeight="1" x14ac:dyDescent="0.2">
      <c r="A992" s="89"/>
      <c r="B992" s="89"/>
      <c r="C992" s="89"/>
      <c r="D992" s="89"/>
      <c r="E992" s="89"/>
      <c r="AU992" s="96"/>
      <c r="AV992" s="96"/>
      <c r="AW992" s="96"/>
      <c r="AX992" s="96"/>
      <c r="AY992" s="96"/>
      <c r="AZ992" s="96"/>
      <c r="BA992" s="96"/>
      <c r="BB992" s="96"/>
      <c r="BC992" s="96"/>
    </row>
    <row r="993" spans="1:55" ht="15.75" customHeight="1" x14ac:dyDescent="0.2">
      <c r="A993" s="89"/>
      <c r="B993" s="89"/>
      <c r="C993" s="89"/>
      <c r="D993" s="89"/>
      <c r="E993" s="89"/>
      <c r="AU993" s="96"/>
      <c r="AV993" s="96"/>
      <c r="AW993" s="96"/>
      <c r="AX993" s="96"/>
      <c r="AY993" s="96"/>
      <c r="AZ993" s="96"/>
      <c r="BA993" s="96"/>
      <c r="BB993" s="96"/>
      <c r="BC993" s="96"/>
    </row>
    <row r="994" spans="1:55" ht="15.75" customHeight="1" x14ac:dyDescent="0.2">
      <c r="A994" s="89"/>
      <c r="B994" s="89"/>
      <c r="C994" s="89"/>
      <c r="D994" s="89"/>
      <c r="E994" s="89"/>
      <c r="AU994" s="96"/>
      <c r="AV994" s="96"/>
      <c r="AW994" s="96"/>
      <c r="AX994" s="96"/>
      <c r="AY994" s="96"/>
      <c r="AZ994" s="96"/>
      <c r="BA994" s="96"/>
      <c r="BB994" s="96"/>
      <c r="BC994" s="96"/>
    </row>
    <row r="995" spans="1:55" ht="15.75" customHeight="1" x14ac:dyDescent="0.2">
      <c r="A995" s="89"/>
      <c r="B995" s="89"/>
      <c r="C995" s="89"/>
      <c r="D995" s="89"/>
      <c r="E995" s="89"/>
      <c r="AU995" s="96"/>
      <c r="AV995" s="96"/>
      <c r="AW995" s="96"/>
      <c r="AX995" s="96"/>
      <c r="AY995" s="96"/>
      <c r="AZ995" s="96"/>
      <c r="BA995" s="96"/>
      <c r="BB995" s="96"/>
      <c r="BC995" s="96"/>
    </row>
    <row r="996" spans="1:55" ht="15.75" customHeight="1" x14ac:dyDescent="0.2">
      <c r="A996" s="89"/>
      <c r="B996" s="89"/>
      <c r="C996" s="89"/>
      <c r="D996" s="89"/>
      <c r="E996" s="89"/>
      <c r="AU996" s="96"/>
      <c r="AV996" s="96"/>
      <c r="AW996" s="96"/>
      <c r="AX996" s="96"/>
      <c r="AY996" s="96"/>
      <c r="AZ996" s="96"/>
      <c r="BA996" s="96"/>
      <c r="BB996" s="96"/>
      <c r="BC996" s="96"/>
    </row>
    <row r="997" spans="1:55" ht="15.75" customHeight="1" x14ac:dyDescent="0.2">
      <c r="A997" s="89"/>
      <c r="B997" s="89"/>
      <c r="C997" s="89"/>
      <c r="D997" s="89"/>
      <c r="E997" s="89"/>
      <c r="AU997" s="96"/>
      <c r="AV997" s="96"/>
      <c r="AW997" s="96"/>
      <c r="AX997" s="96"/>
      <c r="AY997" s="96"/>
      <c r="AZ997" s="96"/>
      <c r="BA997" s="96"/>
      <c r="BB997" s="96"/>
      <c r="BC997" s="96"/>
    </row>
    <row r="998" spans="1:55" ht="15.75" customHeight="1" x14ac:dyDescent="0.2">
      <c r="A998" s="89"/>
      <c r="B998" s="89"/>
      <c r="C998" s="89"/>
      <c r="D998" s="89"/>
      <c r="E998" s="89"/>
      <c r="AU998" s="96"/>
      <c r="AV998" s="96"/>
      <c r="AW998" s="96"/>
      <c r="AX998" s="96"/>
      <c r="AY998" s="96"/>
      <c r="AZ998" s="96"/>
      <c r="BA998" s="96"/>
      <c r="BB998" s="96"/>
      <c r="BC998" s="96"/>
    </row>
    <row r="999" spans="1:55" ht="15.75" customHeight="1" x14ac:dyDescent="0.2">
      <c r="A999" s="89"/>
      <c r="B999" s="89"/>
      <c r="C999" s="89"/>
      <c r="D999" s="89"/>
      <c r="E999" s="89"/>
      <c r="AU999" s="96"/>
      <c r="AV999" s="96"/>
      <c r="AW999" s="96"/>
      <c r="AX999" s="96"/>
      <c r="AY999" s="96"/>
      <c r="AZ999" s="96"/>
      <c r="BA999" s="96"/>
      <c r="BB999" s="96"/>
      <c r="BC999" s="96"/>
    </row>
    <row r="1000" spans="1:55" ht="15.75" customHeight="1" x14ac:dyDescent="0.2">
      <c r="A1000" s="89"/>
      <c r="B1000" s="89"/>
      <c r="C1000" s="89"/>
      <c r="D1000" s="89"/>
      <c r="E1000" s="89"/>
      <c r="AU1000" s="96"/>
      <c r="AV1000" s="96"/>
      <c r="AW1000" s="96"/>
      <c r="AX1000" s="96"/>
      <c r="AY1000" s="96"/>
      <c r="AZ1000" s="96"/>
      <c r="BA1000" s="96"/>
      <c r="BB1000" s="96"/>
      <c r="BC1000" s="96"/>
    </row>
    <row r="1001" spans="1:55" ht="15.75" customHeight="1" x14ac:dyDescent="0.2">
      <c r="A1001" s="89"/>
      <c r="B1001" s="89"/>
      <c r="C1001" s="89"/>
      <c r="D1001" s="89"/>
      <c r="E1001" s="89"/>
      <c r="AU1001" s="96"/>
      <c r="AV1001" s="96"/>
      <c r="AW1001" s="96"/>
      <c r="AX1001" s="96"/>
      <c r="AY1001" s="96"/>
      <c r="AZ1001" s="96"/>
      <c r="BA1001" s="96"/>
      <c r="BB1001" s="96"/>
      <c r="BC1001" s="96"/>
    </row>
    <row r="1002" spans="1:55" ht="15.75" customHeight="1" x14ac:dyDescent="0.2">
      <c r="A1002" s="89"/>
      <c r="B1002" s="89"/>
      <c r="C1002" s="89"/>
      <c r="D1002" s="89"/>
      <c r="E1002" s="89"/>
      <c r="AU1002" s="96"/>
      <c r="AV1002" s="96"/>
      <c r="AW1002" s="96"/>
      <c r="AX1002" s="96"/>
      <c r="AY1002" s="96"/>
      <c r="AZ1002" s="96"/>
      <c r="BA1002" s="96"/>
      <c r="BB1002" s="96"/>
      <c r="BC1002" s="96"/>
    </row>
    <row r="1003" spans="1:55" ht="15.75" customHeight="1" x14ac:dyDescent="0.2">
      <c r="A1003" s="89"/>
      <c r="B1003" s="89"/>
      <c r="C1003" s="89"/>
      <c r="D1003" s="89"/>
      <c r="E1003" s="89"/>
      <c r="AU1003" s="96"/>
      <c r="AV1003" s="96"/>
      <c r="AW1003" s="96"/>
      <c r="AX1003" s="96"/>
      <c r="AY1003" s="96"/>
      <c r="AZ1003" s="96"/>
      <c r="BA1003" s="96"/>
      <c r="BB1003" s="96"/>
      <c r="BC1003" s="96"/>
    </row>
    <row r="1004" spans="1:55" ht="15.75" customHeight="1" x14ac:dyDescent="0.2">
      <c r="A1004" s="89"/>
      <c r="B1004" s="89"/>
      <c r="C1004" s="89"/>
      <c r="D1004" s="89"/>
      <c r="E1004" s="89"/>
      <c r="AU1004" s="96"/>
      <c r="AV1004" s="96"/>
      <c r="AW1004" s="96"/>
      <c r="AX1004" s="96"/>
      <c r="AY1004" s="96"/>
      <c r="AZ1004" s="96"/>
      <c r="BA1004" s="96"/>
      <c r="BB1004" s="96"/>
      <c r="BC1004" s="96"/>
    </row>
    <row r="1005" spans="1:55" ht="15.75" customHeight="1" x14ac:dyDescent="0.2">
      <c r="A1005" s="89"/>
      <c r="B1005" s="89"/>
      <c r="C1005" s="89"/>
      <c r="D1005" s="89"/>
      <c r="E1005" s="89"/>
      <c r="AU1005" s="96"/>
      <c r="AV1005" s="96"/>
      <c r="AW1005" s="96"/>
      <c r="AX1005" s="96"/>
      <c r="AY1005" s="96"/>
      <c r="AZ1005" s="96"/>
      <c r="BA1005" s="96"/>
      <c r="BB1005" s="96"/>
      <c r="BC1005" s="96"/>
    </row>
    <row r="1006" spans="1:55" ht="15.75" customHeight="1" x14ac:dyDescent="0.2">
      <c r="A1006" s="89"/>
      <c r="B1006" s="89"/>
      <c r="C1006" s="89"/>
      <c r="D1006" s="89"/>
      <c r="E1006" s="89"/>
      <c r="AU1006" s="96"/>
      <c r="AV1006" s="96"/>
      <c r="AW1006" s="96"/>
      <c r="AX1006" s="96"/>
      <c r="AY1006" s="96"/>
      <c r="AZ1006" s="96"/>
      <c r="BA1006" s="96"/>
      <c r="BB1006" s="96"/>
      <c r="BC1006" s="96"/>
    </row>
    <row r="1007" spans="1:55" ht="15.75" customHeight="1" x14ac:dyDescent="0.2">
      <c r="A1007" s="89"/>
      <c r="B1007" s="89"/>
      <c r="C1007" s="89"/>
      <c r="D1007" s="89"/>
      <c r="E1007" s="89"/>
      <c r="AU1007" s="96"/>
      <c r="AV1007" s="96"/>
      <c r="AW1007" s="96"/>
      <c r="AX1007" s="96"/>
      <c r="AY1007" s="96"/>
      <c r="AZ1007" s="96"/>
      <c r="BA1007" s="96"/>
      <c r="BB1007" s="96"/>
      <c r="BC1007" s="96"/>
    </row>
    <row r="1008" spans="1:55" ht="15.75" customHeight="1" x14ac:dyDescent="0.2">
      <c r="A1008" s="89"/>
      <c r="B1008" s="89"/>
      <c r="C1008" s="89"/>
      <c r="D1008" s="89"/>
      <c r="E1008" s="89"/>
      <c r="AU1008" s="96"/>
      <c r="AV1008" s="96"/>
      <c r="AW1008" s="96"/>
      <c r="AX1008" s="96"/>
      <c r="AY1008" s="96"/>
      <c r="AZ1008" s="96"/>
      <c r="BA1008" s="96"/>
      <c r="BB1008" s="96"/>
      <c r="BC1008" s="96"/>
    </row>
    <row r="1009" spans="1:55" ht="15.75" customHeight="1" x14ac:dyDescent="0.2">
      <c r="A1009" s="89"/>
      <c r="B1009" s="89"/>
      <c r="C1009" s="89"/>
      <c r="D1009" s="89"/>
      <c r="E1009" s="89"/>
      <c r="AU1009" s="96"/>
      <c r="AV1009" s="96"/>
      <c r="AW1009" s="96"/>
      <c r="AX1009" s="96"/>
      <c r="AY1009" s="96"/>
      <c r="AZ1009" s="96"/>
      <c r="BA1009" s="96"/>
      <c r="BB1009" s="96"/>
      <c r="BC1009" s="96"/>
    </row>
    <row r="1010" spans="1:55" ht="15.75" customHeight="1" x14ac:dyDescent="0.2">
      <c r="A1010" s="89"/>
      <c r="B1010" s="89"/>
      <c r="C1010" s="89"/>
      <c r="D1010" s="89"/>
      <c r="E1010" s="89"/>
      <c r="AU1010" s="96"/>
      <c r="AV1010" s="96"/>
      <c r="AW1010" s="96"/>
      <c r="AX1010" s="96"/>
      <c r="AY1010" s="96"/>
      <c r="AZ1010" s="96"/>
      <c r="BA1010" s="96"/>
      <c r="BB1010" s="96"/>
      <c r="BC1010" s="96"/>
    </row>
    <row r="1011" spans="1:55" ht="15.75" customHeight="1" x14ac:dyDescent="0.2">
      <c r="A1011" s="89"/>
      <c r="B1011" s="89"/>
      <c r="C1011" s="89"/>
      <c r="D1011" s="89"/>
      <c r="E1011" s="89"/>
      <c r="AU1011" s="96"/>
      <c r="AV1011" s="96"/>
      <c r="AW1011" s="96"/>
      <c r="AX1011" s="96"/>
      <c r="AY1011" s="96"/>
      <c r="AZ1011" s="96"/>
      <c r="BA1011" s="96"/>
      <c r="BB1011" s="96"/>
      <c r="BC1011" s="96"/>
    </row>
    <row r="1012" spans="1:55" ht="15.75" customHeight="1" x14ac:dyDescent="0.2">
      <c r="A1012" s="89"/>
      <c r="B1012" s="89"/>
      <c r="C1012" s="89"/>
      <c r="D1012" s="89"/>
      <c r="E1012" s="89"/>
      <c r="AU1012" s="96"/>
      <c r="AV1012" s="96"/>
      <c r="AW1012" s="96"/>
      <c r="AX1012" s="96"/>
      <c r="AY1012" s="96"/>
      <c r="AZ1012" s="96"/>
      <c r="BA1012" s="96"/>
      <c r="BB1012" s="96"/>
      <c r="BC1012" s="96"/>
    </row>
    <row r="1013" spans="1:55" ht="15.75" customHeight="1" x14ac:dyDescent="0.2">
      <c r="A1013" s="89"/>
      <c r="B1013" s="89"/>
      <c r="C1013" s="89"/>
      <c r="D1013" s="89"/>
      <c r="E1013" s="89"/>
      <c r="AU1013" s="96"/>
      <c r="AV1013" s="96"/>
      <c r="AW1013" s="96"/>
      <c r="AX1013" s="96"/>
      <c r="AY1013" s="96"/>
      <c r="AZ1013" s="96"/>
      <c r="BA1013" s="96"/>
      <c r="BB1013" s="96"/>
      <c r="BC1013" s="96"/>
    </row>
    <row r="1014" spans="1:55" ht="15.75" customHeight="1" x14ac:dyDescent="0.2">
      <c r="A1014" s="89"/>
      <c r="B1014" s="89"/>
      <c r="C1014" s="89"/>
      <c r="D1014" s="89"/>
      <c r="E1014" s="89"/>
      <c r="AU1014" s="96"/>
      <c r="AV1014" s="96"/>
      <c r="AW1014" s="96"/>
      <c r="AX1014" s="96"/>
      <c r="AY1014" s="96"/>
      <c r="AZ1014" s="96"/>
      <c r="BA1014" s="96"/>
      <c r="BB1014" s="96"/>
      <c r="BC1014" s="96"/>
    </row>
    <row r="1015" spans="1:55" ht="15.75" customHeight="1" x14ac:dyDescent="0.2">
      <c r="A1015" s="89"/>
      <c r="B1015" s="89"/>
      <c r="C1015" s="89"/>
      <c r="D1015" s="89"/>
      <c r="E1015" s="89"/>
      <c r="AU1015" s="96"/>
      <c r="AV1015" s="96"/>
      <c r="AW1015" s="96"/>
      <c r="AX1015" s="96"/>
      <c r="AY1015" s="96"/>
      <c r="AZ1015" s="96"/>
      <c r="BA1015" s="96"/>
      <c r="BB1015" s="96"/>
      <c r="BC1015" s="96"/>
    </row>
    <row r="1016" spans="1:55" ht="15.75" customHeight="1" x14ac:dyDescent="0.2">
      <c r="A1016" s="89"/>
      <c r="B1016" s="89"/>
      <c r="C1016" s="89"/>
      <c r="D1016" s="89"/>
      <c r="E1016" s="89"/>
      <c r="AU1016" s="96"/>
      <c r="AV1016" s="96"/>
      <c r="AW1016" s="96"/>
      <c r="AX1016" s="96"/>
      <c r="AY1016" s="96"/>
      <c r="AZ1016" s="96"/>
      <c r="BA1016" s="96"/>
      <c r="BB1016" s="96"/>
      <c r="BC1016" s="96"/>
    </row>
    <row r="1017" spans="1:55" ht="15.75" customHeight="1" x14ac:dyDescent="0.2">
      <c r="A1017" s="89"/>
      <c r="B1017" s="89"/>
      <c r="C1017" s="89"/>
      <c r="D1017" s="89"/>
      <c r="E1017" s="89"/>
      <c r="AU1017" s="96"/>
      <c r="AV1017" s="96"/>
      <c r="AW1017" s="96"/>
      <c r="AX1017" s="96"/>
      <c r="AY1017" s="96"/>
      <c r="AZ1017" s="96"/>
      <c r="BA1017" s="96"/>
      <c r="BB1017" s="96"/>
      <c r="BC1017" s="96"/>
    </row>
    <row r="1018" spans="1:55" ht="15.75" customHeight="1" x14ac:dyDescent="0.2">
      <c r="A1018" s="89"/>
      <c r="B1018" s="89"/>
      <c r="C1018" s="89"/>
      <c r="D1018" s="89"/>
      <c r="E1018" s="89"/>
      <c r="AU1018" s="96"/>
      <c r="AV1018" s="96"/>
      <c r="AW1018" s="96"/>
      <c r="AX1018" s="96"/>
      <c r="AY1018" s="96"/>
      <c r="AZ1018" s="96"/>
      <c r="BA1018" s="96"/>
      <c r="BB1018" s="96"/>
      <c r="BC1018" s="96"/>
    </row>
    <row r="1019" spans="1:55" ht="15.75" customHeight="1" x14ac:dyDescent="0.2">
      <c r="A1019" s="89"/>
      <c r="B1019" s="89"/>
      <c r="C1019" s="89"/>
      <c r="D1019" s="89"/>
      <c r="E1019" s="89"/>
      <c r="AU1019" s="96"/>
      <c r="AV1019" s="96"/>
      <c r="AW1019" s="96"/>
      <c r="AX1019" s="96"/>
      <c r="AY1019" s="96"/>
      <c r="AZ1019" s="96"/>
      <c r="BA1019" s="96"/>
      <c r="BB1019" s="96"/>
      <c r="BC1019" s="96"/>
    </row>
    <row r="1020" spans="1:55" ht="15.75" customHeight="1" x14ac:dyDescent="0.2">
      <c r="A1020" s="89"/>
      <c r="B1020" s="89"/>
      <c r="C1020" s="89"/>
      <c r="D1020" s="89"/>
      <c r="E1020" s="89"/>
      <c r="AU1020" s="96"/>
      <c r="AV1020" s="96"/>
      <c r="AW1020" s="96"/>
      <c r="AX1020" s="96"/>
      <c r="AY1020" s="96"/>
      <c r="AZ1020" s="96"/>
      <c r="BA1020" s="96"/>
      <c r="BB1020" s="96"/>
      <c r="BC1020" s="96"/>
    </row>
    <row r="1021" spans="1:55" ht="15.75" customHeight="1" x14ac:dyDescent="0.2">
      <c r="A1021" s="89"/>
      <c r="B1021" s="89"/>
      <c r="C1021" s="89"/>
      <c r="D1021" s="89"/>
      <c r="E1021" s="89"/>
      <c r="AU1021" s="96"/>
      <c r="AV1021" s="96"/>
      <c r="AW1021" s="96"/>
      <c r="AX1021" s="96"/>
      <c r="AY1021" s="96"/>
      <c r="AZ1021" s="96"/>
      <c r="BA1021" s="96"/>
      <c r="BB1021" s="96"/>
      <c r="BC1021" s="96"/>
    </row>
    <row r="1022" spans="1:55" ht="15.75" customHeight="1" x14ac:dyDescent="0.2">
      <c r="A1022" s="89"/>
      <c r="B1022" s="89"/>
      <c r="C1022" s="89"/>
      <c r="D1022" s="89"/>
      <c r="E1022" s="89"/>
      <c r="AU1022" s="96"/>
      <c r="AV1022" s="96"/>
      <c r="AW1022" s="96"/>
      <c r="AX1022" s="96"/>
      <c r="AY1022" s="96"/>
      <c r="AZ1022" s="96"/>
      <c r="BA1022" s="96"/>
      <c r="BB1022" s="96"/>
      <c r="BC1022" s="96"/>
    </row>
    <row r="1023" spans="1:55" ht="15.75" customHeight="1" x14ac:dyDescent="0.2">
      <c r="A1023" s="89"/>
      <c r="B1023" s="89"/>
      <c r="C1023" s="89"/>
      <c r="D1023" s="89"/>
      <c r="E1023" s="89"/>
      <c r="AU1023" s="96"/>
      <c r="AV1023" s="96"/>
      <c r="AW1023" s="96"/>
      <c r="AX1023" s="96"/>
      <c r="AY1023" s="96"/>
      <c r="AZ1023" s="96"/>
      <c r="BA1023" s="96"/>
      <c r="BB1023" s="96"/>
      <c r="BC1023" s="96"/>
    </row>
    <row r="1024" spans="1:55" ht="15.75" customHeight="1" x14ac:dyDescent="0.2">
      <c r="A1024" s="89"/>
      <c r="B1024" s="89"/>
      <c r="C1024" s="89"/>
      <c r="D1024" s="89"/>
      <c r="E1024" s="89"/>
      <c r="AU1024" s="96"/>
      <c r="AV1024" s="96"/>
      <c r="AW1024" s="96"/>
      <c r="AX1024" s="96"/>
      <c r="AY1024" s="96"/>
      <c r="AZ1024" s="96"/>
      <c r="BA1024" s="96"/>
      <c r="BB1024" s="96"/>
      <c r="BC1024" s="96"/>
    </row>
    <row r="1025" spans="1:55" ht="15.75" customHeight="1" x14ac:dyDescent="0.2">
      <c r="A1025" s="89"/>
      <c r="B1025" s="89"/>
      <c r="C1025" s="89"/>
      <c r="D1025" s="89"/>
      <c r="E1025" s="89"/>
      <c r="AU1025" s="96"/>
      <c r="AV1025" s="96"/>
      <c r="AW1025" s="96"/>
      <c r="AX1025" s="96"/>
      <c r="AY1025" s="96"/>
      <c r="AZ1025" s="96"/>
      <c r="BA1025" s="96"/>
      <c r="BB1025" s="96"/>
      <c r="BC1025" s="96"/>
    </row>
    <row r="1026" spans="1:55" ht="15.75" customHeight="1" x14ac:dyDescent="0.2">
      <c r="A1026" s="89"/>
      <c r="B1026" s="89"/>
      <c r="C1026" s="89"/>
      <c r="D1026" s="89"/>
      <c r="E1026" s="89"/>
      <c r="AU1026" s="96"/>
      <c r="AV1026" s="96"/>
      <c r="AW1026" s="96"/>
      <c r="AX1026" s="96"/>
      <c r="AY1026" s="96"/>
      <c r="AZ1026" s="96"/>
      <c r="BA1026" s="96"/>
      <c r="BB1026" s="96"/>
      <c r="BC1026" s="96"/>
    </row>
    <row r="1027" spans="1:55" ht="15.75" customHeight="1" x14ac:dyDescent="0.2">
      <c r="A1027" s="89"/>
      <c r="B1027" s="89"/>
      <c r="C1027" s="89"/>
      <c r="D1027" s="89"/>
      <c r="E1027" s="89"/>
      <c r="AU1027" s="96"/>
      <c r="AV1027" s="96"/>
      <c r="AW1027" s="96"/>
      <c r="AX1027" s="96"/>
      <c r="AY1027" s="96"/>
      <c r="AZ1027" s="96"/>
      <c r="BA1027" s="96"/>
      <c r="BB1027" s="96"/>
      <c r="BC1027" s="96"/>
    </row>
    <row r="1028" spans="1:55" ht="15.75" customHeight="1" x14ac:dyDescent="0.2">
      <c r="A1028" s="89"/>
      <c r="B1028" s="89"/>
      <c r="C1028" s="89"/>
      <c r="D1028" s="89"/>
      <c r="E1028" s="89"/>
      <c r="AU1028" s="96"/>
      <c r="AV1028" s="96"/>
      <c r="AW1028" s="96"/>
      <c r="AX1028" s="96"/>
      <c r="AY1028" s="96"/>
      <c r="AZ1028" s="96"/>
      <c r="BA1028" s="96"/>
      <c r="BB1028" s="96"/>
      <c r="BC1028" s="96"/>
    </row>
    <row r="1029" spans="1:55" ht="15.75" customHeight="1" x14ac:dyDescent="0.2">
      <c r="A1029" s="89"/>
      <c r="B1029" s="89"/>
      <c r="C1029" s="89"/>
      <c r="D1029" s="89"/>
      <c r="E1029" s="89"/>
      <c r="AU1029" s="96"/>
      <c r="AV1029" s="96"/>
      <c r="AW1029" s="96"/>
      <c r="AX1029" s="96"/>
      <c r="AY1029" s="96"/>
      <c r="AZ1029" s="96"/>
      <c r="BA1029" s="96"/>
      <c r="BB1029" s="96"/>
      <c r="BC1029" s="96"/>
    </row>
    <row r="1030" spans="1:55" ht="15.75" customHeight="1" x14ac:dyDescent="0.2">
      <c r="A1030" s="89"/>
      <c r="B1030" s="89"/>
      <c r="C1030" s="89"/>
      <c r="D1030" s="89"/>
      <c r="E1030" s="89"/>
      <c r="AU1030" s="96"/>
      <c r="AV1030" s="96"/>
      <c r="AW1030" s="96"/>
      <c r="AX1030" s="96"/>
      <c r="AY1030" s="96"/>
      <c r="AZ1030" s="96"/>
      <c r="BA1030" s="96"/>
      <c r="BB1030" s="96"/>
      <c r="BC1030" s="96"/>
    </row>
    <row r="1031" spans="1:55" ht="15.75" customHeight="1" x14ac:dyDescent="0.2">
      <c r="A1031" s="89"/>
      <c r="B1031" s="89"/>
      <c r="C1031" s="89"/>
      <c r="D1031" s="89"/>
      <c r="E1031" s="89"/>
      <c r="AU1031" s="96"/>
      <c r="AV1031" s="96"/>
      <c r="AW1031" s="96"/>
      <c r="AX1031" s="96"/>
      <c r="AY1031" s="96"/>
      <c r="AZ1031" s="96"/>
      <c r="BA1031" s="96"/>
      <c r="BB1031" s="96"/>
      <c r="BC1031" s="96"/>
    </row>
    <row r="1032" spans="1:55" ht="15.75" customHeight="1" x14ac:dyDescent="0.2">
      <c r="A1032" s="89"/>
      <c r="B1032" s="89"/>
      <c r="C1032" s="89"/>
      <c r="D1032" s="89"/>
      <c r="E1032" s="89"/>
      <c r="AU1032" s="96"/>
      <c r="AV1032" s="96"/>
      <c r="AW1032" s="96"/>
      <c r="AX1032" s="96"/>
      <c r="AY1032" s="96"/>
      <c r="AZ1032" s="96"/>
      <c r="BA1032" s="96"/>
      <c r="BB1032" s="96"/>
      <c r="BC1032" s="96"/>
    </row>
    <row r="1033" spans="1:55" ht="15.75" customHeight="1" x14ac:dyDescent="0.2">
      <c r="A1033" s="89"/>
      <c r="B1033" s="89"/>
      <c r="C1033" s="89"/>
      <c r="D1033" s="89"/>
      <c r="E1033" s="89"/>
      <c r="AU1033" s="96"/>
      <c r="AV1033" s="96"/>
      <c r="AW1033" s="96"/>
      <c r="AX1033" s="96"/>
      <c r="AY1033" s="96"/>
      <c r="AZ1033" s="96"/>
      <c r="BA1033" s="96"/>
      <c r="BB1033" s="96"/>
      <c r="BC1033" s="96"/>
    </row>
    <row r="1034" spans="1:55" ht="15.75" customHeight="1" x14ac:dyDescent="0.2">
      <c r="A1034" s="89"/>
      <c r="B1034" s="89"/>
      <c r="C1034" s="89"/>
      <c r="D1034" s="89"/>
      <c r="E1034" s="89"/>
      <c r="AU1034" s="96"/>
      <c r="AV1034" s="96"/>
      <c r="AW1034" s="96"/>
      <c r="AX1034" s="96"/>
      <c r="AY1034" s="96"/>
      <c r="AZ1034" s="96"/>
      <c r="BA1034" s="96"/>
      <c r="BB1034" s="96"/>
      <c r="BC1034" s="96"/>
    </row>
    <row r="1035" spans="1:55" ht="15.75" customHeight="1" x14ac:dyDescent="0.2">
      <c r="A1035" s="89"/>
      <c r="B1035" s="89"/>
      <c r="C1035" s="89"/>
      <c r="D1035" s="89"/>
      <c r="E1035" s="89"/>
    </row>
    <row r="1036" spans="1:55" ht="15.75" customHeight="1" x14ac:dyDescent="0.2">
      <c r="A1036" s="89"/>
      <c r="B1036" s="89"/>
      <c r="C1036" s="89"/>
      <c r="D1036" s="89"/>
      <c r="E1036" s="89"/>
    </row>
    <row r="1037" spans="1:55" ht="15.75" customHeight="1" x14ac:dyDescent="0.2">
      <c r="A1037" s="89"/>
      <c r="B1037" s="89"/>
      <c r="C1037" s="89"/>
      <c r="D1037" s="89"/>
      <c r="E1037" s="89"/>
    </row>
    <row r="1038" spans="1:55" ht="15.75" customHeight="1" x14ac:dyDescent="0.2">
      <c r="A1038" s="89"/>
      <c r="B1038" s="89"/>
      <c r="C1038" s="89"/>
      <c r="D1038" s="89"/>
      <c r="E1038" s="89"/>
    </row>
  </sheetData>
  <mergeCells count="34">
    <mergeCell ref="AL191:AP195"/>
    <mergeCell ref="E194:E198"/>
    <mergeCell ref="V194:Z194"/>
    <mergeCell ref="T196:T200"/>
    <mergeCell ref="E199:E203"/>
    <mergeCell ref="T206:T210"/>
    <mergeCell ref="T211:T215"/>
    <mergeCell ref="T216:T220"/>
    <mergeCell ref="E209:E213"/>
    <mergeCell ref="E214:E218"/>
    <mergeCell ref="E204:E208"/>
    <mergeCell ref="T157:T161"/>
    <mergeCell ref="T164:T168"/>
    <mergeCell ref="T171:T175"/>
    <mergeCell ref="T178:T182"/>
    <mergeCell ref="T201:T205"/>
    <mergeCell ref="T185:T189"/>
    <mergeCell ref="AJ85:AO85"/>
    <mergeCell ref="AI93:AO93"/>
    <mergeCell ref="AP93:AQ93"/>
    <mergeCell ref="AB99:AI101"/>
    <mergeCell ref="V153:Z153"/>
    <mergeCell ref="AB153:AF153"/>
    <mergeCell ref="AO153:AS153"/>
    <mergeCell ref="F51:F55"/>
    <mergeCell ref="F58:F62"/>
    <mergeCell ref="F65:F69"/>
    <mergeCell ref="F72:F76"/>
    <mergeCell ref="F79:F83"/>
    <mergeCell ref="F6:F10"/>
    <mergeCell ref="F13:F17"/>
    <mergeCell ref="F20:F24"/>
    <mergeCell ref="F27:F31"/>
    <mergeCell ref="F34:F38"/>
  </mergeCells>
  <conditionalFormatting sqref="J94:N99">
    <cfRule type="colorScale" priority="1">
      <colorScale>
        <cfvo type="min"/>
        <cfvo type="max"/>
        <color rgb="FFFDE9D9"/>
        <color rgb="FF76923C"/>
      </colorScale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O26"/>
  <sheetViews>
    <sheetView workbookViewId="0"/>
  </sheetViews>
  <sheetFormatPr baseColWidth="10" defaultColWidth="14.5" defaultRowHeight="15" customHeight="1" x14ac:dyDescent="0.2"/>
  <cols>
    <col min="1" max="1" width="4.1640625" customWidth="1"/>
    <col min="2" max="2" width="12.33203125" customWidth="1"/>
    <col min="3" max="3" width="3.83203125" customWidth="1"/>
    <col min="4" max="4" width="4.1640625" customWidth="1"/>
    <col min="5" max="5" width="4" customWidth="1"/>
    <col min="6" max="6" width="5.1640625" customWidth="1"/>
    <col min="7" max="7" width="9.83203125" customWidth="1"/>
    <col min="8" max="8" width="9" customWidth="1"/>
    <col min="9" max="9" width="5.1640625" customWidth="1"/>
    <col min="12" max="12" width="3.5" customWidth="1"/>
    <col min="13" max="13" width="11.5" customWidth="1"/>
    <col min="14" max="17" width="5.1640625" customWidth="1"/>
    <col min="18" max="18" width="8.5" customWidth="1"/>
    <col min="19" max="19" width="6.6640625" customWidth="1"/>
    <col min="20" max="20" width="5.1640625" customWidth="1"/>
    <col min="21" max="41" width="5.6640625" customWidth="1"/>
  </cols>
  <sheetData>
    <row r="1" spans="1:41" x14ac:dyDescent="0.2">
      <c r="A1" s="82"/>
      <c r="B1" s="82" t="s">
        <v>290</v>
      </c>
      <c r="C1" s="82" t="s">
        <v>291</v>
      </c>
      <c r="D1" s="82" t="s">
        <v>292</v>
      </c>
      <c r="E1" s="82" t="s">
        <v>293</v>
      </c>
      <c r="F1" s="82" t="s">
        <v>294</v>
      </c>
      <c r="G1" s="82" t="s">
        <v>295</v>
      </c>
      <c r="H1" s="82" t="s">
        <v>296</v>
      </c>
      <c r="I1" s="62" t="s">
        <v>297</v>
      </c>
      <c r="J1" s="62" t="s">
        <v>298</v>
      </c>
      <c r="N1" s="303" t="s">
        <v>104</v>
      </c>
      <c r="O1" s="302"/>
      <c r="P1" s="302"/>
      <c r="Q1" s="302"/>
      <c r="R1" s="302"/>
      <c r="S1" s="302"/>
      <c r="T1" s="304"/>
      <c r="U1" s="303" t="s">
        <v>299</v>
      </c>
      <c r="V1" s="302"/>
      <c r="W1" s="302"/>
      <c r="X1" s="302"/>
      <c r="Y1" s="302"/>
      <c r="Z1" s="302"/>
      <c r="AA1" s="304"/>
      <c r="AB1" s="303" t="s">
        <v>300</v>
      </c>
      <c r="AC1" s="302"/>
      <c r="AD1" s="302"/>
      <c r="AE1" s="302"/>
      <c r="AF1" s="302"/>
      <c r="AG1" s="302"/>
      <c r="AH1" s="304"/>
      <c r="AI1" s="303" t="s">
        <v>301</v>
      </c>
      <c r="AJ1" s="302"/>
      <c r="AK1" s="302"/>
      <c r="AL1" s="302"/>
      <c r="AM1" s="302"/>
      <c r="AN1" s="302"/>
      <c r="AO1" s="304"/>
    </row>
    <row r="2" spans="1:41" x14ac:dyDescent="0.2">
      <c r="A2" s="6">
        <v>1</v>
      </c>
      <c r="B2" s="6" t="s">
        <v>105</v>
      </c>
      <c r="C2" s="6" t="s">
        <v>106</v>
      </c>
      <c r="D2" s="6" t="s">
        <v>107</v>
      </c>
      <c r="E2" s="6" t="s">
        <v>108</v>
      </c>
      <c r="F2" s="6" t="s">
        <v>109</v>
      </c>
      <c r="G2" s="6" t="s">
        <v>110</v>
      </c>
      <c r="H2" s="6" t="s">
        <v>111</v>
      </c>
      <c r="I2" s="6" t="s">
        <v>112</v>
      </c>
      <c r="L2" s="6">
        <v>1</v>
      </c>
      <c r="M2" s="6" t="s">
        <v>105</v>
      </c>
      <c r="N2" s="64" t="s">
        <v>106</v>
      </c>
      <c r="O2" s="6" t="s">
        <v>107</v>
      </c>
      <c r="P2" s="6" t="s">
        <v>108</v>
      </c>
      <c r="Q2" s="6" t="s">
        <v>109</v>
      </c>
      <c r="R2" s="62" t="s">
        <v>110</v>
      </c>
      <c r="S2" s="62" t="s">
        <v>111</v>
      </c>
      <c r="T2" s="65" t="s">
        <v>112</v>
      </c>
      <c r="U2" s="64" t="s">
        <v>106</v>
      </c>
      <c r="V2" s="6" t="s">
        <v>107</v>
      </c>
      <c r="W2" s="6" t="s">
        <v>108</v>
      </c>
      <c r="X2" s="6" t="s">
        <v>109</v>
      </c>
      <c r="Y2" s="62" t="s">
        <v>110</v>
      </c>
      <c r="Z2" s="62" t="s">
        <v>111</v>
      </c>
      <c r="AA2" s="65" t="s">
        <v>112</v>
      </c>
      <c r="AB2" s="64" t="s">
        <v>106</v>
      </c>
      <c r="AC2" s="6" t="s">
        <v>107</v>
      </c>
      <c r="AD2" s="6" t="s">
        <v>108</v>
      </c>
      <c r="AE2" s="6" t="s">
        <v>109</v>
      </c>
      <c r="AF2" s="62" t="s">
        <v>110</v>
      </c>
      <c r="AG2" s="62" t="s">
        <v>111</v>
      </c>
      <c r="AH2" s="65" t="s">
        <v>112</v>
      </c>
      <c r="AI2" s="64" t="s">
        <v>106</v>
      </c>
      <c r="AJ2" s="6" t="s">
        <v>107</v>
      </c>
      <c r="AK2" s="6" t="s">
        <v>108</v>
      </c>
      <c r="AL2" s="6" t="s">
        <v>109</v>
      </c>
      <c r="AM2" s="62" t="s">
        <v>110</v>
      </c>
      <c r="AN2" s="62" t="s">
        <v>111</v>
      </c>
      <c r="AO2" s="65" t="s">
        <v>112</v>
      </c>
    </row>
    <row r="3" spans="1:41" x14ac:dyDescent="0.2">
      <c r="A3" s="6">
        <v>2</v>
      </c>
      <c r="B3" s="6" t="s">
        <v>92</v>
      </c>
      <c r="C3" s="6" t="e">
        <f>SUMPRODUCT((#REF!&gt;=3)*(#REF!&gt;=3))</f>
        <v>#REF!</v>
      </c>
      <c r="D3" s="6" t="e">
        <f>SUMPRODUCT((#REF!&lt;3)*(#REF!&gt;=3))</f>
        <v>#REF!</v>
      </c>
      <c r="E3" s="6" t="e">
        <f>SUMPRODUCT((#REF!&gt;=3)*(#REF!&lt;3))</f>
        <v>#REF!</v>
      </c>
      <c r="F3" s="6" t="e">
        <f>SUMPRODUCT((#REF!&lt;3)*(#REF!&lt;3))</f>
        <v>#REF!</v>
      </c>
      <c r="G3" s="66" t="e">
        <f t="shared" ref="G3:G7" si="0">IF(C3+D3=0, 0, C3/(C3+D3))</f>
        <v>#REF!</v>
      </c>
      <c r="H3" s="6" t="e">
        <f t="shared" ref="H3:H7" si="1">IF(C3+E3=0, 0, C3/(C3+E3))</f>
        <v>#REF!</v>
      </c>
      <c r="I3" s="66" t="e">
        <f t="shared" ref="I3:I7" si="2">IF(G3+H3=0,0,2*G3*H3/(G3+H3))</f>
        <v>#REF!</v>
      </c>
      <c r="L3" s="6">
        <v>2</v>
      </c>
      <c r="M3" s="6" t="s">
        <v>92</v>
      </c>
      <c r="N3" s="64">
        <v>3</v>
      </c>
      <c r="O3" s="6">
        <v>5</v>
      </c>
      <c r="P3" s="6">
        <v>2</v>
      </c>
      <c r="Q3" s="6">
        <v>15</v>
      </c>
      <c r="R3" s="66">
        <v>0.375</v>
      </c>
      <c r="S3" s="6">
        <v>0.6</v>
      </c>
      <c r="T3" s="67">
        <v>0.46153846153846151</v>
      </c>
      <c r="U3" s="64">
        <v>5</v>
      </c>
      <c r="V3" s="6">
        <v>20</v>
      </c>
      <c r="W3" s="6">
        <v>0</v>
      </c>
      <c r="X3" s="6">
        <v>0</v>
      </c>
      <c r="Y3" s="66">
        <v>0.2</v>
      </c>
      <c r="Z3" s="6">
        <v>1</v>
      </c>
      <c r="AA3" s="67">
        <v>0.33333333333333337</v>
      </c>
      <c r="AB3" s="212" t="e">
        <f>SUMPRODUCT((#REF!&gt;=3)*(#REF!&gt;=3))</f>
        <v>#REF!</v>
      </c>
      <c r="AC3" s="6" t="e">
        <f>SUMPRODUCT((#REF!&lt;3)*(#REF!&gt;=3))</f>
        <v>#REF!</v>
      </c>
      <c r="AD3" s="74" t="e">
        <f>SUMPRODUCT((#REF!&gt;=3)*(#REF!&lt;3))</f>
        <v>#REF!</v>
      </c>
      <c r="AE3" s="74" t="e">
        <f>SUMPRODUCT((#REF!&lt;3)*(#REF!&lt;3))</f>
        <v>#REF!</v>
      </c>
      <c r="AF3" s="66" t="e">
        <f t="shared" ref="AF3:AF7" si="3">IF(AB3+AC3=0, 0, AB3/(AB3+AC3))</f>
        <v>#REF!</v>
      </c>
      <c r="AG3" s="66" t="e">
        <f t="shared" ref="AG3:AG7" si="4">IF(AB3+AD3=0, 0, AB3/(AB3+AD3))</f>
        <v>#REF!</v>
      </c>
      <c r="AH3" s="67" t="e">
        <f t="shared" ref="AH3:AH7" si="5">IF(AF3+AG3=0,0,2*AF3*AG3/(AF3+AG3))</f>
        <v>#REF!</v>
      </c>
      <c r="AI3" s="212" t="e">
        <f>SUMPRODUCT((#REF!&gt;=3)*(#REF!&gt;=3))</f>
        <v>#REF!</v>
      </c>
      <c r="AJ3" s="6" t="e">
        <f>SUMPRODUCT((#REF!&lt;3)*(#REF!&gt;=3))</f>
        <v>#REF!</v>
      </c>
      <c r="AK3" s="74" t="e">
        <f>SUMPRODUCT((#REF!&gt;=3)*(#REF!&lt;3))</f>
        <v>#REF!</v>
      </c>
      <c r="AL3" s="74" t="e">
        <f>SUMPRODUCT((#REF!&lt;3)*(#REF!&lt;3))</f>
        <v>#REF!</v>
      </c>
      <c r="AM3" s="66" t="e">
        <f t="shared" ref="AM3:AM7" si="6">IF(AI3+AJ3=0, 0, AI3/(AI3+AJ3))</f>
        <v>#REF!</v>
      </c>
      <c r="AN3" s="66" t="e">
        <f t="shared" ref="AN3:AN7" si="7">IF(AI3+AK3=0, 0, AI3/(AI3+AK3))</f>
        <v>#REF!</v>
      </c>
      <c r="AO3" s="67" t="e">
        <f t="shared" ref="AO3:AO7" si="8">IF(AM3+AN3=0,0,2*AM3*AN3/(AM3+AN3))</f>
        <v>#REF!</v>
      </c>
    </row>
    <row r="4" spans="1:41" x14ac:dyDescent="0.2">
      <c r="A4" s="6">
        <v>3</v>
      </c>
      <c r="B4" s="6" t="s">
        <v>94</v>
      </c>
      <c r="C4" s="6" t="e">
        <f>SUMPRODUCT((#REF!&gt;=3)*(#REF!&gt;=3))</f>
        <v>#REF!</v>
      </c>
      <c r="D4" s="6" t="e">
        <f>SUMPRODUCT((#REF!&lt;3)*(#REF!&gt;=3))</f>
        <v>#REF!</v>
      </c>
      <c r="E4" s="6" t="e">
        <f>SUMPRODUCT((#REF!&gt;=3)*(#REF!&lt;3))</f>
        <v>#REF!</v>
      </c>
      <c r="F4" s="6" t="e">
        <f>SUMPRODUCT((#REF!&lt;3)*(#REF!&lt;3))</f>
        <v>#REF!</v>
      </c>
      <c r="G4" s="6" t="e">
        <f t="shared" si="0"/>
        <v>#REF!</v>
      </c>
      <c r="H4" s="66" t="e">
        <f t="shared" si="1"/>
        <v>#REF!</v>
      </c>
      <c r="I4" s="66" t="e">
        <f t="shared" si="2"/>
        <v>#REF!</v>
      </c>
      <c r="L4" s="6">
        <v>3</v>
      </c>
      <c r="M4" s="6" t="s">
        <v>94</v>
      </c>
      <c r="N4" s="64">
        <v>6</v>
      </c>
      <c r="O4" s="6">
        <v>2</v>
      </c>
      <c r="P4" s="6">
        <v>0</v>
      </c>
      <c r="Q4" s="6">
        <v>17</v>
      </c>
      <c r="R4" s="6">
        <v>0.75</v>
      </c>
      <c r="S4" s="6">
        <v>1</v>
      </c>
      <c r="T4" s="67">
        <v>0.8571428571428571</v>
      </c>
      <c r="U4" s="64">
        <v>4</v>
      </c>
      <c r="V4" s="6">
        <v>12</v>
      </c>
      <c r="W4" s="6">
        <v>2</v>
      </c>
      <c r="X4" s="6">
        <v>7</v>
      </c>
      <c r="Y4" s="6">
        <v>0.25</v>
      </c>
      <c r="Z4" s="66">
        <v>0.66666666666666663</v>
      </c>
      <c r="AA4" s="67">
        <v>0.36363636363636365</v>
      </c>
      <c r="AB4" s="212" t="e">
        <f>SUMPRODUCT((#REF!&gt;=3)*(#REF!&gt;=3))</f>
        <v>#REF!</v>
      </c>
      <c r="AC4" s="6" t="e">
        <f>SUMPRODUCT((#REF!&lt;3)*(#REF!&gt;=3))</f>
        <v>#REF!</v>
      </c>
      <c r="AD4" s="74" t="e">
        <f>SUMPRODUCT((#REF!&gt;=3)*(#REF!&lt;3))</f>
        <v>#REF!</v>
      </c>
      <c r="AE4" s="74" t="e">
        <f>SUMPRODUCT((#REF!&lt;3)*(#REF!&lt;3))</f>
        <v>#REF!</v>
      </c>
      <c r="AF4" s="66" t="e">
        <f t="shared" si="3"/>
        <v>#REF!</v>
      </c>
      <c r="AG4" s="66" t="e">
        <f t="shared" si="4"/>
        <v>#REF!</v>
      </c>
      <c r="AH4" s="67" t="e">
        <f t="shared" si="5"/>
        <v>#REF!</v>
      </c>
      <c r="AI4" s="212" t="e">
        <f>SUMPRODUCT((#REF!&gt;=3)*(#REF!&gt;=3))</f>
        <v>#REF!</v>
      </c>
      <c r="AJ4" s="6" t="e">
        <f>SUMPRODUCT((#REF!&lt;3)*(#REF!&gt;=3))</f>
        <v>#REF!</v>
      </c>
      <c r="AK4" s="74" t="e">
        <f>SUMPRODUCT((#REF!&gt;=3)*(#REF!&lt;3))</f>
        <v>#REF!</v>
      </c>
      <c r="AL4" s="74" t="e">
        <f>SUMPRODUCT((#REF!&lt;3)*(#REF!&lt;3))</f>
        <v>#REF!</v>
      </c>
      <c r="AM4" s="66" t="e">
        <f t="shared" si="6"/>
        <v>#REF!</v>
      </c>
      <c r="AN4" s="66" t="e">
        <f t="shared" si="7"/>
        <v>#REF!</v>
      </c>
      <c r="AO4" s="67" t="e">
        <f t="shared" si="8"/>
        <v>#REF!</v>
      </c>
    </row>
    <row r="5" spans="1:41" x14ac:dyDescent="0.2">
      <c r="A5" s="6">
        <v>4</v>
      </c>
      <c r="B5" s="6" t="s">
        <v>96</v>
      </c>
      <c r="C5" s="6" t="e">
        <f>SUMPRODUCT((#REF!&gt;=3)*(#REF!&gt;=3))</f>
        <v>#REF!</v>
      </c>
      <c r="D5" s="6" t="e">
        <f>SUMPRODUCT((#REF!&lt;3)*(#REF!&gt;=3))</f>
        <v>#REF!</v>
      </c>
      <c r="E5" s="6" t="e">
        <f>SUMPRODUCT((#REF!&gt;=3)*(#REF!&lt;3))</f>
        <v>#REF!</v>
      </c>
      <c r="F5" s="6" t="e">
        <f>SUMPRODUCT((#REF!&lt;3)*(#REF!&lt;3))</f>
        <v>#REF!</v>
      </c>
      <c r="G5" s="6" t="e">
        <f t="shared" si="0"/>
        <v>#REF!</v>
      </c>
      <c r="H5" s="6" t="e">
        <f t="shared" si="1"/>
        <v>#REF!</v>
      </c>
      <c r="I5" s="66" t="e">
        <f t="shared" si="2"/>
        <v>#REF!</v>
      </c>
      <c r="L5" s="6">
        <v>4</v>
      </c>
      <c r="M5" s="6" t="s">
        <v>96</v>
      </c>
      <c r="N5" s="64">
        <v>6</v>
      </c>
      <c r="O5" s="6">
        <v>0</v>
      </c>
      <c r="P5" s="6">
        <v>2</v>
      </c>
      <c r="Q5" s="6">
        <v>17</v>
      </c>
      <c r="R5" s="6">
        <v>1</v>
      </c>
      <c r="S5" s="6">
        <v>0.75</v>
      </c>
      <c r="T5" s="67">
        <v>0.8571428571428571</v>
      </c>
      <c r="U5" s="64">
        <v>8</v>
      </c>
      <c r="V5" s="6">
        <v>17</v>
      </c>
      <c r="W5" s="6">
        <v>0</v>
      </c>
      <c r="X5" s="6">
        <v>0</v>
      </c>
      <c r="Y5" s="6">
        <v>0.32</v>
      </c>
      <c r="Z5" s="6">
        <v>1</v>
      </c>
      <c r="AA5" s="67">
        <v>0.48484848484848486</v>
      </c>
      <c r="AB5" s="212" t="e">
        <f>SUMPRODUCT((#REF!&gt;=3)*(#REF!&gt;=3))</f>
        <v>#REF!</v>
      </c>
      <c r="AC5" s="6" t="e">
        <f>SUMPRODUCT((#REF!&lt;3)*(#REF!&gt;=3))</f>
        <v>#REF!</v>
      </c>
      <c r="AD5" s="74" t="e">
        <f>SUMPRODUCT((#REF!&gt;=3)*(#REF!&lt;3))</f>
        <v>#REF!</v>
      </c>
      <c r="AE5" s="74" t="e">
        <f>SUMPRODUCT((#REF!&lt;3)*(#REF!&lt;3))</f>
        <v>#REF!</v>
      </c>
      <c r="AF5" s="66" t="e">
        <f t="shared" si="3"/>
        <v>#REF!</v>
      </c>
      <c r="AG5" s="66" t="e">
        <f t="shared" si="4"/>
        <v>#REF!</v>
      </c>
      <c r="AH5" s="67" t="e">
        <f t="shared" si="5"/>
        <v>#REF!</v>
      </c>
      <c r="AI5" s="212" t="e">
        <f>SUMPRODUCT((#REF!&gt;=3)*(#REF!&gt;=3))</f>
        <v>#REF!</v>
      </c>
      <c r="AJ5" s="6" t="e">
        <f>SUMPRODUCT((#REF!&lt;3)*(#REF!&gt;=3))</f>
        <v>#REF!</v>
      </c>
      <c r="AK5" s="74" t="e">
        <f>SUMPRODUCT((#REF!&gt;=3)*(#REF!&lt;3))</f>
        <v>#REF!</v>
      </c>
      <c r="AL5" s="74" t="e">
        <f>SUMPRODUCT((#REF!&lt;3)*(#REF!&lt;3))</f>
        <v>#REF!</v>
      </c>
      <c r="AM5" s="66" t="e">
        <f t="shared" si="6"/>
        <v>#REF!</v>
      </c>
      <c r="AN5" s="66" t="e">
        <f t="shared" si="7"/>
        <v>#REF!</v>
      </c>
      <c r="AO5" s="67" t="e">
        <f t="shared" si="8"/>
        <v>#REF!</v>
      </c>
    </row>
    <row r="6" spans="1:41" x14ac:dyDescent="0.2">
      <c r="A6" s="6">
        <v>5</v>
      </c>
      <c r="B6" s="6" t="s">
        <v>95</v>
      </c>
      <c r="C6" s="6" t="e">
        <f>SUMPRODUCT((#REF!&gt;=3)*(#REF!&gt;=3))</f>
        <v>#REF!</v>
      </c>
      <c r="D6" s="6" t="e">
        <f>SUMPRODUCT((#REF!&lt;3)*(#REF!&gt;=3))</f>
        <v>#REF!</v>
      </c>
      <c r="E6" s="6" t="e">
        <f>SUMPRODUCT((#REF!&gt;=3)*(#REF!&lt;3))</f>
        <v>#REF!</v>
      </c>
      <c r="F6" s="6" t="e">
        <f>SUMPRODUCT((#REF!&lt;3)*(#REF!&lt;3))</f>
        <v>#REF!</v>
      </c>
      <c r="G6" s="66" t="e">
        <f t="shared" si="0"/>
        <v>#REF!</v>
      </c>
      <c r="H6" s="66" t="e">
        <f t="shared" si="1"/>
        <v>#REF!</v>
      </c>
      <c r="I6" s="66" t="e">
        <f t="shared" si="2"/>
        <v>#REF!</v>
      </c>
      <c r="L6" s="6">
        <v>5</v>
      </c>
      <c r="M6" s="6" t="s">
        <v>95</v>
      </c>
      <c r="N6" s="64">
        <v>6</v>
      </c>
      <c r="O6" s="6">
        <v>2</v>
      </c>
      <c r="P6" s="6">
        <v>1</v>
      </c>
      <c r="Q6" s="6">
        <v>16</v>
      </c>
      <c r="R6" s="6">
        <v>0.75</v>
      </c>
      <c r="S6" s="66">
        <v>0.8571428571428571</v>
      </c>
      <c r="T6" s="67">
        <v>0.79999999999999993</v>
      </c>
      <c r="U6" s="64">
        <v>6</v>
      </c>
      <c r="V6" s="6">
        <v>13</v>
      </c>
      <c r="W6" s="6">
        <v>1</v>
      </c>
      <c r="X6" s="6">
        <v>5</v>
      </c>
      <c r="Y6" s="66">
        <v>0.31578947368421051</v>
      </c>
      <c r="Z6" s="66">
        <v>0.8571428571428571</v>
      </c>
      <c r="AA6" s="67">
        <v>0.46153846153846156</v>
      </c>
      <c r="AB6" s="212" t="e">
        <f>SUMPRODUCT((#REF!&gt;=3)*(#REF!&gt;=3))</f>
        <v>#REF!</v>
      </c>
      <c r="AC6" s="6" t="e">
        <f>SUMPRODUCT((#REF!&lt;3)*(#REF!&gt;=3))</f>
        <v>#REF!</v>
      </c>
      <c r="AD6" s="74" t="e">
        <f>SUMPRODUCT((#REF!&gt;=3)*(#REF!&lt;3))</f>
        <v>#REF!</v>
      </c>
      <c r="AE6" s="74" t="e">
        <f>SUMPRODUCT((#REF!&lt;3)*(#REF!&lt;3))</f>
        <v>#REF!</v>
      </c>
      <c r="AF6" s="66" t="e">
        <f t="shared" si="3"/>
        <v>#REF!</v>
      </c>
      <c r="AG6" s="66" t="e">
        <f t="shared" si="4"/>
        <v>#REF!</v>
      </c>
      <c r="AH6" s="67" t="e">
        <f t="shared" si="5"/>
        <v>#REF!</v>
      </c>
      <c r="AI6" s="212" t="e">
        <f>SUMPRODUCT((#REF!&gt;=3)*(#REF!&gt;=3))</f>
        <v>#REF!</v>
      </c>
      <c r="AJ6" s="6" t="e">
        <f>SUMPRODUCT((#REF!&lt;3)*(#REF!&gt;=3))</f>
        <v>#REF!</v>
      </c>
      <c r="AK6" s="74" t="e">
        <f>SUMPRODUCT((#REF!&gt;=3)*(#REF!&lt;3))</f>
        <v>#REF!</v>
      </c>
      <c r="AL6" s="74" t="e">
        <f>SUMPRODUCT((#REF!&lt;3)*(#REF!&lt;3))</f>
        <v>#REF!</v>
      </c>
      <c r="AM6" s="66" t="e">
        <f t="shared" si="6"/>
        <v>#REF!</v>
      </c>
      <c r="AN6" s="66" t="e">
        <f t="shared" si="7"/>
        <v>#REF!</v>
      </c>
      <c r="AO6" s="67" t="e">
        <f t="shared" si="8"/>
        <v>#REF!</v>
      </c>
    </row>
    <row r="7" spans="1:41" x14ac:dyDescent="0.2">
      <c r="A7" s="6">
        <v>6</v>
      </c>
      <c r="B7" s="6" t="s">
        <v>93</v>
      </c>
      <c r="C7" s="6" t="e">
        <f>SUMPRODUCT((#REF!&gt;=3)*(#REF!&gt;=3))</f>
        <v>#REF!</v>
      </c>
      <c r="D7" s="6" t="e">
        <f>SUMPRODUCT((#REF!&lt;3)*(#REF!&gt;=3))</f>
        <v>#REF!</v>
      </c>
      <c r="E7" s="6" t="e">
        <f>SUMPRODUCT((#REF!&gt;=3)*(#REF!&lt;3))</f>
        <v>#REF!</v>
      </c>
      <c r="F7" s="6" t="e">
        <f>SUMPRODUCT((#REF!&lt;3)*(#REF!&lt;3))</f>
        <v>#REF!</v>
      </c>
      <c r="G7" s="66" t="e">
        <f t="shared" si="0"/>
        <v>#REF!</v>
      </c>
      <c r="H7" s="66" t="e">
        <f t="shared" si="1"/>
        <v>#REF!</v>
      </c>
      <c r="I7" s="66" t="e">
        <f t="shared" si="2"/>
        <v>#REF!</v>
      </c>
      <c r="L7" s="6">
        <v>6</v>
      </c>
      <c r="M7" s="6" t="s">
        <v>93</v>
      </c>
      <c r="N7" s="64">
        <v>6</v>
      </c>
      <c r="O7" s="6">
        <v>0</v>
      </c>
      <c r="P7" s="6">
        <v>5</v>
      </c>
      <c r="Q7" s="6">
        <v>14</v>
      </c>
      <c r="R7" s="6">
        <v>1</v>
      </c>
      <c r="S7" s="66">
        <v>0.54545454545454541</v>
      </c>
      <c r="T7" s="67">
        <v>0.70588235294117641</v>
      </c>
      <c r="U7" s="64">
        <v>10</v>
      </c>
      <c r="V7" s="6">
        <v>8</v>
      </c>
      <c r="W7" s="6">
        <v>1</v>
      </c>
      <c r="X7" s="6">
        <v>6</v>
      </c>
      <c r="Y7" s="66">
        <v>0.55555555555555558</v>
      </c>
      <c r="Z7" s="66">
        <v>0.90909090909090906</v>
      </c>
      <c r="AA7" s="67">
        <v>0.68965517241379315</v>
      </c>
      <c r="AB7" s="212" t="e">
        <f>SUMPRODUCT((#REF!&gt;=3)*(#REF!&gt;=3))</f>
        <v>#REF!</v>
      </c>
      <c r="AC7" s="6" t="e">
        <f>SUMPRODUCT((#REF!&lt;3)*(#REF!&gt;=3))</f>
        <v>#REF!</v>
      </c>
      <c r="AD7" s="74" t="e">
        <f>SUMPRODUCT((#REF!&gt;=3)*(#REF!&lt;3))</f>
        <v>#REF!</v>
      </c>
      <c r="AE7" s="74" t="e">
        <f>SUMPRODUCT((#REF!&lt;3)*(#REF!&lt;3))</f>
        <v>#REF!</v>
      </c>
      <c r="AF7" s="66" t="e">
        <f t="shared" si="3"/>
        <v>#REF!</v>
      </c>
      <c r="AG7" s="66" t="e">
        <f t="shared" si="4"/>
        <v>#REF!</v>
      </c>
      <c r="AH7" s="67" t="e">
        <f t="shared" si="5"/>
        <v>#REF!</v>
      </c>
      <c r="AI7" s="212" t="e">
        <f>SUMPRODUCT((#REF!&gt;=3)*(#REF!&gt;=3))</f>
        <v>#REF!</v>
      </c>
      <c r="AJ7" s="6" t="e">
        <f>SUMPRODUCT((#REF!&lt;3)*(#REF!&gt;=3))</f>
        <v>#REF!</v>
      </c>
      <c r="AK7" s="74" t="e">
        <f>SUMPRODUCT((#REF!&gt;=3)*(#REF!&lt;3))</f>
        <v>#REF!</v>
      </c>
      <c r="AL7" s="74" t="e">
        <f>SUMPRODUCT((#REF!&lt;3)*(#REF!&lt;3))</f>
        <v>#REF!</v>
      </c>
      <c r="AM7" s="66" t="e">
        <f t="shared" si="6"/>
        <v>#REF!</v>
      </c>
      <c r="AN7" s="66" t="e">
        <f t="shared" si="7"/>
        <v>#REF!</v>
      </c>
      <c r="AO7" s="67" t="e">
        <f t="shared" si="8"/>
        <v>#REF!</v>
      </c>
    </row>
    <row r="8" spans="1:41" x14ac:dyDescent="0.2">
      <c r="A8" s="6">
        <v>7</v>
      </c>
      <c r="B8" s="6" t="s">
        <v>113</v>
      </c>
      <c r="C8" s="6" t="e">
        <f t="shared" ref="C8:F8" si="9">SUM(C3:C7)</f>
        <v>#REF!</v>
      </c>
      <c r="D8" s="6" t="e">
        <f t="shared" si="9"/>
        <v>#REF!</v>
      </c>
      <c r="E8" s="6" t="e">
        <f t="shared" si="9"/>
        <v>#REF!</v>
      </c>
      <c r="F8" s="6" t="e">
        <f t="shared" si="9"/>
        <v>#REF!</v>
      </c>
      <c r="G8" s="104" t="e">
        <f t="shared" ref="G8:I8" si="10">AVERAGE(G3:G7)</f>
        <v>#REF!</v>
      </c>
      <c r="H8" s="104" t="e">
        <f t="shared" si="10"/>
        <v>#REF!</v>
      </c>
      <c r="I8" s="104" t="e">
        <f t="shared" si="10"/>
        <v>#REF!</v>
      </c>
      <c r="L8" s="6">
        <v>7</v>
      </c>
      <c r="M8" s="6" t="s">
        <v>113</v>
      </c>
      <c r="N8" s="68">
        <v>27</v>
      </c>
      <c r="O8" s="69">
        <v>9</v>
      </c>
      <c r="P8" s="69">
        <v>10</v>
      </c>
      <c r="Q8" s="69">
        <v>79</v>
      </c>
      <c r="R8" s="213">
        <v>0.77500000000000002</v>
      </c>
      <c r="S8" s="213">
        <v>0.75051948051948059</v>
      </c>
      <c r="T8" s="214">
        <v>0.73634130575307033</v>
      </c>
      <c r="U8" s="68">
        <v>33</v>
      </c>
      <c r="V8" s="69">
        <v>70</v>
      </c>
      <c r="W8" s="69">
        <v>4</v>
      </c>
      <c r="X8" s="69">
        <v>18</v>
      </c>
      <c r="Y8" s="213">
        <v>0.32826900584795327</v>
      </c>
      <c r="Z8" s="213">
        <v>0.88658008658008658</v>
      </c>
      <c r="AA8" s="214">
        <v>0.46660236315408732</v>
      </c>
      <c r="AB8" s="70" t="e">
        <f t="shared" ref="AB8:AE8" si="11">SUM(AB3:AB7)</f>
        <v>#REF!</v>
      </c>
      <c r="AC8" s="69" t="e">
        <f t="shared" si="11"/>
        <v>#REF!</v>
      </c>
      <c r="AD8" s="71" t="e">
        <f t="shared" si="11"/>
        <v>#REF!</v>
      </c>
      <c r="AE8" s="71" t="e">
        <f t="shared" si="11"/>
        <v>#REF!</v>
      </c>
      <c r="AF8" s="213" t="e">
        <f t="shared" ref="AF8:AH8" si="12">AVERAGE(AF3:AF7)</f>
        <v>#REF!</v>
      </c>
      <c r="AG8" s="213" t="e">
        <f t="shared" si="12"/>
        <v>#REF!</v>
      </c>
      <c r="AH8" s="214" t="e">
        <f t="shared" si="12"/>
        <v>#REF!</v>
      </c>
      <c r="AI8" s="70" t="e">
        <f t="shared" ref="AI8:AL8" si="13">SUM(AI3:AI7)</f>
        <v>#REF!</v>
      </c>
      <c r="AJ8" s="69" t="e">
        <f t="shared" si="13"/>
        <v>#REF!</v>
      </c>
      <c r="AK8" s="71" t="e">
        <f t="shared" si="13"/>
        <v>#REF!</v>
      </c>
      <c r="AL8" s="71" t="e">
        <f t="shared" si="13"/>
        <v>#REF!</v>
      </c>
      <c r="AM8" s="213" t="e">
        <f t="shared" ref="AM8:AO8" si="14">AVERAGE(AM3:AM7)</f>
        <v>#REF!</v>
      </c>
      <c r="AN8" s="213" t="e">
        <f t="shared" si="14"/>
        <v>#REF!</v>
      </c>
      <c r="AO8" s="214" t="e">
        <f t="shared" si="14"/>
        <v>#REF!</v>
      </c>
    </row>
    <row r="10" spans="1:41" x14ac:dyDescent="0.2">
      <c r="B10" s="6" t="s">
        <v>290</v>
      </c>
      <c r="C10" s="6" t="s">
        <v>291</v>
      </c>
      <c r="D10" s="6" t="s">
        <v>292</v>
      </c>
      <c r="E10" s="6" t="s">
        <v>293</v>
      </c>
      <c r="F10" s="6" t="s">
        <v>294</v>
      </c>
      <c r="G10" s="6" t="s">
        <v>295</v>
      </c>
      <c r="H10" s="6" t="s">
        <v>296</v>
      </c>
      <c r="I10" s="6" t="s">
        <v>297</v>
      </c>
    </row>
    <row r="11" spans="1:41" x14ac:dyDescent="0.2">
      <c r="A11" s="6">
        <v>1</v>
      </c>
      <c r="B11" s="6" t="s">
        <v>105</v>
      </c>
      <c r="C11" s="6" t="s">
        <v>106</v>
      </c>
      <c r="D11" s="6" t="s">
        <v>107</v>
      </c>
      <c r="E11" s="6" t="s">
        <v>108</v>
      </c>
      <c r="F11" s="6" t="s">
        <v>109</v>
      </c>
      <c r="G11" s="6" t="s">
        <v>110</v>
      </c>
      <c r="H11" s="6" t="s">
        <v>111</v>
      </c>
      <c r="I11" s="6" t="s">
        <v>112</v>
      </c>
      <c r="J11" s="62" t="s">
        <v>302</v>
      </c>
    </row>
    <row r="12" spans="1:41" x14ac:dyDescent="0.2">
      <c r="A12" s="6">
        <v>2</v>
      </c>
      <c r="B12" s="6" t="s">
        <v>92</v>
      </c>
      <c r="C12" s="6">
        <v>3</v>
      </c>
      <c r="D12" s="6">
        <v>5</v>
      </c>
      <c r="E12" s="6">
        <v>2</v>
      </c>
      <c r="F12" s="6">
        <v>15</v>
      </c>
      <c r="G12" s="66">
        <v>0.375</v>
      </c>
      <c r="H12" s="6">
        <v>0.6</v>
      </c>
      <c r="I12" s="66">
        <v>0.46153846153846151</v>
      </c>
    </row>
    <row r="13" spans="1:41" x14ac:dyDescent="0.2">
      <c r="A13" s="6">
        <v>3</v>
      </c>
      <c r="B13" s="6" t="s">
        <v>94</v>
      </c>
      <c r="C13" s="6">
        <v>6</v>
      </c>
      <c r="D13" s="6">
        <v>2</v>
      </c>
      <c r="E13" s="6">
        <v>0</v>
      </c>
      <c r="F13" s="6">
        <v>17</v>
      </c>
      <c r="G13" s="6">
        <v>0.75</v>
      </c>
      <c r="H13" s="6">
        <v>1</v>
      </c>
      <c r="I13" s="66">
        <v>0.8571428571428571</v>
      </c>
      <c r="AI13" s="62"/>
      <c r="AJ13" s="62"/>
      <c r="AK13" s="65"/>
    </row>
    <row r="14" spans="1:41" x14ac:dyDescent="0.2">
      <c r="A14" s="6">
        <v>4</v>
      </c>
      <c r="B14" s="6" t="s">
        <v>96</v>
      </c>
      <c r="C14" s="6">
        <v>6</v>
      </c>
      <c r="D14" s="6">
        <v>0</v>
      </c>
      <c r="E14" s="6">
        <v>2</v>
      </c>
      <c r="F14" s="6">
        <v>17</v>
      </c>
      <c r="G14" s="6">
        <v>1</v>
      </c>
      <c r="H14" s="6">
        <v>0.75</v>
      </c>
      <c r="I14" s="66">
        <v>0.8571428571428571</v>
      </c>
      <c r="AI14" s="66"/>
      <c r="AJ14" s="66"/>
      <c r="AK14" s="66"/>
    </row>
    <row r="15" spans="1:41" x14ac:dyDescent="0.2">
      <c r="A15" s="6">
        <v>5</v>
      </c>
      <c r="B15" s="6" t="s">
        <v>95</v>
      </c>
      <c r="C15" s="6">
        <v>6</v>
      </c>
      <c r="D15" s="6">
        <v>2</v>
      </c>
      <c r="E15" s="6">
        <v>1</v>
      </c>
      <c r="F15" s="6">
        <v>16</v>
      </c>
      <c r="G15" s="6">
        <v>0.75</v>
      </c>
      <c r="H15" s="66">
        <v>0.8571428571428571</v>
      </c>
      <c r="I15" s="66">
        <v>0.79999999999999993</v>
      </c>
    </row>
    <row r="16" spans="1:41" x14ac:dyDescent="0.2">
      <c r="A16" s="6">
        <v>6</v>
      </c>
      <c r="B16" s="6" t="s">
        <v>93</v>
      </c>
      <c r="C16" s="6">
        <v>6</v>
      </c>
      <c r="D16" s="6">
        <v>0</v>
      </c>
      <c r="E16" s="6">
        <v>5</v>
      </c>
      <c r="F16" s="6">
        <v>14</v>
      </c>
      <c r="G16" s="6">
        <v>1</v>
      </c>
      <c r="H16" s="66">
        <v>0.54545454545454541</v>
      </c>
      <c r="I16" s="66">
        <v>0.70588235294117641</v>
      </c>
    </row>
    <row r="17" spans="1:21" x14ac:dyDescent="0.2">
      <c r="A17" s="6">
        <v>7</v>
      </c>
      <c r="B17" s="6" t="s">
        <v>113</v>
      </c>
      <c r="C17" s="6">
        <v>27</v>
      </c>
      <c r="D17" s="6">
        <v>9</v>
      </c>
      <c r="E17" s="6">
        <v>10</v>
      </c>
      <c r="F17" s="6">
        <v>79</v>
      </c>
      <c r="G17" s="215">
        <v>0.77500000000000002</v>
      </c>
      <c r="H17" s="215">
        <v>0.75051948051948059</v>
      </c>
      <c r="I17" s="134">
        <v>0.73634130575307033</v>
      </c>
    </row>
    <row r="18" spans="1:21" x14ac:dyDescent="0.2">
      <c r="S18" s="62"/>
      <c r="T18" s="62"/>
      <c r="U18" s="65"/>
    </row>
    <row r="19" spans="1:21" x14ac:dyDescent="0.2">
      <c r="B19" s="6" t="s">
        <v>290</v>
      </c>
      <c r="C19" s="6" t="s">
        <v>291</v>
      </c>
      <c r="D19" s="6" t="s">
        <v>292</v>
      </c>
      <c r="E19" s="6" t="s">
        <v>293</v>
      </c>
      <c r="F19" s="6" t="s">
        <v>294</v>
      </c>
      <c r="G19" s="6" t="s">
        <v>295</v>
      </c>
      <c r="H19" s="6" t="s">
        <v>296</v>
      </c>
      <c r="I19" s="6" t="s">
        <v>297</v>
      </c>
      <c r="J19" s="62" t="s">
        <v>303</v>
      </c>
      <c r="S19" s="66"/>
      <c r="T19" s="66"/>
      <c r="U19" s="66"/>
    </row>
    <row r="20" spans="1:21" x14ac:dyDescent="0.2">
      <c r="A20" s="6">
        <v>1</v>
      </c>
      <c r="B20" s="6" t="s">
        <v>105</v>
      </c>
      <c r="C20" s="6" t="s">
        <v>106</v>
      </c>
      <c r="D20" s="6" t="s">
        <v>107</v>
      </c>
      <c r="E20" s="6" t="s">
        <v>108</v>
      </c>
      <c r="F20" s="6" t="s">
        <v>109</v>
      </c>
      <c r="G20" s="6" t="s">
        <v>110</v>
      </c>
      <c r="H20" s="6" t="s">
        <v>111</v>
      </c>
      <c r="I20" s="6" t="s">
        <v>112</v>
      </c>
    </row>
    <row r="21" spans="1:21" x14ac:dyDescent="0.2">
      <c r="A21" s="6">
        <v>2</v>
      </c>
      <c r="B21" s="6" t="s">
        <v>92</v>
      </c>
      <c r="C21" s="74">
        <v>3</v>
      </c>
      <c r="D21" s="6">
        <v>17</v>
      </c>
      <c r="E21" s="74">
        <v>2</v>
      </c>
      <c r="F21" s="74">
        <v>3</v>
      </c>
      <c r="G21" s="66">
        <v>0.15</v>
      </c>
      <c r="H21" s="66">
        <v>0.6</v>
      </c>
      <c r="I21" s="66">
        <v>0.24</v>
      </c>
    </row>
    <row r="22" spans="1:21" x14ac:dyDescent="0.2">
      <c r="A22" s="6">
        <v>3</v>
      </c>
      <c r="B22" s="6" t="s">
        <v>94</v>
      </c>
      <c r="C22" s="74">
        <v>6</v>
      </c>
      <c r="D22" s="6">
        <v>14</v>
      </c>
      <c r="E22" s="74">
        <v>0</v>
      </c>
      <c r="F22" s="74">
        <v>5</v>
      </c>
      <c r="G22" s="66">
        <v>0.3</v>
      </c>
      <c r="H22" s="66">
        <v>1</v>
      </c>
      <c r="I22" s="66">
        <v>0.46153846153846151</v>
      </c>
    </row>
    <row r="23" spans="1:21" x14ac:dyDescent="0.2">
      <c r="A23" s="6">
        <v>4</v>
      </c>
      <c r="B23" s="6" t="s">
        <v>96</v>
      </c>
      <c r="C23" s="74">
        <v>4</v>
      </c>
      <c r="D23" s="6">
        <v>4</v>
      </c>
      <c r="E23" s="74">
        <v>4</v>
      </c>
      <c r="F23" s="74">
        <v>13</v>
      </c>
      <c r="G23" s="66">
        <v>0.5</v>
      </c>
      <c r="H23" s="66">
        <v>0.5</v>
      </c>
      <c r="I23" s="66">
        <v>0.5</v>
      </c>
    </row>
    <row r="24" spans="1:21" x14ac:dyDescent="0.2">
      <c r="A24" s="6">
        <v>5</v>
      </c>
      <c r="B24" s="6" t="s">
        <v>95</v>
      </c>
      <c r="C24" s="74">
        <v>1</v>
      </c>
      <c r="D24" s="6">
        <v>4</v>
      </c>
      <c r="E24" s="74">
        <v>6</v>
      </c>
      <c r="F24" s="74">
        <v>14</v>
      </c>
      <c r="G24" s="66">
        <v>0.2</v>
      </c>
      <c r="H24" s="66">
        <v>0.14285714285714285</v>
      </c>
      <c r="I24" s="66">
        <v>0.16666666666666666</v>
      </c>
    </row>
    <row r="25" spans="1:21" x14ac:dyDescent="0.2">
      <c r="A25" s="6">
        <v>6</v>
      </c>
      <c r="B25" s="6" t="s">
        <v>93</v>
      </c>
      <c r="C25" s="74">
        <v>2</v>
      </c>
      <c r="D25" s="6">
        <v>1</v>
      </c>
      <c r="E25" s="74">
        <v>9</v>
      </c>
      <c r="F25" s="74">
        <v>13</v>
      </c>
      <c r="G25" s="66">
        <v>0.66666666666666663</v>
      </c>
      <c r="H25" s="66">
        <v>0.18181818181818182</v>
      </c>
      <c r="I25" s="66">
        <v>0.28571428571428575</v>
      </c>
    </row>
    <row r="26" spans="1:21" x14ac:dyDescent="0.2">
      <c r="A26" s="6">
        <v>7</v>
      </c>
      <c r="B26" s="6" t="s">
        <v>113</v>
      </c>
      <c r="C26" s="74">
        <v>16</v>
      </c>
      <c r="D26" s="6">
        <v>40</v>
      </c>
      <c r="E26" s="74">
        <v>21</v>
      </c>
      <c r="F26" s="74">
        <v>48</v>
      </c>
      <c r="G26" s="216">
        <v>0.36333333333333329</v>
      </c>
      <c r="H26" s="216">
        <v>0.48493506493506489</v>
      </c>
      <c r="I26" s="217">
        <v>0.33078388278388282</v>
      </c>
    </row>
  </sheetData>
  <mergeCells count="4">
    <mergeCell ref="N1:T1"/>
    <mergeCell ref="U1:AA1"/>
    <mergeCell ref="AB1:AH1"/>
    <mergeCell ref="AI1:A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K1000"/>
  <sheetViews>
    <sheetView workbookViewId="0"/>
  </sheetViews>
  <sheetFormatPr baseColWidth="10" defaultColWidth="14.5" defaultRowHeight="15" customHeight="1" x14ac:dyDescent="0.2"/>
  <cols>
    <col min="1" max="1" width="10.6640625" customWidth="1"/>
    <col min="2" max="2" width="33.83203125" customWidth="1"/>
    <col min="3" max="3" width="5" customWidth="1"/>
    <col min="4" max="4" width="17" customWidth="1"/>
    <col min="5" max="19" width="10.6640625" customWidth="1"/>
    <col min="20" max="20" width="2.33203125" customWidth="1"/>
    <col min="21" max="26" width="4.5" customWidth="1"/>
    <col min="27" max="27" width="7.1640625" customWidth="1"/>
    <col min="28" max="28" width="4.5" customWidth="1"/>
    <col min="29" max="29" width="6.5" customWidth="1"/>
    <col min="30" max="30" width="8" customWidth="1"/>
    <col min="31" max="35" width="4.5" customWidth="1"/>
    <col min="36" max="36" width="7.1640625" customWidth="1"/>
    <col min="37" max="45" width="4.33203125" customWidth="1"/>
    <col min="46" max="46" width="4.6640625" customWidth="1"/>
    <col min="47" max="47" width="16.33203125" customWidth="1"/>
    <col min="48" max="63" width="5.33203125" customWidth="1"/>
  </cols>
  <sheetData>
    <row r="1" spans="1:63" ht="52.5" customHeight="1" x14ac:dyDescent="0.2">
      <c r="A1" s="14"/>
      <c r="B1" s="1" t="s">
        <v>0</v>
      </c>
      <c r="C1" s="1" t="s">
        <v>1</v>
      </c>
      <c r="D1" s="1" t="s">
        <v>2</v>
      </c>
      <c r="E1" s="14"/>
      <c r="F1" s="1" t="s">
        <v>304</v>
      </c>
      <c r="G1" s="1" t="s">
        <v>305</v>
      </c>
      <c r="H1" s="1" t="s">
        <v>306</v>
      </c>
      <c r="I1" s="15" t="s">
        <v>307</v>
      </c>
      <c r="J1" s="15" t="s">
        <v>308</v>
      </c>
      <c r="K1" s="15" t="s">
        <v>309</v>
      </c>
      <c r="L1" s="15" t="s">
        <v>310</v>
      </c>
      <c r="M1" s="15" t="s">
        <v>311</v>
      </c>
      <c r="N1" s="15" t="s">
        <v>312</v>
      </c>
      <c r="O1" s="15" t="s">
        <v>313</v>
      </c>
      <c r="P1" s="15" t="s">
        <v>314</v>
      </c>
      <c r="Q1" s="15" t="s">
        <v>315</v>
      </c>
      <c r="R1" s="15" t="s">
        <v>316</v>
      </c>
      <c r="S1" s="15" t="s">
        <v>317</v>
      </c>
      <c r="T1" s="16" t="s">
        <v>318</v>
      </c>
      <c r="U1" s="17" t="s">
        <v>319</v>
      </c>
      <c r="V1" s="17" t="s">
        <v>320</v>
      </c>
      <c r="W1" s="17" t="s">
        <v>321</v>
      </c>
      <c r="X1" s="17" t="s">
        <v>322</v>
      </c>
      <c r="Y1" s="17" t="s">
        <v>323</v>
      </c>
      <c r="Z1" s="17" t="s">
        <v>324</v>
      </c>
      <c r="AA1" s="17" t="s">
        <v>325</v>
      </c>
      <c r="AB1" s="4" t="s">
        <v>76</v>
      </c>
      <c r="AC1" s="4" t="s">
        <v>77</v>
      </c>
      <c r="AD1" s="4" t="s">
        <v>78</v>
      </c>
      <c r="AE1" s="4" t="s">
        <v>79</v>
      </c>
      <c r="AF1" s="4" t="s">
        <v>80</v>
      </c>
      <c r="AG1" s="17" t="s">
        <v>61</v>
      </c>
      <c r="AH1" s="17" t="s">
        <v>62</v>
      </c>
      <c r="AI1" s="17" t="s">
        <v>63</v>
      </c>
      <c r="AJ1" s="17" t="s">
        <v>64</v>
      </c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218"/>
      <c r="AV1" s="219" t="s">
        <v>319</v>
      </c>
      <c r="AW1" s="219" t="s">
        <v>320</v>
      </c>
      <c r="AX1" s="219" t="s">
        <v>321</v>
      </c>
      <c r="AY1" s="219" t="s">
        <v>322</v>
      </c>
      <c r="AZ1" s="219" t="s">
        <v>323</v>
      </c>
      <c r="BA1" s="219" t="s">
        <v>324</v>
      </c>
      <c r="BB1" s="219" t="s">
        <v>325</v>
      </c>
      <c r="BC1" s="220" t="s">
        <v>76</v>
      </c>
      <c r="BD1" s="220" t="s">
        <v>77</v>
      </c>
      <c r="BE1" s="220" t="s">
        <v>78</v>
      </c>
      <c r="BF1" s="220" t="s">
        <v>79</v>
      </c>
      <c r="BG1" s="220" t="s">
        <v>80</v>
      </c>
      <c r="BH1" s="219" t="s">
        <v>61</v>
      </c>
      <c r="BI1" s="219" t="s">
        <v>62</v>
      </c>
      <c r="BJ1" s="219" t="s">
        <v>63</v>
      </c>
      <c r="BK1" s="219" t="s">
        <v>64</v>
      </c>
    </row>
    <row r="2" spans="1:63" ht="19.5" customHeight="1" x14ac:dyDescent="0.2">
      <c r="A2" s="300" t="s">
        <v>8</v>
      </c>
      <c r="B2" s="18" t="s">
        <v>9</v>
      </c>
      <c r="C2" s="18">
        <v>1952</v>
      </c>
      <c r="D2" s="18" t="s">
        <v>10</v>
      </c>
      <c r="E2" s="18" t="s">
        <v>10</v>
      </c>
      <c r="F2" s="221">
        <v>3.81</v>
      </c>
      <c r="G2" s="221">
        <v>1206230</v>
      </c>
      <c r="H2" s="221">
        <v>26163</v>
      </c>
      <c r="I2" s="222">
        <v>131081</v>
      </c>
      <c r="J2" s="222">
        <v>26537</v>
      </c>
      <c r="K2" s="222">
        <v>2461</v>
      </c>
      <c r="L2" s="222">
        <v>1924</v>
      </c>
      <c r="M2" s="222">
        <v>30656</v>
      </c>
      <c r="N2" s="222">
        <v>1.1599999999999999</v>
      </c>
      <c r="O2" s="222">
        <v>13.8</v>
      </c>
      <c r="P2" s="222">
        <v>0.09</v>
      </c>
      <c r="Q2" s="222">
        <v>1680</v>
      </c>
      <c r="R2" s="222">
        <v>1.75</v>
      </c>
      <c r="S2" s="223">
        <v>0.31</v>
      </c>
      <c r="T2" s="224">
        <v>0.2</v>
      </c>
      <c r="U2" s="24">
        <v>2</v>
      </c>
      <c r="V2" s="24">
        <v>3</v>
      </c>
      <c r="W2" s="24">
        <v>4</v>
      </c>
      <c r="X2" s="24">
        <v>3</v>
      </c>
      <c r="Y2" s="24">
        <v>2</v>
      </c>
      <c r="Z2" s="24">
        <v>4</v>
      </c>
      <c r="AA2" s="24">
        <v>3</v>
      </c>
      <c r="AB2" s="19">
        <v>0</v>
      </c>
      <c r="AC2" s="19">
        <v>0</v>
      </c>
      <c r="AD2" s="19">
        <v>0</v>
      </c>
      <c r="AE2" s="19">
        <v>0</v>
      </c>
      <c r="AF2" s="19">
        <v>2</v>
      </c>
      <c r="AG2" s="24">
        <v>1</v>
      </c>
      <c r="AH2" s="24">
        <v>3</v>
      </c>
      <c r="AI2" s="24">
        <v>1</v>
      </c>
      <c r="AJ2" s="24">
        <v>3</v>
      </c>
      <c r="AU2" s="17" t="s">
        <v>319</v>
      </c>
      <c r="AV2" s="225">
        <v>1</v>
      </c>
      <c r="AW2" s="225"/>
      <c r="AX2" s="225"/>
      <c r="AY2" s="225"/>
      <c r="AZ2" s="225"/>
      <c r="BA2" s="225"/>
      <c r="BB2" s="225"/>
      <c r="BC2" s="225"/>
      <c r="BD2" s="225"/>
      <c r="BE2" s="225"/>
      <c r="BF2" s="225"/>
      <c r="BG2" s="225"/>
      <c r="BH2" s="225"/>
      <c r="BI2" s="225"/>
      <c r="BJ2" s="225"/>
      <c r="BK2" s="225"/>
    </row>
    <row r="3" spans="1:63" ht="16" x14ac:dyDescent="0.2">
      <c r="A3" s="301"/>
      <c r="B3" s="18" t="s">
        <v>11</v>
      </c>
      <c r="C3" s="18">
        <v>1945</v>
      </c>
      <c r="D3" s="18" t="s">
        <v>12</v>
      </c>
      <c r="E3" s="18" t="s">
        <v>12</v>
      </c>
      <c r="F3" s="221">
        <v>3.99</v>
      </c>
      <c r="G3" s="221">
        <v>4084025</v>
      </c>
      <c r="H3" s="221">
        <v>51254</v>
      </c>
      <c r="I3" s="222">
        <v>167080</v>
      </c>
      <c r="J3" s="222">
        <v>30207</v>
      </c>
      <c r="K3" s="222">
        <v>3900</v>
      </c>
      <c r="L3" s="222">
        <v>1671</v>
      </c>
      <c r="M3" s="222">
        <v>36479</v>
      </c>
      <c r="N3" s="222">
        <v>1.21</v>
      </c>
      <c r="O3" s="222">
        <v>18.100000000000001</v>
      </c>
      <c r="P3" s="222">
        <v>0.13</v>
      </c>
      <c r="Q3" s="222">
        <v>2795</v>
      </c>
      <c r="R3" s="222">
        <v>1.96</v>
      </c>
      <c r="S3" s="223">
        <v>0.31</v>
      </c>
      <c r="T3" s="224">
        <v>0.19</v>
      </c>
      <c r="U3" s="24">
        <v>3</v>
      </c>
      <c r="V3" s="24">
        <v>4</v>
      </c>
      <c r="W3" s="24">
        <v>4</v>
      </c>
      <c r="X3" s="24">
        <v>2</v>
      </c>
      <c r="Y3" s="24">
        <v>3</v>
      </c>
      <c r="Z3" s="24">
        <v>1</v>
      </c>
      <c r="AA3" s="24">
        <v>2</v>
      </c>
      <c r="AB3" s="19">
        <v>0</v>
      </c>
      <c r="AC3" s="19">
        <v>1</v>
      </c>
      <c r="AD3" s="19">
        <v>0</v>
      </c>
      <c r="AE3" s="19">
        <v>4</v>
      </c>
      <c r="AF3" s="19">
        <v>3</v>
      </c>
      <c r="AG3" s="24">
        <v>1</v>
      </c>
      <c r="AH3" s="24">
        <v>2</v>
      </c>
      <c r="AI3" s="24">
        <v>1</v>
      </c>
      <c r="AJ3" s="24">
        <v>2</v>
      </c>
      <c r="AU3" s="17" t="s">
        <v>320</v>
      </c>
      <c r="AV3" s="225">
        <v>1</v>
      </c>
      <c r="AW3" s="225">
        <v>1</v>
      </c>
      <c r="AX3" s="225"/>
      <c r="AY3" s="225"/>
      <c r="AZ3" s="225"/>
      <c r="BA3" s="225"/>
      <c r="BB3" s="225"/>
      <c r="BC3" s="225"/>
      <c r="BD3" s="225"/>
      <c r="BE3" s="225"/>
      <c r="BF3" s="225"/>
      <c r="BG3" s="225"/>
      <c r="BH3" s="225"/>
      <c r="BI3" s="225"/>
      <c r="BJ3" s="225"/>
      <c r="BK3" s="225"/>
    </row>
    <row r="4" spans="1:63" ht="16" x14ac:dyDescent="0.2">
      <c r="A4" s="301"/>
      <c r="B4" s="18" t="s">
        <v>13</v>
      </c>
      <c r="C4" s="18">
        <v>1891</v>
      </c>
      <c r="D4" s="18" t="s">
        <v>14</v>
      </c>
      <c r="E4" s="18" t="s">
        <v>14</v>
      </c>
      <c r="F4" s="221">
        <v>4.13</v>
      </c>
      <c r="G4" s="221">
        <v>1644003</v>
      </c>
      <c r="H4" s="221">
        <v>2753</v>
      </c>
      <c r="I4" s="222">
        <v>292429</v>
      </c>
      <c r="J4" s="222">
        <v>55320</v>
      </c>
      <c r="K4" s="222">
        <v>5459</v>
      </c>
      <c r="L4" s="222">
        <v>4177</v>
      </c>
      <c r="M4" s="222">
        <v>68581</v>
      </c>
      <c r="N4" s="222">
        <v>1.24</v>
      </c>
      <c r="O4" s="222">
        <v>13.2</v>
      </c>
      <c r="P4" s="222">
        <v>0.1</v>
      </c>
      <c r="Q4" s="222">
        <v>3762</v>
      </c>
      <c r="R4" s="222">
        <v>1.72</v>
      </c>
      <c r="S4" s="223">
        <v>0.28000000000000003</v>
      </c>
      <c r="T4" s="224">
        <v>0.16</v>
      </c>
      <c r="U4" s="24">
        <v>2</v>
      </c>
      <c r="V4" s="24">
        <v>3</v>
      </c>
      <c r="W4" s="24">
        <v>4</v>
      </c>
      <c r="X4" s="24">
        <v>2</v>
      </c>
      <c r="Y4" s="24">
        <v>3</v>
      </c>
      <c r="Z4" s="24">
        <v>1</v>
      </c>
      <c r="AA4" s="24">
        <v>4</v>
      </c>
      <c r="AB4" s="19">
        <v>0</v>
      </c>
      <c r="AC4" s="19">
        <v>2</v>
      </c>
      <c r="AD4" s="19">
        <v>1</v>
      </c>
      <c r="AE4" s="19">
        <v>3</v>
      </c>
      <c r="AF4" s="19">
        <v>4</v>
      </c>
      <c r="AG4" s="24">
        <v>1</v>
      </c>
      <c r="AH4" s="24">
        <v>2</v>
      </c>
      <c r="AI4" s="24">
        <v>0</v>
      </c>
      <c r="AJ4" s="24">
        <v>3</v>
      </c>
      <c r="AU4" s="17" t="s">
        <v>321</v>
      </c>
      <c r="AV4" s="225">
        <v>0.57735026918962584</v>
      </c>
      <c r="AW4" s="225">
        <v>0.57735026918962584</v>
      </c>
      <c r="AX4" s="225">
        <v>1</v>
      </c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5"/>
      <c r="BK4" s="225"/>
    </row>
    <row r="5" spans="1:63" ht="12" customHeight="1" x14ac:dyDescent="0.2">
      <c r="A5" s="301"/>
      <c r="B5" s="18" t="s">
        <v>15</v>
      </c>
      <c r="C5" s="18">
        <v>1954</v>
      </c>
      <c r="D5" s="18" t="s">
        <v>16</v>
      </c>
      <c r="E5" s="18" t="s">
        <v>16</v>
      </c>
      <c r="F5" s="221">
        <v>3.7</v>
      </c>
      <c r="G5" s="221">
        <v>3002291</v>
      </c>
      <c r="H5" s="221">
        <v>4283</v>
      </c>
      <c r="I5" s="222">
        <v>323707</v>
      </c>
      <c r="J5" s="222">
        <v>60646</v>
      </c>
      <c r="K5" s="222">
        <v>5295</v>
      </c>
      <c r="L5" s="222">
        <v>5437</v>
      </c>
      <c r="M5" s="222">
        <v>76396</v>
      </c>
      <c r="N5" s="222">
        <v>1.26</v>
      </c>
      <c r="O5" s="222">
        <v>11.2</v>
      </c>
      <c r="P5" s="222">
        <v>0.09</v>
      </c>
      <c r="Q5" s="222">
        <v>3890</v>
      </c>
      <c r="R5" s="222">
        <v>1.56</v>
      </c>
      <c r="S5" s="223">
        <v>0.27</v>
      </c>
      <c r="T5" s="224">
        <v>0.22</v>
      </c>
      <c r="U5" s="24">
        <v>3</v>
      </c>
      <c r="V5" s="24">
        <v>4</v>
      </c>
      <c r="W5" s="24">
        <v>4</v>
      </c>
      <c r="X5" s="24">
        <v>3</v>
      </c>
      <c r="Y5" s="24">
        <v>4</v>
      </c>
      <c r="Z5" s="24">
        <v>2</v>
      </c>
      <c r="AA5" s="24">
        <v>3</v>
      </c>
      <c r="AB5" s="19">
        <v>1</v>
      </c>
      <c r="AC5" s="19">
        <v>2</v>
      </c>
      <c r="AD5" s="19">
        <v>0</v>
      </c>
      <c r="AE5" s="19">
        <v>3</v>
      </c>
      <c r="AF5" s="19">
        <v>4</v>
      </c>
      <c r="AG5" s="24">
        <v>1</v>
      </c>
      <c r="AH5" s="24">
        <v>2</v>
      </c>
      <c r="AI5" s="24">
        <v>1</v>
      </c>
      <c r="AJ5" s="24">
        <v>4</v>
      </c>
      <c r="AU5" s="17" t="s">
        <v>322</v>
      </c>
      <c r="AV5" s="225">
        <v>0.57735026918962584</v>
      </c>
      <c r="AW5" s="225">
        <v>0.57735026918962584</v>
      </c>
      <c r="AX5" s="225">
        <v>0.33333333333333337</v>
      </c>
      <c r="AY5" s="225">
        <v>1</v>
      </c>
      <c r="AZ5" s="225"/>
      <c r="BA5" s="225"/>
      <c r="BB5" s="225"/>
      <c r="BC5" s="225"/>
      <c r="BD5" s="225"/>
      <c r="BE5" s="225"/>
      <c r="BF5" s="225"/>
      <c r="BG5" s="225"/>
      <c r="BH5" s="225"/>
      <c r="BI5" s="225"/>
      <c r="BJ5" s="225"/>
      <c r="BK5" s="225"/>
    </row>
    <row r="6" spans="1:63" ht="12.75" customHeight="1" x14ac:dyDescent="0.2">
      <c r="A6" s="301"/>
      <c r="B6" s="18" t="s">
        <v>17</v>
      </c>
      <c r="C6" s="18">
        <v>1960</v>
      </c>
      <c r="D6" s="18" t="s">
        <v>18</v>
      </c>
      <c r="E6" s="18" t="s">
        <v>18</v>
      </c>
      <c r="F6" s="221">
        <v>4.26</v>
      </c>
      <c r="G6" s="221">
        <v>6389780</v>
      </c>
      <c r="H6" s="221">
        <v>1034</v>
      </c>
      <c r="I6" s="222">
        <v>536097</v>
      </c>
      <c r="J6" s="222">
        <v>102810</v>
      </c>
      <c r="K6" s="222">
        <v>7817</v>
      </c>
      <c r="L6" s="222">
        <v>8250</v>
      </c>
      <c r="M6" s="222">
        <v>132488</v>
      </c>
      <c r="N6" s="222">
        <v>1.29</v>
      </c>
      <c r="O6" s="222">
        <v>12.5</v>
      </c>
      <c r="P6" s="222">
        <v>0.08</v>
      </c>
      <c r="Q6" s="222">
        <v>5432</v>
      </c>
      <c r="R6" s="222">
        <v>2.1</v>
      </c>
      <c r="S6" s="223">
        <v>0.3</v>
      </c>
      <c r="T6" s="224">
        <v>0.19</v>
      </c>
      <c r="U6" s="24">
        <v>2</v>
      </c>
      <c r="V6" s="24">
        <v>3</v>
      </c>
      <c r="W6" s="24">
        <v>3</v>
      </c>
      <c r="X6" s="24">
        <v>2</v>
      </c>
      <c r="Y6" s="24">
        <v>4</v>
      </c>
      <c r="Z6" s="24">
        <v>2</v>
      </c>
      <c r="AA6" s="24">
        <v>3</v>
      </c>
      <c r="AB6" s="19">
        <v>1</v>
      </c>
      <c r="AC6" s="19">
        <v>2</v>
      </c>
      <c r="AD6" s="19">
        <v>1</v>
      </c>
      <c r="AE6" s="19">
        <v>3</v>
      </c>
      <c r="AF6" s="19">
        <v>4</v>
      </c>
      <c r="AG6" s="24">
        <v>2</v>
      </c>
      <c r="AH6" s="24">
        <v>3</v>
      </c>
      <c r="AI6" s="24">
        <v>4</v>
      </c>
      <c r="AJ6" s="24">
        <v>4</v>
      </c>
      <c r="AU6" s="17" t="s">
        <v>323</v>
      </c>
      <c r="AV6" s="225">
        <v>0</v>
      </c>
      <c r="AW6" s="225">
        <v>0</v>
      </c>
      <c r="AX6" s="225">
        <v>-0.57735026918962584</v>
      </c>
      <c r="AY6" s="225">
        <v>0.57735026918962584</v>
      </c>
      <c r="AZ6" s="225">
        <v>1</v>
      </c>
      <c r="BA6" s="225"/>
      <c r="BB6" s="225"/>
      <c r="BC6" s="225"/>
      <c r="BD6" s="225"/>
      <c r="BE6" s="225"/>
      <c r="BF6" s="225"/>
      <c r="BG6" s="225"/>
      <c r="BH6" s="225"/>
      <c r="BI6" s="225"/>
      <c r="BJ6" s="225"/>
      <c r="BK6" s="225"/>
    </row>
    <row r="7" spans="1:63" x14ac:dyDescent="0.2">
      <c r="A7" s="300" t="s">
        <v>19</v>
      </c>
      <c r="B7" s="25" t="s">
        <v>20</v>
      </c>
      <c r="C7" s="25">
        <v>1970</v>
      </c>
      <c r="D7" s="25" t="s">
        <v>21</v>
      </c>
      <c r="E7" s="27">
        <v>2</v>
      </c>
      <c r="F7" s="27">
        <v>3</v>
      </c>
      <c r="G7" s="27">
        <v>4</v>
      </c>
      <c r="H7" s="27">
        <v>2</v>
      </c>
      <c r="I7" s="27">
        <v>4</v>
      </c>
      <c r="J7" s="27">
        <v>3</v>
      </c>
      <c r="K7" s="27">
        <v>4</v>
      </c>
      <c r="L7" s="26">
        <v>3</v>
      </c>
      <c r="M7" s="26">
        <v>2</v>
      </c>
      <c r="N7" s="26">
        <v>1</v>
      </c>
      <c r="O7" s="26">
        <v>4</v>
      </c>
      <c r="P7" s="26">
        <v>1</v>
      </c>
      <c r="Q7" s="27">
        <v>3</v>
      </c>
      <c r="R7" s="226"/>
      <c r="S7" s="227"/>
      <c r="T7" s="228"/>
      <c r="U7" s="27">
        <v>2</v>
      </c>
      <c r="V7" s="27">
        <v>3</v>
      </c>
      <c r="W7" s="27">
        <v>4</v>
      </c>
      <c r="X7" s="27">
        <v>2</v>
      </c>
      <c r="Y7" s="27">
        <v>4</v>
      </c>
      <c r="Z7" s="27">
        <v>3</v>
      </c>
      <c r="AA7" s="27">
        <v>4</v>
      </c>
      <c r="AB7" s="26">
        <v>3</v>
      </c>
      <c r="AC7" s="26">
        <v>2</v>
      </c>
      <c r="AD7" s="26">
        <v>1</v>
      </c>
      <c r="AE7" s="26">
        <v>4</v>
      </c>
      <c r="AF7" s="26">
        <v>1</v>
      </c>
      <c r="AG7" s="27">
        <v>2</v>
      </c>
      <c r="AH7" s="27">
        <v>2</v>
      </c>
      <c r="AI7" s="27">
        <v>1</v>
      </c>
      <c r="AJ7" s="27">
        <v>3</v>
      </c>
      <c r="AU7" s="17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25"/>
      <c r="BG7" s="225"/>
      <c r="BH7" s="225"/>
      <c r="BI7" s="225"/>
      <c r="BJ7" s="225"/>
      <c r="BK7" s="225"/>
    </row>
    <row r="8" spans="1:63" x14ac:dyDescent="0.2">
      <c r="A8" s="301"/>
      <c r="B8" s="25" t="s">
        <v>22</v>
      </c>
      <c r="C8" s="25">
        <v>1950</v>
      </c>
      <c r="D8" s="25" t="s">
        <v>23</v>
      </c>
      <c r="E8" s="27">
        <v>3</v>
      </c>
      <c r="F8" s="27">
        <v>4</v>
      </c>
      <c r="G8" s="27">
        <v>4</v>
      </c>
      <c r="H8" s="27">
        <v>3</v>
      </c>
      <c r="I8" s="27">
        <v>2</v>
      </c>
      <c r="J8" s="27">
        <v>3</v>
      </c>
      <c r="K8" s="27">
        <v>2</v>
      </c>
      <c r="L8" s="26">
        <v>3</v>
      </c>
      <c r="M8" s="26">
        <v>1</v>
      </c>
      <c r="N8" s="26">
        <v>3</v>
      </c>
      <c r="O8" s="26">
        <v>2</v>
      </c>
      <c r="P8" s="26">
        <v>0</v>
      </c>
      <c r="Q8" s="27">
        <v>4</v>
      </c>
      <c r="R8" s="226"/>
      <c r="S8" s="227"/>
      <c r="T8" s="228"/>
      <c r="U8" s="27">
        <v>3</v>
      </c>
      <c r="V8" s="27">
        <v>4</v>
      </c>
      <c r="W8" s="27">
        <v>4</v>
      </c>
      <c r="X8" s="27">
        <v>3</v>
      </c>
      <c r="Y8" s="27">
        <v>2</v>
      </c>
      <c r="Z8" s="27">
        <v>3</v>
      </c>
      <c r="AA8" s="27">
        <v>2</v>
      </c>
      <c r="AB8" s="26">
        <v>3</v>
      </c>
      <c r="AC8" s="26">
        <v>1</v>
      </c>
      <c r="AD8" s="26">
        <v>3</v>
      </c>
      <c r="AE8" s="26">
        <v>2</v>
      </c>
      <c r="AF8" s="26">
        <v>0</v>
      </c>
      <c r="AG8" s="27">
        <v>1</v>
      </c>
      <c r="AH8" s="27">
        <v>2</v>
      </c>
      <c r="AI8" s="27">
        <v>3</v>
      </c>
      <c r="AJ8" s="27">
        <v>4</v>
      </c>
      <c r="AU8" s="17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25"/>
      <c r="BG8" s="225"/>
      <c r="BH8" s="225"/>
      <c r="BI8" s="225"/>
      <c r="BJ8" s="225"/>
      <c r="BK8" s="225"/>
    </row>
    <row r="9" spans="1:63" x14ac:dyDescent="0.2">
      <c r="A9" s="301"/>
      <c r="B9" s="25" t="s">
        <v>24</v>
      </c>
      <c r="C9" s="25">
        <v>1949</v>
      </c>
      <c r="D9" s="25" t="s">
        <v>25</v>
      </c>
      <c r="E9" s="27">
        <v>3</v>
      </c>
      <c r="F9" s="27">
        <v>4</v>
      </c>
      <c r="G9" s="27">
        <v>4</v>
      </c>
      <c r="H9" s="27">
        <v>3</v>
      </c>
      <c r="I9" s="27">
        <v>2</v>
      </c>
      <c r="J9" s="27">
        <v>4</v>
      </c>
      <c r="K9" s="27">
        <v>3</v>
      </c>
      <c r="L9" s="26">
        <v>3</v>
      </c>
      <c r="M9" s="26">
        <v>1</v>
      </c>
      <c r="N9" s="26">
        <v>0</v>
      </c>
      <c r="O9" s="26">
        <v>2</v>
      </c>
      <c r="P9" s="26">
        <v>0</v>
      </c>
      <c r="Q9" s="27">
        <v>2</v>
      </c>
      <c r="R9" s="27">
        <v>3</v>
      </c>
      <c r="S9" s="27">
        <v>0</v>
      </c>
      <c r="T9" s="27">
        <v>4</v>
      </c>
      <c r="U9" s="27">
        <v>3</v>
      </c>
      <c r="V9" s="27">
        <v>4</v>
      </c>
      <c r="W9" s="27">
        <v>4</v>
      </c>
      <c r="X9" s="27">
        <v>3</v>
      </c>
      <c r="Y9" s="27">
        <v>2</v>
      </c>
      <c r="Z9" s="27">
        <v>4</v>
      </c>
      <c r="AA9" s="27">
        <v>3</v>
      </c>
      <c r="AB9" s="26">
        <v>3</v>
      </c>
      <c r="AC9" s="26">
        <v>1</v>
      </c>
      <c r="AD9" s="26">
        <v>0</v>
      </c>
      <c r="AE9" s="26">
        <v>2</v>
      </c>
      <c r="AF9" s="26">
        <v>0</v>
      </c>
      <c r="AG9" s="27">
        <v>2</v>
      </c>
      <c r="AH9" s="27">
        <v>3</v>
      </c>
      <c r="AI9" s="27">
        <v>0</v>
      </c>
      <c r="AJ9" s="27">
        <v>4</v>
      </c>
      <c r="AU9" s="17"/>
      <c r="AV9" s="225"/>
      <c r="AW9" s="225"/>
      <c r="AX9" s="225"/>
      <c r="AY9" s="225"/>
      <c r="AZ9" s="225"/>
      <c r="BA9" s="225"/>
      <c r="BB9" s="225"/>
      <c r="BC9" s="225"/>
      <c r="BD9" s="225"/>
      <c r="BE9" s="225"/>
      <c r="BF9" s="225"/>
      <c r="BG9" s="225"/>
      <c r="BH9" s="225"/>
      <c r="BI9" s="225"/>
      <c r="BJ9" s="225"/>
      <c r="BK9" s="225"/>
    </row>
    <row r="10" spans="1:63" x14ac:dyDescent="0.2">
      <c r="A10" s="301"/>
      <c r="B10" s="25" t="s">
        <v>26</v>
      </c>
      <c r="C10" s="25">
        <v>1957</v>
      </c>
      <c r="D10" s="25" t="s">
        <v>23</v>
      </c>
      <c r="E10" s="25"/>
      <c r="F10" s="229"/>
      <c r="G10" s="229"/>
      <c r="H10" s="229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7"/>
      <c r="T10" s="228"/>
      <c r="U10" s="27">
        <v>3</v>
      </c>
      <c r="V10" s="27">
        <v>4</v>
      </c>
      <c r="W10" s="27">
        <v>4</v>
      </c>
      <c r="X10" s="27">
        <v>2</v>
      </c>
      <c r="Y10" s="27">
        <v>3</v>
      </c>
      <c r="Z10" s="27">
        <v>1</v>
      </c>
      <c r="AA10" s="27">
        <v>2</v>
      </c>
      <c r="AB10" s="26">
        <v>4</v>
      </c>
      <c r="AC10" s="26">
        <v>2</v>
      </c>
      <c r="AD10" s="26">
        <v>1</v>
      </c>
      <c r="AE10" s="26">
        <v>4</v>
      </c>
      <c r="AF10" s="26">
        <v>1</v>
      </c>
      <c r="AG10" s="27">
        <v>2</v>
      </c>
      <c r="AH10" s="27">
        <v>3</v>
      </c>
      <c r="AI10" s="27">
        <v>3</v>
      </c>
      <c r="AJ10" s="27">
        <v>3</v>
      </c>
      <c r="AU10" s="17"/>
      <c r="AV10" s="225"/>
      <c r="AW10" s="225"/>
      <c r="AX10" s="225"/>
      <c r="AY10" s="225"/>
      <c r="AZ10" s="225"/>
      <c r="BA10" s="225"/>
      <c r="BB10" s="225"/>
      <c r="BC10" s="225"/>
      <c r="BD10" s="225"/>
      <c r="BE10" s="225"/>
      <c r="BF10" s="225"/>
      <c r="BG10" s="225"/>
      <c r="BH10" s="225"/>
      <c r="BI10" s="225"/>
      <c r="BJ10" s="225"/>
      <c r="BK10" s="225"/>
    </row>
    <row r="11" spans="1:63" x14ac:dyDescent="0.2">
      <c r="A11" s="301"/>
      <c r="B11" s="25" t="s">
        <v>27</v>
      </c>
      <c r="C11" s="25">
        <v>1980</v>
      </c>
      <c r="D11" s="25" t="s">
        <v>28</v>
      </c>
      <c r="E11" s="25"/>
      <c r="F11" s="229"/>
      <c r="G11" s="229"/>
      <c r="H11" s="229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7"/>
      <c r="T11" s="228"/>
      <c r="U11" s="27">
        <v>2</v>
      </c>
      <c r="V11" s="27">
        <v>3</v>
      </c>
      <c r="W11" s="27">
        <v>4</v>
      </c>
      <c r="X11" s="27">
        <v>2</v>
      </c>
      <c r="Y11" s="27">
        <v>4</v>
      </c>
      <c r="Z11" s="27">
        <v>1</v>
      </c>
      <c r="AA11" s="27">
        <v>2</v>
      </c>
      <c r="AB11" s="26">
        <v>4</v>
      </c>
      <c r="AC11" s="26">
        <v>3</v>
      </c>
      <c r="AD11" s="26">
        <v>1</v>
      </c>
      <c r="AE11" s="26">
        <v>4</v>
      </c>
      <c r="AF11" s="26">
        <v>1</v>
      </c>
      <c r="AG11" s="27">
        <v>2</v>
      </c>
      <c r="AH11" s="27">
        <v>2</v>
      </c>
      <c r="AI11" s="27">
        <v>1</v>
      </c>
      <c r="AJ11" s="27">
        <v>3</v>
      </c>
      <c r="AU11" s="17"/>
      <c r="AV11" s="225"/>
      <c r="AW11" s="225"/>
      <c r="AX11" s="225"/>
      <c r="AY11" s="225"/>
      <c r="AZ11" s="225"/>
      <c r="BA11" s="225"/>
      <c r="BB11" s="225"/>
      <c r="BC11" s="225"/>
      <c r="BD11" s="225"/>
      <c r="BE11" s="225"/>
      <c r="BF11" s="225"/>
      <c r="BG11" s="225"/>
      <c r="BH11" s="225"/>
      <c r="BI11" s="225"/>
      <c r="BJ11" s="225"/>
      <c r="BK11" s="225"/>
    </row>
    <row r="12" spans="1:63" x14ac:dyDescent="0.2">
      <c r="A12" s="300" t="s">
        <v>29</v>
      </c>
      <c r="B12" s="28" t="s">
        <v>30</v>
      </c>
      <c r="C12" s="28">
        <v>2012</v>
      </c>
      <c r="D12" s="28" t="s">
        <v>31</v>
      </c>
      <c r="F12" s="43"/>
      <c r="G12" s="43"/>
      <c r="H12" s="43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1"/>
      <c r="T12" s="22"/>
      <c r="U12" s="30">
        <v>3</v>
      </c>
      <c r="V12" s="30">
        <v>4</v>
      </c>
      <c r="W12" s="30">
        <v>4</v>
      </c>
      <c r="X12" s="30">
        <v>3</v>
      </c>
      <c r="Y12" s="30">
        <v>3</v>
      </c>
      <c r="Z12" s="30">
        <v>2</v>
      </c>
      <c r="AA12" s="30">
        <v>4</v>
      </c>
      <c r="AB12" s="29">
        <v>2</v>
      </c>
      <c r="AC12" s="29">
        <v>1</v>
      </c>
      <c r="AD12" s="29">
        <v>4</v>
      </c>
      <c r="AE12" s="29">
        <v>1</v>
      </c>
      <c r="AF12" s="29">
        <v>1</v>
      </c>
      <c r="AG12" s="30">
        <v>2</v>
      </c>
      <c r="AH12" s="30">
        <v>3</v>
      </c>
      <c r="AI12" s="30">
        <v>4</v>
      </c>
      <c r="AJ12" s="30">
        <v>4</v>
      </c>
      <c r="AU12" s="17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25"/>
      <c r="BG12" s="225"/>
      <c r="BH12" s="225"/>
      <c r="BI12" s="225"/>
      <c r="BJ12" s="225"/>
      <c r="BK12" s="225"/>
    </row>
    <row r="13" spans="1:63" x14ac:dyDescent="0.2">
      <c r="A13" s="301"/>
      <c r="B13" s="28" t="s">
        <v>32</v>
      </c>
      <c r="C13" s="28">
        <v>2012</v>
      </c>
      <c r="D13" s="28" t="s">
        <v>33</v>
      </c>
      <c r="F13" s="43"/>
      <c r="G13" s="43"/>
      <c r="H13" s="43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1"/>
      <c r="T13" s="22"/>
      <c r="U13" s="30">
        <v>2</v>
      </c>
      <c r="V13" s="30">
        <v>3</v>
      </c>
      <c r="W13" s="30">
        <v>4</v>
      </c>
      <c r="X13" s="30">
        <v>2</v>
      </c>
      <c r="Y13" s="30">
        <v>3</v>
      </c>
      <c r="Z13" s="30">
        <v>1</v>
      </c>
      <c r="AA13" s="30">
        <v>3</v>
      </c>
      <c r="AB13" s="29">
        <v>2</v>
      </c>
      <c r="AC13" s="29">
        <v>1</v>
      </c>
      <c r="AD13" s="29">
        <v>4</v>
      </c>
      <c r="AE13" s="29">
        <v>0</v>
      </c>
      <c r="AF13" s="29">
        <v>1</v>
      </c>
      <c r="AG13" s="30">
        <v>2</v>
      </c>
      <c r="AH13" s="30">
        <v>3</v>
      </c>
      <c r="AI13" s="30">
        <v>4</v>
      </c>
      <c r="AJ13" s="30">
        <v>3</v>
      </c>
      <c r="AU13" s="17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25"/>
      <c r="BG13" s="225"/>
      <c r="BH13" s="225"/>
      <c r="BI13" s="225"/>
      <c r="BJ13" s="225"/>
      <c r="BK13" s="225"/>
    </row>
    <row r="14" spans="1:63" x14ac:dyDescent="0.2">
      <c r="A14" s="301"/>
      <c r="B14" s="28" t="s">
        <v>34</v>
      </c>
      <c r="C14" s="28">
        <v>2012</v>
      </c>
      <c r="D14" s="28" t="s">
        <v>35</v>
      </c>
      <c r="F14" s="43"/>
      <c r="G14" s="43"/>
      <c r="H14" s="43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1"/>
      <c r="T14" s="22"/>
      <c r="U14" s="30">
        <v>2</v>
      </c>
      <c r="V14" s="30">
        <v>3</v>
      </c>
      <c r="W14" s="30">
        <v>3</v>
      </c>
      <c r="X14" s="30">
        <v>2</v>
      </c>
      <c r="Y14" s="30">
        <v>3</v>
      </c>
      <c r="Z14" s="30">
        <v>2</v>
      </c>
      <c r="AA14" s="30">
        <v>3</v>
      </c>
      <c r="AB14" s="29">
        <v>1</v>
      </c>
      <c r="AC14" s="29">
        <v>1</v>
      </c>
      <c r="AD14" s="29">
        <v>4</v>
      </c>
      <c r="AE14" s="29">
        <v>0</v>
      </c>
      <c r="AF14" s="29">
        <v>1</v>
      </c>
      <c r="AG14" s="30">
        <v>2</v>
      </c>
      <c r="AH14" s="30">
        <v>2</v>
      </c>
      <c r="AI14" s="30">
        <v>4</v>
      </c>
      <c r="AJ14" s="30">
        <v>3</v>
      </c>
      <c r="AU14" s="17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</row>
    <row r="15" spans="1:63" x14ac:dyDescent="0.2">
      <c r="A15" s="301"/>
      <c r="B15" s="28" t="s">
        <v>36</v>
      </c>
      <c r="C15" s="28">
        <v>2012</v>
      </c>
      <c r="D15" s="28" t="s">
        <v>37</v>
      </c>
      <c r="F15" s="43"/>
      <c r="G15" s="43"/>
      <c r="H15" s="43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1"/>
      <c r="T15" s="22"/>
      <c r="U15" s="30">
        <v>3</v>
      </c>
      <c r="V15" s="30">
        <v>4</v>
      </c>
      <c r="W15" s="30">
        <v>4</v>
      </c>
      <c r="X15" s="30">
        <v>3</v>
      </c>
      <c r="Y15" s="30">
        <v>4</v>
      </c>
      <c r="Z15" s="30">
        <v>2</v>
      </c>
      <c r="AA15" s="30">
        <v>3</v>
      </c>
      <c r="AB15" s="29">
        <v>1</v>
      </c>
      <c r="AC15" s="29">
        <v>2</v>
      </c>
      <c r="AD15" s="29">
        <v>4</v>
      </c>
      <c r="AE15" s="29">
        <v>0</v>
      </c>
      <c r="AF15" s="29">
        <v>1</v>
      </c>
      <c r="AG15" s="30">
        <v>2</v>
      </c>
      <c r="AH15" s="30">
        <v>3</v>
      </c>
      <c r="AI15" s="30">
        <v>4</v>
      </c>
      <c r="AJ15" s="30">
        <v>4</v>
      </c>
      <c r="AU15" s="17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25"/>
      <c r="BG15" s="225"/>
      <c r="BH15" s="225"/>
      <c r="BI15" s="225"/>
      <c r="BJ15" s="225"/>
      <c r="BK15" s="225"/>
    </row>
    <row r="16" spans="1:63" x14ac:dyDescent="0.2">
      <c r="A16" s="301"/>
      <c r="B16" s="28" t="s">
        <v>38</v>
      </c>
      <c r="C16" s="28">
        <v>2018</v>
      </c>
      <c r="D16" s="28" t="s">
        <v>39</v>
      </c>
      <c r="F16" s="43"/>
      <c r="G16" s="43"/>
      <c r="H16" s="43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1"/>
      <c r="T16" s="22"/>
      <c r="U16" s="30">
        <v>3</v>
      </c>
      <c r="V16" s="30">
        <v>4</v>
      </c>
      <c r="W16" s="30">
        <v>4</v>
      </c>
      <c r="X16" s="30">
        <v>2</v>
      </c>
      <c r="Y16" s="30">
        <v>3</v>
      </c>
      <c r="Z16" s="30">
        <v>1</v>
      </c>
      <c r="AA16" s="30">
        <v>3</v>
      </c>
      <c r="AB16" s="29">
        <v>2</v>
      </c>
      <c r="AC16" s="29">
        <v>1</v>
      </c>
      <c r="AD16" s="29">
        <v>4</v>
      </c>
      <c r="AE16" s="29">
        <v>1</v>
      </c>
      <c r="AF16" s="29">
        <v>2</v>
      </c>
      <c r="AG16" s="30">
        <v>2</v>
      </c>
      <c r="AH16" s="30">
        <v>3</v>
      </c>
      <c r="AI16" s="30">
        <v>4</v>
      </c>
      <c r="AJ16" s="30">
        <v>4</v>
      </c>
      <c r="AU16" s="17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25"/>
      <c r="BG16" s="225"/>
      <c r="BH16" s="225"/>
      <c r="BI16" s="225"/>
      <c r="BJ16" s="225"/>
      <c r="BK16" s="225"/>
    </row>
    <row r="17" spans="1:63" x14ac:dyDescent="0.2">
      <c r="A17" s="300" t="s">
        <v>40</v>
      </c>
      <c r="B17" s="31" t="s">
        <v>41</v>
      </c>
      <c r="C17" s="31">
        <v>1898</v>
      </c>
      <c r="D17" s="31" t="s">
        <v>42</v>
      </c>
      <c r="F17" s="43"/>
      <c r="G17" s="43"/>
      <c r="H17" s="43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1"/>
      <c r="T17" s="22"/>
      <c r="U17" s="33">
        <v>2</v>
      </c>
      <c r="V17" s="33">
        <v>3</v>
      </c>
      <c r="W17" s="33">
        <v>4</v>
      </c>
      <c r="X17" s="33">
        <v>2</v>
      </c>
      <c r="Y17" s="33">
        <v>3</v>
      </c>
      <c r="Z17" s="33">
        <v>1</v>
      </c>
      <c r="AA17" s="33">
        <v>3</v>
      </c>
      <c r="AB17" s="32">
        <v>0</v>
      </c>
      <c r="AC17" s="32">
        <v>4</v>
      </c>
      <c r="AD17" s="32">
        <v>1</v>
      </c>
      <c r="AE17" s="32">
        <v>0</v>
      </c>
      <c r="AF17" s="32">
        <v>4</v>
      </c>
      <c r="AG17" s="33">
        <v>1</v>
      </c>
      <c r="AH17" s="33">
        <v>2</v>
      </c>
      <c r="AI17" s="33">
        <v>3</v>
      </c>
      <c r="AJ17" s="33">
        <v>3</v>
      </c>
      <c r="AU17" s="17"/>
      <c r="AV17" s="225"/>
      <c r="AW17" s="225"/>
      <c r="AX17" s="225"/>
      <c r="AY17" s="225"/>
      <c r="AZ17" s="225"/>
      <c r="BA17" s="225"/>
      <c r="BB17" s="225"/>
      <c r="BC17" s="225"/>
      <c r="BD17" s="225"/>
      <c r="BE17" s="225"/>
      <c r="BF17" s="225"/>
      <c r="BG17" s="225"/>
      <c r="BH17" s="225"/>
      <c r="BI17" s="225"/>
      <c r="BJ17" s="225"/>
      <c r="BK17" s="225"/>
    </row>
    <row r="18" spans="1:63" ht="16" x14ac:dyDescent="0.2">
      <c r="A18" s="301"/>
      <c r="B18" s="31" t="s">
        <v>43</v>
      </c>
      <c r="C18" s="31">
        <v>2016</v>
      </c>
      <c r="D18" s="31" t="s">
        <v>44</v>
      </c>
      <c r="U18" s="33">
        <v>3</v>
      </c>
      <c r="V18" s="33">
        <v>4</v>
      </c>
      <c r="W18" s="33">
        <v>4</v>
      </c>
      <c r="X18" s="33">
        <v>3</v>
      </c>
      <c r="Y18" s="33">
        <v>4</v>
      </c>
      <c r="Z18" s="33">
        <v>2</v>
      </c>
      <c r="AA18" s="33">
        <v>3</v>
      </c>
      <c r="AB18" s="32">
        <v>1</v>
      </c>
      <c r="AC18" s="32">
        <v>4</v>
      </c>
      <c r="AD18" s="32">
        <v>1</v>
      </c>
      <c r="AE18" s="32">
        <v>2</v>
      </c>
      <c r="AF18" s="32">
        <v>3</v>
      </c>
      <c r="AG18" s="33">
        <v>2</v>
      </c>
      <c r="AH18" s="33">
        <v>3</v>
      </c>
      <c r="AI18" s="33">
        <v>4</v>
      </c>
      <c r="AJ18" s="33">
        <v>4</v>
      </c>
      <c r="AU18" s="17" t="s">
        <v>324</v>
      </c>
      <c r="AV18" s="225">
        <v>0</v>
      </c>
      <c r="AW18" s="225">
        <v>0</v>
      </c>
      <c r="AX18" s="225">
        <v>-0.57735026918962584</v>
      </c>
      <c r="AY18" s="225">
        <v>0.57735026918962584</v>
      </c>
      <c r="AZ18" s="225">
        <v>1</v>
      </c>
      <c r="BA18" s="225">
        <v>1</v>
      </c>
      <c r="BB18" s="225"/>
      <c r="BC18" s="225"/>
      <c r="BD18" s="225"/>
      <c r="BE18" s="225"/>
      <c r="BF18" s="225"/>
      <c r="BG18" s="225"/>
      <c r="BH18" s="225"/>
      <c r="BI18" s="225"/>
      <c r="BJ18" s="225"/>
      <c r="BK18" s="225"/>
    </row>
    <row r="19" spans="1:63" x14ac:dyDescent="0.2">
      <c r="A19" s="301"/>
      <c r="B19" s="31" t="s">
        <v>45</v>
      </c>
      <c r="C19" s="31">
        <v>1896</v>
      </c>
      <c r="D19" s="31" t="s">
        <v>46</v>
      </c>
      <c r="U19" s="33">
        <v>2</v>
      </c>
      <c r="V19" s="33">
        <v>3</v>
      </c>
      <c r="W19" s="33">
        <v>4</v>
      </c>
      <c r="X19" s="33">
        <v>2</v>
      </c>
      <c r="Y19" s="33">
        <v>3</v>
      </c>
      <c r="Z19" s="33">
        <v>1</v>
      </c>
      <c r="AA19" s="33">
        <v>3</v>
      </c>
      <c r="AB19" s="32">
        <v>0</v>
      </c>
      <c r="AC19" s="32">
        <v>4</v>
      </c>
      <c r="AD19" s="32">
        <v>1</v>
      </c>
      <c r="AE19" s="32">
        <v>0</v>
      </c>
      <c r="AF19" s="32">
        <v>2</v>
      </c>
      <c r="AG19" s="33">
        <v>1</v>
      </c>
      <c r="AH19" s="33">
        <v>3</v>
      </c>
      <c r="AI19" s="33">
        <v>4</v>
      </c>
      <c r="AJ19" s="33">
        <v>3</v>
      </c>
      <c r="AU19" s="17"/>
      <c r="AV19" s="225"/>
      <c r="AW19" s="225"/>
      <c r="AX19" s="225"/>
      <c r="AY19" s="225"/>
      <c r="AZ19" s="225"/>
      <c r="BA19" s="225"/>
      <c r="BB19" s="225"/>
      <c r="BC19" s="225"/>
      <c r="BD19" s="225"/>
      <c r="BE19" s="225"/>
      <c r="BF19" s="225"/>
      <c r="BG19" s="225"/>
      <c r="BH19" s="225"/>
      <c r="BI19" s="225"/>
      <c r="BJ19" s="225"/>
      <c r="BK19" s="225"/>
    </row>
    <row r="20" spans="1:63" ht="16" x14ac:dyDescent="0.2">
      <c r="A20" s="301"/>
      <c r="B20" s="31" t="s">
        <v>47</v>
      </c>
      <c r="C20" s="31">
        <v>2003</v>
      </c>
      <c r="D20" s="31" t="s">
        <v>48</v>
      </c>
      <c r="U20" s="33">
        <v>2</v>
      </c>
      <c r="V20" s="33">
        <v>3</v>
      </c>
      <c r="W20" s="33">
        <v>4</v>
      </c>
      <c r="X20" s="33">
        <v>2</v>
      </c>
      <c r="Y20" s="33">
        <v>3</v>
      </c>
      <c r="Z20" s="33">
        <v>3</v>
      </c>
      <c r="AA20" s="33">
        <v>2</v>
      </c>
      <c r="AB20" s="32">
        <v>1</v>
      </c>
      <c r="AC20" s="32">
        <v>4</v>
      </c>
      <c r="AD20" s="32">
        <v>0</v>
      </c>
      <c r="AE20" s="32">
        <v>1</v>
      </c>
      <c r="AF20" s="32">
        <v>2</v>
      </c>
      <c r="AG20" s="33">
        <v>2</v>
      </c>
      <c r="AH20" s="33">
        <v>3</v>
      </c>
      <c r="AI20" s="33">
        <v>4</v>
      </c>
      <c r="AJ20" s="33">
        <v>4</v>
      </c>
      <c r="AU20" s="17" t="s">
        <v>325</v>
      </c>
      <c r="AV20" s="225">
        <v>-0.70710678118654746</v>
      </c>
      <c r="AW20" s="225">
        <v>-0.70710678118654746</v>
      </c>
      <c r="AX20" s="225">
        <v>0</v>
      </c>
      <c r="AY20" s="225">
        <v>0</v>
      </c>
      <c r="AZ20" s="225">
        <v>0</v>
      </c>
      <c r="BA20" s="225">
        <v>0</v>
      </c>
      <c r="BB20" s="225">
        <v>1</v>
      </c>
      <c r="BC20" s="225"/>
      <c r="BD20" s="225"/>
      <c r="BE20" s="225"/>
      <c r="BF20" s="225"/>
      <c r="BG20" s="225"/>
      <c r="BH20" s="225"/>
      <c r="BI20" s="225"/>
      <c r="BJ20" s="225"/>
      <c r="BK20" s="225"/>
    </row>
    <row r="21" spans="1:63" ht="15.75" customHeight="1" x14ac:dyDescent="0.2">
      <c r="A21" s="301"/>
      <c r="B21" s="31" t="s">
        <v>49</v>
      </c>
      <c r="C21" s="31">
        <v>2016</v>
      </c>
      <c r="D21" s="31" t="s">
        <v>50</v>
      </c>
      <c r="U21" s="33">
        <v>3</v>
      </c>
      <c r="V21" s="33">
        <v>4</v>
      </c>
      <c r="W21" s="33">
        <v>4</v>
      </c>
      <c r="X21" s="33">
        <v>2</v>
      </c>
      <c r="Y21" s="33">
        <v>3</v>
      </c>
      <c r="Z21" s="33">
        <v>1</v>
      </c>
      <c r="AA21" s="33">
        <v>3</v>
      </c>
      <c r="AB21" s="32">
        <v>0</v>
      </c>
      <c r="AC21" s="32">
        <v>4</v>
      </c>
      <c r="AD21" s="32">
        <v>0</v>
      </c>
      <c r="AE21" s="32">
        <v>1</v>
      </c>
      <c r="AF21" s="32">
        <v>2</v>
      </c>
      <c r="AG21" s="33">
        <v>1</v>
      </c>
      <c r="AH21" s="33">
        <v>2</v>
      </c>
      <c r="AI21" s="33">
        <v>0</v>
      </c>
      <c r="AJ21" s="33">
        <v>3</v>
      </c>
      <c r="AU21" s="4" t="s">
        <v>76</v>
      </c>
      <c r="AV21" s="225">
        <v>0</v>
      </c>
      <c r="AW21" s="225">
        <v>0</v>
      </c>
      <c r="AX21" s="225">
        <v>-0.57735026918962584</v>
      </c>
      <c r="AY21" s="225">
        <v>0.57735026918962584</v>
      </c>
      <c r="AZ21" s="225">
        <v>1</v>
      </c>
      <c r="BA21" s="225">
        <v>1</v>
      </c>
      <c r="BB21" s="225">
        <v>0</v>
      </c>
      <c r="BC21" s="225">
        <v>1</v>
      </c>
      <c r="BD21" s="225"/>
      <c r="BE21" s="225"/>
      <c r="BF21" s="225"/>
      <c r="BG21" s="225"/>
      <c r="BH21" s="225"/>
      <c r="BI21" s="225"/>
      <c r="BJ21" s="225"/>
      <c r="BK21" s="225"/>
    </row>
    <row r="22" spans="1:63" ht="15.75" customHeight="1" x14ac:dyDescent="0.2">
      <c r="A22" s="300" t="s">
        <v>51</v>
      </c>
      <c r="B22" s="34" t="s">
        <v>52</v>
      </c>
      <c r="C22" s="34">
        <v>1887</v>
      </c>
      <c r="D22" s="34" t="s">
        <v>14</v>
      </c>
      <c r="U22" s="36">
        <v>2</v>
      </c>
      <c r="V22" s="36">
        <v>3</v>
      </c>
      <c r="W22" s="36">
        <v>3</v>
      </c>
      <c r="X22" s="36">
        <v>2</v>
      </c>
      <c r="Y22" s="36">
        <v>3</v>
      </c>
      <c r="Z22" s="36">
        <v>2</v>
      </c>
      <c r="AA22" s="36">
        <v>3</v>
      </c>
      <c r="AB22" s="35">
        <v>2</v>
      </c>
      <c r="AC22" s="35">
        <v>1</v>
      </c>
      <c r="AD22" s="35">
        <v>2</v>
      </c>
      <c r="AE22" s="35">
        <v>3</v>
      </c>
      <c r="AF22" s="35">
        <v>2</v>
      </c>
      <c r="AG22" s="36">
        <v>1</v>
      </c>
      <c r="AH22" s="36">
        <v>3</v>
      </c>
      <c r="AI22" s="36">
        <v>3</v>
      </c>
      <c r="AJ22" s="36">
        <v>2</v>
      </c>
      <c r="AU22" s="4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25"/>
      <c r="BG22" s="225"/>
      <c r="BH22" s="225"/>
      <c r="BI22" s="225"/>
      <c r="BJ22" s="225"/>
      <c r="BK22" s="225"/>
    </row>
    <row r="23" spans="1:63" ht="15.75" customHeight="1" x14ac:dyDescent="0.2">
      <c r="A23" s="301"/>
      <c r="B23" s="34" t="s">
        <v>53</v>
      </c>
      <c r="C23" s="34">
        <v>1945</v>
      </c>
      <c r="D23" s="34" t="s">
        <v>54</v>
      </c>
      <c r="U23" s="36">
        <v>2</v>
      </c>
      <c r="V23" s="36">
        <v>3</v>
      </c>
      <c r="W23" s="36">
        <v>3</v>
      </c>
      <c r="X23" s="36">
        <v>1</v>
      </c>
      <c r="Y23" s="36">
        <v>4</v>
      </c>
      <c r="Z23" s="36">
        <v>2</v>
      </c>
      <c r="AA23" s="36">
        <v>3</v>
      </c>
      <c r="AB23" s="35">
        <v>3</v>
      </c>
      <c r="AC23" s="35">
        <v>0</v>
      </c>
      <c r="AD23" s="35">
        <v>1</v>
      </c>
      <c r="AE23" s="35">
        <v>2</v>
      </c>
      <c r="AF23" s="35">
        <v>1</v>
      </c>
      <c r="AG23" s="36">
        <v>2</v>
      </c>
      <c r="AH23" s="36">
        <v>2</v>
      </c>
      <c r="AI23" s="36">
        <v>0</v>
      </c>
      <c r="AJ23" s="36">
        <v>3</v>
      </c>
      <c r="AU23" s="4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25"/>
      <c r="BG23" s="225"/>
      <c r="BH23" s="225"/>
      <c r="BI23" s="225"/>
      <c r="BJ23" s="225"/>
      <c r="BK23" s="225"/>
    </row>
    <row r="24" spans="1:63" ht="15.75" customHeight="1" x14ac:dyDescent="0.2">
      <c r="A24" s="301"/>
      <c r="B24" s="34" t="s">
        <v>55</v>
      </c>
      <c r="C24" s="34">
        <v>1872</v>
      </c>
      <c r="D24" s="34" t="s">
        <v>56</v>
      </c>
      <c r="U24" s="36">
        <v>2</v>
      </c>
      <c r="V24" s="36">
        <v>3</v>
      </c>
      <c r="W24" s="36">
        <v>4</v>
      </c>
      <c r="X24" s="36">
        <v>2</v>
      </c>
      <c r="Y24" s="36">
        <v>3</v>
      </c>
      <c r="Z24" s="36">
        <v>3</v>
      </c>
      <c r="AA24" s="36">
        <v>4</v>
      </c>
      <c r="AB24" s="35">
        <v>3</v>
      </c>
      <c r="AC24" s="35">
        <v>1</v>
      </c>
      <c r="AD24" s="35">
        <v>4</v>
      </c>
      <c r="AE24" s="35">
        <v>2</v>
      </c>
      <c r="AF24" s="35">
        <v>0</v>
      </c>
      <c r="AG24" s="36">
        <v>2</v>
      </c>
      <c r="AH24" s="36">
        <v>1</v>
      </c>
      <c r="AI24" s="36">
        <v>3</v>
      </c>
      <c r="AJ24" s="36">
        <v>3</v>
      </c>
      <c r="AU24" s="4"/>
      <c r="AV24" s="225"/>
      <c r="AW24" s="225"/>
      <c r="AX24" s="225"/>
      <c r="AY24" s="225"/>
      <c r="AZ24" s="225"/>
      <c r="BA24" s="225"/>
      <c r="BB24" s="225"/>
      <c r="BC24" s="225"/>
      <c r="BD24" s="225"/>
      <c r="BE24" s="225"/>
      <c r="BF24" s="225"/>
      <c r="BG24" s="225"/>
      <c r="BH24" s="225"/>
      <c r="BI24" s="225"/>
      <c r="BJ24" s="225"/>
      <c r="BK24" s="225"/>
    </row>
    <row r="25" spans="1:63" ht="15.75" customHeight="1" x14ac:dyDescent="0.2">
      <c r="A25" s="301"/>
      <c r="B25" s="34" t="s">
        <v>57</v>
      </c>
      <c r="C25" s="34">
        <v>2012</v>
      </c>
      <c r="D25" s="34" t="s">
        <v>58</v>
      </c>
      <c r="U25" s="36">
        <v>2</v>
      </c>
      <c r="V25" s="36">
        <v>3</v>
      </c>
      <c r="W25" s="36">
        <v>4</v>
      </c>
      <c r="X25" s="36">
        <v>1</v>
      </c>
      <c r="Y25" s="36">
        <v>3</v>
      </c>
      <c r="Z25" s="36">
        <v>2</v>
      </c>
      <c r="AA25" s="36">
        <v>4</v>
      </c>
      <c r="AB25" s="35">
        <v>3</v>
      </c>
      <c r="AC25" s="35">
        <v>1</v>
      </c>
      <c r="AD25" s="35">
        <v>4</v>
      </c>
      <c r="AE25" s="35">
        <v>2</v>
      </c>
      <c r="AF25" s="35">
        <v>1</v>
      </c>
      <c r="AG25" s="36">
        <v>2</v>
      </c>
      <c r="AH25" s="36">
        <v>2</v>
      </c>
      <c r="AI25" s="36">
        <v>4</v>
      </c>
      <c r="AJ25" s="36">
        <v>3</v>
      </c>
      <c r="AU25" s="4"/>
      <c r="AV25" s="225"/>
      <c r="AW25" s="225"/>
      <c r="AX25" s="225"/>
      <c r="AY25" s="225"/>
      <c r="AZ25" s="225"/>
      <c r="BA25" s="225"/>
      <c r="BB25" s="225"/>
      <c r="BC25" s="225"/>
      <c r="BD25" s="225"/>
      <c r="BE25" s="225"/>
      <c r="BF25" s="225"/>
      <c r="BG25" s="225"/>
      <c r="BH25" s="225"/>
      <c r="BI25" s="225"/>
      <c r="BJ25" s="225"/>
      <c r="BK25" s="225"/>
    </row>
    <row r="26" spans="1:63" ht="15.75" customHeight="1" x14ac:dyDescent="0.2">
      <c r="A26" s="301"/>
      <c r="B26" s="34" t="s">
        <v>59</v>
      </c>
      <c r="C26" s="34">
        <v>2010</v>
      </c>
      <c r="D26" s="34" t="s">
        <v>60</v>
      </c>
      <c r="U26" s="36">
        <v>2</v>
      </c>
      <c r="V26" s="36">
        <v>3</v>
      </c>
      <c r="W26" s="36">
        <v>4</v>
      </c>
      <c r="X26" s="36">
        <v>2</v>
      </c>
      <c r="Y26" s="36">
        <v>4</v>
      </c>
      <c r="Z26" s="36">
        <v>1</v>
      </c>
      <c r="AA26" s="36">
        <v>3</v>
      </c>
      <c r="AB26" s="35">
        <v>1</v>
      </c>
      <c r="AC26" s="35">
        <v>2</v>
      </c>
      <c r="AD26" s="35">
        <v>2</v>
      </c>
      <c r="AE26" s="35">
        <v>1</v>
      </c>
      <c r="AF26" s="35">
        <v>2</v>
      </c>
      <c r="AG26" s="36">
        <v>1</v>
      </c>
      <c r="AH26" s="36">
        <v>3</v>
      </c>
      <c r="AI26" s="36">
        <v>4</v>
      </c>
      <c r="AJ26" s="36">
        <v>3</v>
      </c>
      <c r="AU26" s="4"/>
      <c r="AV26" s="225"/>
      <c r="AW26" s="225"/>
      <c r="AX26" s="225"/>
      <c r="AY26" s="225"/>
      <c r="AZ26" s="225"/>
      <c r="BA26" s="225"/>
      <c r="BB26" s="225"/>
      <c r="BC26" s="225"/>
      <c r="BD26" s="225"/>
      <c r="BE26" s="225"/>
      <c r="BF26" s="225"/>
      <c r="BG26" s="225"/>
      <c r="BH26" s="225"/>
      <c r="BI26" s="225"/>
      <c r="BJ26" s="225"/>
      <c r="BK26" s="225"/>
    </row>
    <row r="27" spans="1:63" ht="15.75" customHeight="1" x14ac:dyDescent="0.2">
      <c r="AU27" s="4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25"/>
      <c r="BG27" s="225"/>
      <c r="BH27" s="225"/>
      <c r="BI27" s="225"/>
      <c r="BJ27" s="225"/>
      <c r="BK27" s="225"/>
    </row>
    <row r="28" spans="1:63" ht="15.75" customHeight="1" x14ac:dyDescent="0.2">
      <c r="AU28" s="4" t="s">
        <v>77</v>
      </c>
      <c r="AV28" s="225">
        <v>-0.57735026918962584</v>
      </c>
      <c r="AW28" s="225">
        <v>-0.57735026918962584</v>
      </c>
      <c r="AX28" s="225">
        <v>-0.33333333333333337</v>
      </c>
      <c r="AY28" s="225">
        <v>0.33333333333333337</v>
      </c>
      <c r="AZ28" s="225">
        <v>0.57735026918962584</v>
      </c>
      <c r="BA28" s="225">
        <v>0.57735026918962584</v>
      </c>
      <c r="BB28" s="225">
        <v>0.81649658092772592</v>
      </c>
      <c r="BC28" s="225">
        <v>0.57735026918962584</v>
      </c>
      <c r="BD28" s="225">
        <v>1</v>
      </c>
      <c r="BE28" s="225"/>
      <c r="BF28" s="225"/>
      <c r="BG28" s="225"/>
      <c r="BH28" s="225"/>
      <c r="BI28" s="225"/>
      <c r="BJ28" s="225"/>
      <c r="BK28" s="225"/>
    </row>
    <row r="29" spans="1:63" ht="58.5" customHeight="1" x14ac:dyDescent="0.2">
      <c r="B29" s="1" t="s">
        <v>0</v>
      </c>
      <c r="C29" s="1" t="s">
        <v>1</v>
      </c>
      <c r="D29" s="1" t="s">
        <v>2</v>
      </c>
      <c r="E29" s="14"/>
      <c r="F29" s="1" t="s">
        <v>304</v>
      </c>
      <c r="G29" s="1" t="s">
        <v>305</v>
      </c>
      <c r="H29" s="1" t="s">
        <v>306</v>
      </c>
      <c r="I29" s="15" t="s">
        <v>307</v>
      </c>
      <c r="J29" s="15" t="s">
        <v>308</v>
      </c>
      <c r="K29" s="15" t="s">
        <v>309</v>
      </c>
      <c r="L29" s="15" t="s">
        <v>310</v>
      </c>
      <c r="M29" s="15" t="s">
        <v>311</v>
      </c>
      <c r="N29" s="15" t="s">
        <v>312</v>
      </c>
      <c r="O29" s="15" t="s">
        <v>313</v>
      </c>
      <c r="P29" s="15" t="s">
        <v>314</v>
      </c>
      <c r="Q29" s="15" t="s">
        <v>315</v>
      </c>
      <c r="R29" s="15" t="s">
        <v>316</v>
      </c>
      <c r="S29" s="15" t="s">
        <v>317</v>
      </c>
      <c r="T29" s="16" t="s">
        <v>318</v>
      </c>
      <c r="U29" s="17" t="s">
        <v>326</v>
      </c>
      <c r="V29" s="17" t="s">
        <v>327</v>
      </c>
      <c r="W29" s="17" t="s">
        <v>328</v>
      </c>
      <c r="X29" s="17" t="s">
        <v>329</v>
      </c>
      <c r="Y29" s="17" t="s">
        <v>330</v>
      </c>
      <c r="Z29" s="17" t="s">
        <v>331</v>
      </c>
      <c r="AA29" s="17" t="s">
        <v>332</v>
      </c>
      <c r="AB29" s="4" t="s">
        <v>65</v>
      </c>
      <c r="AC29" s="4" t="s">
        <v>66</v>
      </c>
      <c r="AD29" s="4" t="s">
        <v>67</v>
      </c>
      <c r="AE29" s="4" t="s">
        <v>68</v>
      </c>
      <c r="AF29" s="4" t="s">
        <v>69</v>
      </c>
      <c r="AG29" s="17" t="s">
        <v>70</v>
      </c>
      <c r="AH29" s="17" t="s">
        <v>71</v>
      </c>
      <c r="AI29" s="17" t="s">
        <v>72</v>
      </c>
      <c r="AJ29" s="17" t="s">
        <v>73</v>
      </c>
      <c r="AU29" s="4" t="s">
        <v>78</v>
      </c>
      <c r="AV29" s="225">
        <v>-1</v>
      </c>
      <c r="AW29" s="225">
        <v>-1</v>
      </c>
      <c r="AX29" s="225">
        <v>-0.57735026918962584</v>
      </c>
      <c r="AY29" s="225">
        <v>-0.57735026918962584</v>
      </c>
      <c r="AZ29" s="225">
        <v>0</v>
      </c>
      <c r="BA29" s="225">
        <v>0</v>
      </c>
      <c r="BB29" s="225">
        <v>0.70710678118654746</v>
      </c>
      <c r="BC29" s="225">
        <v>0</v>
      </c>
      <c r="BD29" s="225">
        <v>0.57735026918962584</v>
      </c>
      <c r="BE29" s="225">
        <v>1</v>
      </c>
      <c r="BF29" s="225"/>
      <c r="BG29" s="225"/>
      <c r="BH29" s="225"/>
      <c r="BI29" s="225"/>
      <c r="BJ29" s="225"/>
      <c r="BK29" s="225"/>
    </row>
    <row r="30" spans="1:63" ht="15.75" customHeight="1" x14ac:dyDescent="0.2">
      <c r="A30" s="300" t="s">
        <v>8</v>
      </c>
      <c r="B30" s="18" t="s">
        <v>9</v>
      </c>
      <c r="C30" s="18">
        <v>1952</v>
      </c>
      <c r="D30" s="18" t="s">
        <v>10</v>
      </c>
      <c r="E30" s="18" t="s">
        <v>10</v>
      </c>
      <c r="F30" s="221">
        <v>3.81</v>
      </c>
      <c r="G30" s="221">
        <v>1206230</v>
      </c>
      <c r="H30" s="221">
        <v>26163</v>
      </c>
      <c r="I30" s="222">
        <v>131081</v>
      </c>
      <c r="J30" s="222">
        <v>26537</v>
      </c>
      <c r="K30" s="222">
        <v>2461</v>
      </c>
      <c r="L30" s="222">
        <v>1924</v>
      </c>
      <c r="M30" s="222">
        <v>30656</v>
      </c>
      <c r="N30" s="222">
        <v>1.1599999999999999</v>
      </c>
      <c r="O30" s="222">
        <v>13.8</v>
      </c>
      <c r="P30" s="222">
        <v>0.09</v>
      </c>
      <c r="Q30" s="222">
        <v>1680</v>
      </c>
      <c r="R30" s="222">
        <v>1.75</v>
      </c>
      <c r="S30" s="223">
        <v>0.31</v>
      </c>
      <c r="T30" s="224">
        <v>0.2</v>
      </c>
      <c r="U30" s="38">
        <v>1</v>
      </c>
      <c r="V30" s="38">
        <v>4</v>
      </c>
      <c r="W30" s="38">
        <v>4</v>
      </c>
      <c r="X30" s="38">
        <v>3</v>
      </c>
      <c r="Y30" s="38">
        <v>1</v>
      </c>
      <c r="Z30" s="38">
        <v>2</v>
      </c>
      <c r="AA30" s="38">
        <v>3</v>
      </c>
      <c r="AB30" s="10">
        <v>0</v>
      </c>
      <c r="AC30" s="10">
        <v>0</v>
      </c>
      <c r="AD30" s="10">
        <v>0</v>
      </c>
      <c r="AE30" s="10">
        <v>0</v>
      </c>
      <c r="AF30" s="10">
        <v>4</v>
      </c>
      <c r="AG30" s="38">
        <v>1</v>
      </c>
      <c r="AH30" s="38">
        <v>2</v>
      </c>
      <c r="AI30" s="38">
        <v>0</v>
      </c>
      <c r="AJ30" s="38">
        <v>3</v>
      </c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230" t="s">
        <v>79</v>
      </c>
      <c r="AV30" s="231">
        <v>0.57735026918962584</v>
      </c>
      <c r="AW30" s="231">
        <v>0.57735026918962584</v>
      </c>
      <c r="AX30" s="231">
        <v>0.33333333333333337</v>
      </c>
      <c r="AY30" s="231">
        <v>-0.33333333333333337</v>
      </c>
      <c r="AZ30" s="231">
        <v>-0.57735026918962584</v>
      </c>
      <c r="BA30" s="231">
        <v>-0.57735026918962584</v>
      </c>
      <c r="BB30" s="231">
        <v>-0.81649658092772592</v>
      </c>
      <c r="BC30" s="231">
        <v>-0.57735026918962584</v>
      </c>
      <c r="BD30" s="231">
        <v>-1.0000000000000002</v>
      </c>
      <c r="BE30" s="231">
        <v>-0.57735026918962584</v>
      </c>
      <c r="BF30" s="231">
        <v>1</v>
      </c>
      <c r="BG30" s="231"/>
      <c r="BH30" s="231"/>
      <c r="BI30" s="231"/>
      <c r="BJ30" s="231"/>
      <c r="BK30" s="231"/>
    </row>
    <row r="31" spans="1:63" ht="15.75" customHeight="1" x14ac:dyDescent="0.2">
      <c r="A31" s="301"/>
      <c r="B31" s="18" t="s">
        <v>11</v>
      </c>
      <c r="C31" s="18">
        <v>1945</v>
      </c>
      <c r="D31" s="18" t="s">
        <v>12</v>
      </c>
      <c r="E31" s="18" t="s">
        <v>12</v>
      </c>
      <c r="F31" s="221">
        <v>3.99</v>
      </c>
      <c r="G31" s="221">
        <v>4084025</v>
      </c>
      <c r="H31" s="221">
        <v>51254</v>
      </c>
      <c r="I31" s="222">
        <v>167080</v>
      </c>
      <c r="J31" s="222">
        <v>30207</v>
      </c>
      <c r="K31" s="222">
        <v>3900</v>
      </c>
      <c r="L31" s="222">
        <v>1671</v>
      </c>
      <c r="M31" s="222">
        <v>36479</v>
      </c>
      <c r="N31" s="222">
        <v>1.21</v>
      </c>
      <c r="O31" s="222">
        <v>18.100000000000001</v>
      </c>
      <c r="P31" s="222">
        <v>0.13</v>
      </c>
      <c r="Q31" s="222">
        <v>2795</v>
      </c>
      <c r="R31" s="222">
        <v>1.96</v>
      </c>
      <c r="S31" s="223">
        <v>0.31</v>
      </c>
      <c r="T31" s="224">
        <v>0.19</v>
      </c>
      <c r="U31" s="38">
        <v>0</v>
      </c>
      <c r="V31" s="38">
        <v>4</v>
      </c>
      <c r="W31" s="38">
        <v>4</v>
      </c>
      <c r="X31" s="38">
        <v>1</v>
      </c>
      <c r="Y31" s="38">
        <v>3</v>
      </c>
      <c r="Z31" s="38">
        <v>1</v>
      </c>
      <c r="AA31" s="38">
        <v>1</v>
      </c>
      <c r="AB31" s="10">
        <v>0</v>
      </c>
      <c r="AC31" s="10">
        <v>2</v>
      </c>
      <c r="AD31" s="10">
        <v>0</v>
      </c>
      <c r="AE31" s="10">
        <v>4</v>
      </c>
      <c r="AF31" s="10">
        <v>3</v>
      </c>
      <c r="AG31" s="38">
        <v>4</v>
      </c>
      <c r="AH31" s="38">
        <v>2</v>
      </c>
      <c r="AI31" s="38">
        <v>0</v>
      </c>
      <c r="AJ31" s="38">
        <v>2</v>
      </c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230" t="s">
        <v>80</v>
      </c>
      <c r="AV31" s="231">
        <v>-0.57735026918962584</v>
      </c>
      <c r="AW31" s="231">
        <v>-0.57735026918962584</v>
      </c>
      <c r="AX31" s="231">
        <v>-0.33333333333333337</v>
      </c>
      <c r="AY31" s="231">
        <v>0.33333333333333337</v>
      </c>
      <c r="AZ31" s="231">
        <v>0.57735026918962584</v>
      </c>
      <c r="BA31" s="231">
        <v>0.57735026918962584</v>
      </c>
      <c r="BB31" s="231">
        <v>0.81649658092772592</v>
      </c>
      <c r="BC31" s="231">
        <v>0.57735026918962584</v>
      </c>
      <c r="BD31" s="231">
        <v>1.0000000000000002</v>
      </c>
      <c r="BE31" s="231">
        <v>0.57735026918962584</v>
      </c>
      <c r="BF31" s="231">
        <v>-1.0000000000000002</v>
      </c>
      <c r="BG31" s="231">
        <v>1</v>
      </c>
      <c r="BH31" s="231"/>
      <c r="BI31" s="231"/>
      <c r="BJ31" s="231"/>
      <c r="BK31" s="231"/>
    </row>
    <row r="32" spans="1:63" ht="15.75" customHeight="1" x14ac:dyDescent="0.2">
      <c r="A32" s="301"/>
      <c r="B32" s="18" t="s">
        <v>13</v>
      </c>
      <c r="C32" s="18">
        <v>1891</v>
      </c>
      <c r="D32" s="18" t="s">
        <v>14</v>
      </c>
      <c r="E32" s="18" t="s">
        <v>14</v>
      </c>
      <c r="F32" s="221">
        <v>4.13</v>
      </c>
      <c r="G32" s="221">
        <v>1644003</v>
      </c>
      <c r="H32" s="221">
        <v>2753</v>
      </c>
      <c r="I32" s="222">
        <v>292429</v>
      </c>
      <c r="J32" s="222">
        <v>55320</v>
      </c>
      <c r="K32" s="222">
        <v>5459</v>
      </c>
      <c r="L32" s="222">
        <v>4177</v>
      </c>
      <c r="M32" s="222">
        <v>68581</v>
      </c>
      <c r="N32" s="222">
        <v>1.24</v>
      </c>
      <c r="O32" s="222">
        <v>13.2</v>
      </c>
      <c r="P32" s="222">
        <v>0.1</v>
      </c>
      <c r="Q32" s="222">
        <v>3762</v>
      </c>
      <c r="R32" s="222">
        <v>1.72</v>
      </c>
      <c r="S32" s="223">
        <v>0.28000000000000003</v>
      </c>
      <c r="T32" s="224">
        <v>0.16</v>
      </c>
      <c r="U32" s="38">
        <v>0</v>
      </c>
      <c r="V32" s="38">
        <v>4</v>
      </c>
      <c r="W32" s="38">
        <v>4</v>
      </c>
      <c r="X32" s="38">
        <v>1</v>
      </c>
      <c r="Y32" s="38">
        <v>3</v>
      </c>
      <c r="Z32" s="38">
        <v>2</v>
      </c>
      <c r="AA32" s="38">
        <v>4</v>
      </c>
      <c r="AB32" s="10">
        <v>0</v>
      </c>
      <c r="AC32" s="10">
        <v>3</v>
      </c>
      <c r="AD32" s="10">
        <v>2</v>
      </c>
      <c r="AE32" s="10">
        <v>2</v>
      </c>
      <c r="AF32" s="10">
        <v>4</v>
      </c>
      <c r="AG32" s="38">
        <v>4</v>
      </c>
      <c r="AH32" s="38">
        <v>1</v>
      </c>
      <c r="AI32" s="38">
        <v>0</v>
      </c>
      <c r="AJ32" s="38">
        <v>2</v>
      </c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232" t="s">
        <v>61</v>
      </c>
      <c r="AV32" s="231">
        <v>-0.57735026918962584</v>
      </c>
      <c r="AW32" s="231">
        <v>-0.57735026918962584</v>
      </c>
      <c r="AX32" s="231">
        <v>-1.0000000000000002</v>
      </c>
      <c r="AY32" s="231">
        <v>-0.33333333333333337</v>
      </c>
      <c r="AZ32" s="231">
        <v>0.57735026918962584</v>
      </c>
      <c r="BA32" s="231">
        <v>0.57735026918962584</v>
      </c>
      <c r="BB32" s="231">
        <v>0</v>
      </c>
      <c r="BC32" s="231">
        <v>0.57735026918962584</v>
      </c>
      <c r="BD32" s="231">
        <v>0.33333333333333337</v>
      </c>
      <c r="BE32" s="231">
        <v>0.57735026918962584</v>
      </c>
      <c r="BF32" s="231">
        <v>-0.33333333333333337</v>
      </c>
      <c r="BG32" s="231">
        <v>0.33333333333333337</v>
      </c>
      <c r="BH32" s="231">
        <v>1</v>
      </c>
      <c r="BI32" s="231"/>
      <c r="BJ32" s="231"/>
      <c r="BK32" s="231"/>
    </row>
    <row r="33" spans="1:63" ht="15.75" customHeight="1" x14ac:dyDescent="0.2">
      <c r="A33" s="301"/>
      <c r="B33" s="18" t="s">
        <v>15</v>
      </c>
      <c r="C33" s="18">
        <v>1954</v>
      </c>
      <c r="D33" s="18" t="s">
        <v>16</v>
      </c>
      <c r="E33" s="18" t="s">
        <v>16</v>
      </c>
      <c r="F33" s="221">
        <v>3.7</v>
      </c>
      <c r="G33" s="221">
        <v>3002291</v>
      </c>
      <c r="H33" s="221">
        <v>4283</v>
      </c>
      <c r="I33" s="222">
        <v>323707</v>
      </c>
      <c r="J33" s="222">
        <v>60646</v>
      </c>
      <c r="K33" s="222">
        <v>5295</v>
      </c>
      <c r="L33" s="222">
        <v>5437</v>
      </c>
      <c r="M33" s="222">
        <v>76396</v>
      </c>
      <c r="N33" s="222">
        <v>1.26</v>
      </c>
      <c r="O33" s="222">
        <v>11.2</v>
      </c>
      <c r="P33" s="222">
        <v>0.09</v>
      </c>
      <c r="Q33" s="222">
        <v>3890</v>
      </c>
      <c r="R33" s="222">
        <v>1.56</v>
      </c>
      <c r="S33" s="223">
        <v>0.27</v>
      </c>
      <c r="T33" s="224">
        <v>0.22</v>
      </c>
      <c r="U33" s="38">
        <v>1</v>
      </c>
      <c r="V33" s="38">
        <v>4</v>
      </c>
      <c r="W33" s="38">
        <v>4</v>
      </c>
      <c r="X33" s="38">
        <v>3</v>
      </c>
      <c r="Y33" s="38">
        <v>3</v>
      </c>
      <c r="Z33" s="38">
        <v>2</v>
      </c>
      <c r="AA33" s="38">
        <v>3</v>
      </c>
      <c r="AB33" s="10">
        <v>1</v>
      </c>
      <c r="AC33" s="10">
        <v>1</v>
      </c>
      <c r="AD33" s="10">
        <v>0</v>
      </c>
      <c r="AE33" s="10">
        <v>3</v>
      </c>
      <c r="AF33" s="10">
        <v>4</v>
      </c>
      <c r="AG33" s="38">
        <v>4</v>
      </c>
      <c r="AH33" s="38">
        <v>1</v>
      </c>
      <c r="AI33" s="38">
        <v>0</v>
      </c>
      <c r="AJ33" s="38">
        <v>3</v>
      </c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232" t="s">
        <v>62</v>
      </c>
      <c r="AV33" s="231">
        <v>-0.57735026918962584</v>
      </c>
      <c r="AW33" s="231">
        <v>-0.57735026918962584</v>
      </c>
      <c r="AX33" s="231">
        <v>-1.0000000000000002</v>
      </c>
      <c r="AY33" s="231">
        <v>-0.33333333333333337</v>
      </c>
      <c r="AZ33" s="231">
        <v>0.57735026918962584</v>
      </c>
      <c r="BA33" s="231">
        <v>0.57735026918962584</v>
      </c>
      <c r="BB33" s="231">
        <v>0</v>
      </c>
      <c r="BC33" s="231">
        <v>0.57735026918962584</v>
      </c>
      <c r="BD33" s="231">
        <v>0.33333333333333337</v>
      </c>
      <c r="BE33" s="231">
        <v>0.57735026918962584</v>
      </c>
      <c r="BF33" s="231">
        <v>-0.33333333333333337</v>
      </c>
      <c r="BG33" s="231">
        <v>0.33333333333333337</v>
      </c>
      <c r="BH33" s="231">
        <v>1.0000000000000002</v>
      </c>
      <c r="BI33" s="231">
        <v>1</v>
      </c>
      <c r="BJ33" s="231"/>
      <c r="BK33" s="231"/>
    </row>
    <row r="34" spans="1:63" ht="18.75" customHeight="1" x14ac:dyDescent="0.2">
      <c r="A34" s="301"/>
      <c r="B34" s="18" t="s">
        <v>17</v>
      </c>
      <c r="C34" s="18">
        <v>1960</v>
      </c>
      <c r="D34" s="18" t="s">
        <v>18</v>
      </c>
      <c r="E34" s="18" t="s">
        <v>18</v>
      </c>
      <c r="F34" s="221">
        <v>4.26</v>
      </c>
      <c r="G34" s="221">
        <v>6389780</v>
      </c>
      <c r="H34" s="221">
        <v>1034</v>
      </c>
      <c r="I34" s="222">
        <v>536097</v>
      </c>
      <c r="J34" s="222">
        <v>102810</v>
      </c>
      <c r="K34" s="222">
        <v>7817</v>
      </c>
      <c r="L34" s="222">
        <v>8250</v>
      </c>
      <c r="M34" s="222">
        <v>132488</v>
      </c>
      <c r="N34" s="222">
        <v>1.29</v>
      </c>
      <c r="O34" s="222">
        <v>12.5</v>
      </c>
      <c r="P34" s="222">
        <v>0.08</v>
      </c>
      <c r="Q34" s="222">
        <v>5432</v>
      </c>
      <c r="R34" s="222">
        <v>2.1</v>
      </c>
      <c r="S34" s="223">
        <v>0.3</v>
      </c>
      <c r="T34" s="224">
        <v>0.19</v>
      </c>
      <c r="U34" s="38">
        <v>0</v>
      </c>
      <c r="V34" s="38">
        <v>3</v>
      </c>
      <c r="W34" s="38">
        <v>4</v>
      </c>
      <c r="X34" s="38">
        <v>1</v>
      </c>
      <c r="Y34" s="38">
        <v>4</v>
      </c>
      <c r="Z34" s="38">
        <v>2</v>
      </c>
      <c r="AA34" s="38">
        <v>3</v>
      </c>
      <c r="AB34" s="10">
        <v>0</v>
      </c>
      <c r="AC34" s="10">
        <v>1</v>
      </c>
      <c r="AD34" s="10">
        <v>0</v>
      </c>
      <c r="AE34" s="10">
        <v>3</v>
      </c>
      <c r="AF34" s="10">
        <v>4</v>
      </c>
      <c r="AG34" s="38">
        <v>2</v>
      </c>
      <c r="AH34" s="38">
        <v>2</v>
      </c>
      <c r="AI34" s="38">
        <v>0</v>
      </c>
      <c r="AJ34" s="38">
        <v>3</v>
      </c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232" t="s">
        <v>63</v>
      </c>
      <c r="AV34" s="231">
        <v>-0.33333333333333331</v>
      </c>
      <c r="AW34" s="231">
        <v>-0.33333333333333331</v>
      </c>
      <c r="AX34" s="231">
        <v>-0.96225044864937626</v>
      </c>
      <c r="AY34" s="231">
        <v>-0.19245008972987526</v>
      </c>
      <c r="AZ34" s="231">
        <v>0.66666666666666663</v>
      </c>
      <c r="BA34" s="231">
        <v>0.66666666666666663</v>
      </c>
      <c r="BB34" s="231">
        <v>-0.23570226039551581</v>
      </c>
      <c r="BC34" s="231">
        <v>0.66666666666666663</v>
      </c>
      <c r="BD34" s="231">
        <v>0.19245008972987526</v>
      </c>
      <c r="BE34" s="231">
        <v>0.33333333333333331</v>
      </c>
      <c r="BF34" s="231">
        <v>-0.19245008972987526</v>
      </c>
      <c r="BG34" s="231">
        <v>0.19245008972987526</v>
      </c>
      <c r="BH34" s="231">
        <v>0.96225044864937626</v>
      </c>
      <c r="BI34" s="231">
        <v>0.96225044864937626</v>
      </c>
      <c r="BJ34" s="231">
        <v>1</v>
      </c>
      <c r="BK34" s="231"/>
    </row>
    <row r="35" spans="1:63" ht="15.75" customHeight="1" x14ac:dyDescent="0.2">
      <c r="A35" s="300" t="s">
        <v>19</v>
      </c>
      <c r="B35" s="39" t="s">
        <v>20</v>
      </c>
      <c r="C35" s="39">
        <v>1970</v>
      </c>
      <c r="D35" s="39" t="s">
        <v>21</v>
      </c>
      <c r="E35" s="39"/>
      <c r="F35" s="233"/>
      <c r="G35" s="233"/>
      <c r="H35" s="233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5"/>
      <c r="T35" s="236"/>
      <c r="U35" s="41"/>
      <c r="V35" s="41"/>
      <c r="W35" s="41"/>
      <c r="X35" s="41"/>
      <c r="Y35" s="41"/>
      <c r="Z35" s="41"/>
      <c r="AA35" s="41"/>
      <c r="AB35" s="40">
        <v>2</v>
      </c>
      <c r="AC35" s="40">
        <v>0</v>
      </c>
      <c r="AD35" s="40">
        <v>1</v>
      </c>
      <c r="AE35" s="40">
        <v>4</v>
      </c>
      <c r="AF35" s="40">
        <v>0</v>
      </c>
      <c r="AG35" s="41"/>
      <c r="AH35" s="41"/>
      <c r="AI35" s="41"/>
      <c r="AJ35" s="41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237"/>
      <c r="AV35" s="238"/>
      <c r="AW35" s="238"/>
      <c r="AX35" s="238"/>
      <c r="AY35" s="238"/>
      <c r="AZ35" s="238"/>
      <c r="BA35" s="238"/>
      <c r="BB35" s="238"/>
      <c r="BC35" s="238"/>
      <c r="BD35" s="238"/>
      <c r="BE35" s="238"/>
      <c r="BF35" s="238"/>
      <c r="BG35" s="238"/>
      <c r="BH35" s="238"/>
      <c r="BI35" s="238"/>
      <c r="BJ35" s="238"/>
      <c r="BK35" s="238"/>
    </row>
    <row r="36" spans="1:63" ht="15.75" customHeight="1" x14ac:dyDescent="0.2">
      <c r="A36" s="301"/>
      <c r="B36" s="39" t="s">
        <v>22</v>
      </c>
      <c r="C36" s="39">
        <v>1950</v>
      </c>
      <c r="D36" s="39" t="s">
        <v>23</v>
      </c>
      <c r="E36" s="39"/>
      <c r="F36" s="233"/>
      <c r="G36" s="233"/>
      <c r="H36" s="233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5"/>
      <c r="T36" s="236"/>
      <c r="U36" s="41"/>
      <c r="V36" s="41"/>
      <c r="W36" s="41"/>
      <c r="X36" s="41"/>
      <c r="Y36" s="41"/>
      <c r="Z36" s="41"/>
      <c r="AA36" s="41"/>
      <c r="AB36" s="40">
        <v>3</v>
      </c>
      <c r="AC36" s="40">
        <v>3</v>
      </c>
      <c r="AD36" s="40">
        <v>2</v>
      </c>
      <c r="AE36" s="40">
        <v>1</v>
      </c>
      <c r="AF36" s="40">
        <v>1</v>
      </c>
      <c r="AG36" s="41"/>
      <c r="AH36" s="41"/>
      <c r="AI36" s="41"/>
      <c r="AJ36" s="41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237"/>
      <c r="AV36" s="238"/>
      <c r="AW36" s="238"/>
      <c r="AX36" s="238"/>
      <c r="AY36" s="238"/>
      <c r="AZ36" s="238"/>
      <c r="BA36" s="238"/>
      <c r="BB36" s="238"/>
      <c r="BC36" s="238"/>
      <c r="BD36" s="238"/>
      <c r="BE36" s="238"/>
      <c r="BF36" s="238"/>
      <c r="BG36" s="238"/>
      <c r="BH36" s="238"/>
      <c r="BI36" s="238"/>
      <c r="BJ36" s="238"/>
      <c r="BK36" s="238"/>
    </row>
    <row r="37" spans="1:63" ht="15.75" customHeight="1" x14ac:dyDescent="0.2">
      <c r="A37" s="301"/>
      <c r="B37" s="39" t="s">
        <v>24</v>
      </c>
      <c r="C37" s="39">
        <v>1949</v>
      </c>
      <c r="D37" s="39" t="s">
        <v>25</v>
      </c>
      <c r="E37" s="39"/>
      <c r="F37" s="233"/>
      <c r="G37" s="233"/>
      <c r="H37" s="233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5"/>
      <c r="T37" s="236"/>
      <c r="U37" s="41"/>
      <c r="V37" s="41"/>
      <c r="W37" s="41"/>
      <c r="X37" s="41"/>
      <c r="Y37" s="41"/>
      <c r="Z37" s="41"/>
      <c r="AA37" s="41"/>
      <c r="AB37" s="40">
        <v>2</v>
      </c>
      <c r="AC37" s="40">
        <v>1</v>
      </c>
      <c r="AD37" s="40">
        <v>0</v>
      </c>
      <c r="AE37" s="40">
        <v>2</v>
      </c>
      <c r="AF37" s="40">
        <v>0</v>
      </c>
      <c r="AG37" s="41"/>
      <c r="AH37" s="41"/>
      <c r="AI37" s="41"/>
      <c r="AJ37" s="41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237"/>
      <c r="AV37" s="238"/>
      <c r="AW37" s="238"/>
      <c r="AX37" s="238"/>
      <c r="AY37" s="238"/>
      <c r="AZ37" s="238"/>
      <c r="BA37" s="238"/>
      <c r="BB37" s="238"/>
      <c r="BC37" s="238"/>
      <c r="BD37" s="238"/>
      <c r="BE37" s="238"/>
      <c r="BF37" s="238"/>
      <c r="BG37" s="238"/>
      <c r="BH37" s="238"/>
      <c r="BI37" s="238"/>
      <c r="BJ37" s="238"/>
      <c r="BK37" s="238"/>
    </row>
    <row r="38" spans="1:63" ht="15.75" customHeight="1" x14ac:dyDescent="0.2">
      <c r="A38" s="301"/>
      <c r="B38" s="39" t="s">
        <v>26</v>
      </c>
      <c r="C38" s="39">
        <v>1957</v>
      </c>
      <c r="D38" s="39" t="s">
        <v>23</v>
      </c>
      <c r="E38" s="39"/>
      <c r="F38" s="233"/>
      <c r="G38" s="233"/>
      <c r="H38" s="233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5"/>
      <c r="T38" s="236"/>
      <c r="U38" s="41"/>
      <c r="V38" s="41"/>
      <c r="W38" s="41"/>
      <c r="X38" s="41"/>
      <c r="Y38" s="41"/>
      <c r="Z38" s="41"/>
      <c r="AA38" s="41"/>
      <c r="AB38" s="40">
        <v>1</v>
      </c>
      <c r="AC38" s="40">
        <v>0</v>
      </c>
      <c r="AD38" s="40">
        <v>1</v>
      </c>
      <c r="AE38" s="40">
        <v>3</v>
      </c>
      <c r="AF38" s="40">
        <v>0</v>
      </c>
      <c r="AG38" s="41"/>
      <c r="AH38" s="41"/>
      <c r="AI38" s="41"/>
      <c r="AJ38" s="41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237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8"/>
      <c r="BH38" s="238"/>
      <c r="BI38" s="238"/>
      <c r="BJ38" s="238"/>
      <c r="BK38" s="238"/>
    </row>
    <row r="39" spans="1:63" ht="15.75" customHeight="1" x14ac:dyDescent="0.2">
      <c r="A39" s="301"/>
      <c r="B39" s="39" t="s">
        <v>27</v>
      </c>
      <c r="C39" s="39">
        <v>1980</v>
      </c>
      <c r="D39" s="39" t="s">
        <v>28</v>
      </c>
      <c r="E39" s="39"/>
      <c r="F39" s="233"/>
      <c r="G39" s="233"/>
      <c r="H39" s="233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5"/>
      <c r="T39" s="236"/>
      <c r="U39" s="41"/>
      <c r="V39" s="41"/>
      <c r="W39" s="41"/>
      <c r="X39" s="41"/>
      <c r="Y39" s="41"/>
      <c r="Z39" s="41"/>
      <c r="AA39" s="41"/>
      <c r="AB39" s="40">
        <v>1</v>
      </c>
      <c r="AC39" s="40">
        <v>3</v>
      </c>
      <c r="AD39" s="40">
        <v>0</v>
      </c>
      <c r="AE39" s="40">
        <v>3</v>
      </c>
      <c r="AF39" s="40">
        <v>1</v>
      </c>
      <c r="AG39" s="41"/>
      <c r="AH39" s="41"/>
      <c r="AI39" s="41"/>
      <c r="AJ39" s="41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237"/>
      <c r="AV39" s="238"/>
      <c r="AW39" s="238"/>
      <c r="AX39" s="238"/>
      <c r="AY39" s="238"/>
      <c r="AZ39" s="238"/>
      <c r="BA39" s="238"/>
      <c r="BB39" s="238"/>
      <c r="BC39" s="238"/>
      <c r="BD39" s="238"/>
      <c r="BE39" s="238"/>
      <c r="BF39" s="238"/>
      <c r="BG39" s="238"/>
      <c r="BH39" s="238"/>
      <c r="BI39" s="238"/>
      <c r="BJ39" s="238"/>
      <c r="BK39" s="238"/>
    </row>
    <row r="40" spans="1:63" ht="15.75" customHeight="1" x14ac:dyDescent="0.2">
      <c r="A40" s="300" t="s">
        <v>29</v>
      </c>
      <c r="B40" s="28" t="s">
        <v>30</v>
      </c>
      <c r="C40" s="28">
        <v>2012</v>
      </c>
      <c r="D40" s="28" t="s">
        <v>31</v>
      </c>
      <c r="F40" s="43"/>
      <c r="G40" s="43"/>
      <c r="H40" s="4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1"/>
      <c r="T40" s="22"/>
      <c r="U40" s="37"/>
      <c r="V40" s="37"/>
      <c r="W40" s="37"/>
      <c r="X40" s="37"/>
      <c r="Y40" s="37"/>
      <c r="Z40" s="37"/>
      <c r="AA40" s="37"/>
      <c r="AB40" s="11">
        <v>1</v>
      </c>
      <c r="AC40" s="11">
        <v>0</v>
      </c>
      <c r="AD40" s="11">
        <v>4</v>
      </c>
      <c r="AE40" s="11">
        <v>3</v>
      </c>
      <c r="AF40" s="11">
        <v>1</v>
      </c>
      <c r="AG40" s="37"/>
      <c r="AH40" s="37"/>
      <c r="AI40" s="37"/>
      <c r="AJ40" s="37"/>
      <c r="AU40" s="17"/>
      <c r="AV40" s="225"/>
      <c r="AW40" s="225"/>
      <c r="AX40" s="225"/>
      <c r="AY40" s="225"/>
      <c r="AZ40" s="225"/>
      <c r="BA40" s="225"/>
      <c r="BB40" s="225"/>
      <c r="BC40" s="225"/>
      <c r="BD40" s="225"/>
      <c r="BE40" s="225"/>
      <c r="BF40" s="225"/>
      <c r="BG40" s="225"/>
      <c r="BH40" s="225"/>
      <c r="BI40" s="225"/>
      <c r="BJ40" s="225"/>
      <c r="BK40" s="225"/>
    </row>
    <row r="41" spans="1:63" ht="15.75" customHeight="1" x14ac:dyDescent="0.2">
      <c r="A41" s="301"/>
      <c r="B41" s="28" t="s">
        <v>32</v>
      </c>
      <c r="C41" s="28">
        <v>2012</v>
      </c>
      <c r="D41" s="28" t="s">
        <v>33</v>
      </c>
      <c r="F41" s="43"/>
      <c r="G41" s="43"/>
      <c r="H41" s="43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1"/>
      <c r="T41" s="22"/>
      <c r="U41" s="37"/>
      <c r="V41" s="37"/>
      <c r="W41" s="37"/>
      <c r="X41" s="37"/>
      <c r="Y41" s="37"/>
      <c r="Z41" s="37"/>
      <c r="AA41" s="37"/>
      <c r="AB41" s="11">
        <v>0</v>
      </c>
      <c r="AC41" s="11">
        <v>0</v>
      </c>
      <c r="AD41" s="11">
        <v>3</v>
      </c>
      <c r="AE41" s="11">
        <v>0</v>
      </c>
      <c r="AF41" s="11">
        <v>2</v>
      </c>
      <c r="AG41" s="37"/>
      <c r="AH41" s="37"/>
      <c r="AI41" s="37"/>
      <c r="AJ41" s="37"/>
      <c r="AU41" s="17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25"/>
      <c r="BG41" s="225"/>
      <c r="BH41" s="225"/>
      <c r="BI41" s="225"/>
      <c r="BJ41" s="225"/>
      <c r="BK41" s="225"/>
    </row>
    <row r="42" spans="1:63" ht="15.75" customHeight="1" x14ac:dyDescent="0.2">
      <c r="A42" s="301"/>
      <c r="B42" s="28" t="s">
        <v>34</v>
      </c>
      <c r="C42" s="28">
        <v>2012</v>
      </c>
      <c r="D42" s="28" t="s">
        <v>35</v>
      </c>
      <c r="F42" s="43"/>
      <c r="G42" s="43"/>
      <c r="H42" s="43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1"/>
      <c r="T42" s="22"/>
      <c r="U42" s="37"/>
      <c r="V42" s="37"/>
      <c r="W42" s="37"/>
      <c r="X42" s="37"/>
      <c r="Y42" s="37"/>
      <c r="Z42" s="37"/>
      <c r="AA42" s="37"/>
      <c r="AB42" s="11">
        <v>1</v>
      </c>
      <c r="AC42" s="11">
        <v>3</v>
      </c>
      <c r="AD42" s="11">
        <v>2</v>
      </c>
      <c r="AE42" s="11">
        <v>1</v>
      </c>
      <c r="AF42" s="11">
        <v>2</v>
      </c>
      <c r="AG42" s="37"/>
      <c r="AH42" s="37"/>
      <c r="AI42" s="37"/>
      <c r="AJ42" s="37"/>
      <c r="AU42" s="17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25"/>
      <c r="BG42" s="225"/>
      <c r="BH42" s="225"/>
      <c r="BI42" s="225"/>
      <c r="BJ42" s="225"/>
      <c r="BK42" s="225"/>
    </row>
    <row r="43" spans="1:63" ht="15.75" customHeight="1" x14ac:dyDescent="0.2">
      <c r="A43" s="301"/>
      <c r="B43" s="28" t="s">
        <v>36</v>
      </c>
      <c r="C43" s="28">
        <v>2012</v>
      </c>
      <c r="D43" s="28" t="s">
        <v>37</v>
      </c>
      <c r="F43" s="43"/>
      <c r="G43" s="43"/>
      <c r="H43" s="43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1"/>
      <c r="T43" s="22"/>
      <c r="U43" s="37"/>
      <c r="V43" s="37"/>
      <c r="W43" s="37"/>
      <c r="X43" s="37"/>
      <c r="Y43" s="37"/>
      <c r="Z43" s="37"/>
      <c r="AA43" s="37"/>
      <c r="AB43" s="11">
        <v>1</v>
      </c>
      <c r="AC43" s="11">
        <v>0</v>
      </c>
      <c r="AD43" s="11">
        <v>3</v>
      </c>
      <c r="AE43" s="11">
        <v>1</v>
      </c>
      <c r="AF43" s="11">
        <v>1</v>
      </c>
      <c r="AG43" s="37"/>
      <c r="AH43" s="37"/>
      <c r="AI43" s="37"/>
      <c r="AJ43" s="37"/>
      <c r="AU43" s="17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25"/>
      <c r="BG43" s="225"/>
      <c r="BH43" s="225"/>
      <c r="BI43" s="225"/>
      <c r="BJ43" s="225"/>
      <c r="BK43" s="225"/>
    </row>
    <row r="44" spans="1:63" ht="15.75" customHeight="1" x14ac:dyDescent="0.2">
      <c r="A44" s="301"/>
      <c r="B44" s="28" t="s">
        <v>38</v>
      </c>
      <c r="C44" s="28">
        <v>2018</v>
      </c>
      <c r="D44" s="28" t="s">
        <v>39</v>
      </c>
      <c r="F44" s="43"/>
      <c r="G44" s="43"/>
      <c r="H44" s="43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1"/>
      <c r="T44" s="22"/>
      <c r="U44" s="37"/>
      <c r="V44" s="37"/>
      <c r="W44" s="37"/>
      <c r="X44" s="37"/>
      <c r="Y44" s="37"/>
      <c r="Z44" s="37"/>
      <c r="AA44" s="37"/>
      <c r="AB44" s="11">
        <v>1</v>
      </c>
      <c r="AC44" s="11">
        <v>2</v>
      </c>
      <c r="AD44" s="11">
        <v>4</v>
      </c>
      <c r="AE44" s="11">
        <v>1</v>
      </c>
      <c r="AF44" s="11">
        <v>1</v>
      </c>
      <c r="AG44" s="37"/>
      <c r="AH44" s="37"/>
      <c r="AI44" s="37"/>
      <c r="AJ44" s="37"/>
      <c r="AU44" s="17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25"/>
      <c r="BG44" s="225"/>
      <c r="BH44" s="225"/>
      <c r="BI44" s="225"/>
      <c r="BJ44" s="225"/>
      <c r="BK44" s="225"/>
    </row>
    <row r="45" spans="1:63" ht="15.75" customHeight="1" x14ac:dyDescent="0.2">
      <c r="A45" s="300" t="s">
        <v>40</v>
      </c>
      <c r="B45" s="31" t="s">
        <v>41</v>
      </c>
      <c r="C45" s="31">
        <v>1898</v>
      </c>
      <c r="D45" s="31" t="s">
        <v>42</v>
      </c>
      <c r="F45" s="43"/>
      <c r="G45" s="43"/>
      <c r="H45" s="43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1"/>
      <c r="T45" s="22"/>
      <c r="U45" s="37"/>
      <c r="V45" s="37"/>
      <c r="W45" s="37"/>
      <c r="X45" s="37"/>
      <c r="Y45" s="37"/>
      <c r="Z45" s="37"/>
      <c r="AA45" s="37"/>
      <c r="AB45" s="11">
        <v>0</v>
      </c>
      <c r="AC45" s="11">
        <v>4</v>
      </c>
      <c r="AD45" s="11">
        <v>0</v>
      </c>
      <c r="AE45" s="11">
        <v>0</v>
      </c>
      <c r="AF45" s="11">
        <v>4</v>
      </c>
      <c r="AG45" s="37"/>
      <c r="AH45" s="37"/>
      <c r="AI45" s="37"/>
      <c r="AJ45" s="37"/>
      <c r="AU45" s="17"/>
      <c r="AV45" s="225"/>
      <c r="AW45" s="225"/>
      <c r="AX45" s="225"/>
      <c r="AY45" s="225"/>
      <c r="AZ45" s="225"/>
      <c r="BA45" s="225"/>
      <c r="BB45" s="225"/>
      <c r="BC45" s="225"/>
      <c r="BD45" s="225"/>
      <c r="BE45" s="225"/>
      <c r="BF45" s="225"/>
      <c r="BG45" s="225"/>
      <c r="BH45" s="225"/>
      <c r="BI45" s="225"/>
      <c r="BJ45" s="225"/>
      <c r="BK45" s="225"/>
    </row>
    <row r="46" spans="1:63" ht="15.75" customHeight="1" x14ac:dyDescent="0.2">
      <c r="A46" s="301"/>
      <c r="B46" s="31" t="s">
        <v>43</v>
      </c>
      <c r="C46" s="31">
        <v>2016</v>
      </c>
      <c r="D46" s="31" t="s">
        <v>44</v>
      </c>
      <c r="F46" s="43"/>
      <c r="G46" s="43"/>
      <c r="H46" s="43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1"/>
      <c r="T46" s="22"/>
      <c r="U46" s="37"/>
      <c r="V46" s="37"/>
      <c r="W46" s="37"/>
      <c r="X46" s="37"/>
      <c r="Y46" s="37"/>
      <c r="Z46" s="37"/>
      <c r="AA46" s="37"/>
      <c r="AB46" s="11">
        <v>1</v>
      </c>
      <c r="AC46" s="11">
        <v>4</v>
      </c>
      <c r="AD46" s="11">
        <v>1</v>
      </c>
      <c r="AE46" s="11">
        <v>1</v>
      </c>
      <c r="AF46" s="11">
        <v>3</v>
      </c>
      <c r="AG46" s="37"/>
      <c r="AH46" s="37"/>
      <c r="AI46" s="37"/>
      <c r="AJ46" s="37"/>
      <c r="AU46" s="17"/>
      <c r="AV46" s="225"/>
      <c r="AW46" s="225"/>
      <c r="AX46" s="225"/>
      <c r="AY46" s="225"/>
      <c r="AZ46" s="225"/>
      <c r="BA46" s="225"/>
      <c r="BB46" s="225"/>
      <c r="BC46" s="225"/>
      <c r="BD46" s="225"/>
      <c r="BE46" s="225"/>
      <c r="BF46" s="225"/>
      <c r="BG46" s="225"/>
      <c r="BH46" s="225"/>
      <c r="BI46" s="225"/>
      <c r="BJ46" s="225"/>
      <c r="BK46" s="225"/>
    </row>
    <row r="47" spans="1:63" ht="15.75" customHeight="1" x14ac:dyDescent="0.2">
      <c r="A47" s="301"/>
      <c r="B47" s="31" t="s">
        <v>45</v>
      </c>
      <c r="C47" s="31">
        <v>1896</v>
      </c>
      <c r="D47" s="31" t="s">
        <v>46</v>
      </c>
      <c r="F47" s="43"/>
      <c r="G47" s="43"/>
      <c r="H47" s="43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1"/>
      <c r="T47" s="22"/>
      <c r="U47" s="37"/>
      <c r="V47" s="37"/>
      <c r="W47" s="37"/>
      <c r="X47" s="37"/>
      <c r="Y47" s="37"/>
      <c r="Z47" s="37"/>
      <c r="AA47" s="37"/>
      <c r="AB47" s="11">
        <v>1</v>
      </c>
      <c r="AC47" s="11">
        <v>3</v>
      </c>
      <c r="AD47" s="11">
        <v>1</v>
      </c>
      <c r="AE47" s="11">
        <v>0</v>
      </c>
      <c r="AF47" s="11">
        <v>1</v>
      </c>
      <c r="AG47" s="37"/>
      <c r="AH47" s="37"/>
      <c r="AI47" s="37"/>
      <c r="AJ47" s="37"/>
      <c r="AU47" s="17"/>
      <c r="AV47" s="225"/>
      <c r="AW47" s="225"/>
      <c r="AX47" s="225"/>
      <c r="AY47" s="225"/>
      <c r="AZ47" s="225"/>
      <c r="BA47" s="225"/>
      <c r="BB47" s="225"/>
      <c r="BC47" s="225"/>
      <c r="BD47" s="225"/>
      <c r="BE47" s="225"/>
      <c r="BF47" s="225"/>
      <c r="BG47" s="225"/>
      <c r="BH47" s="225"/>
      <c r="BI47" s="225"/>
      <c r="BJ47" s="225"/>
      <c r="BK47" s="225"/>
    </row>
    <row r="48" spans="1:63" ht="15.75" customHeight="1" x14ac:dyDescent="0.2">
      <c r="A48" s="301"/>
      <c r="B48" s="31" t="s">
        <v>47</v>
      </c>
      <c r="C48" s="31">
        <v>2003</v>
      </c>
      <c r="D48" s="31" t="s">
        <v>48</v>
      </c>
      <c r="F48" s="43"/>
      <c r="G48" s="43"/>
      <c r="H48" s="43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1"/>
      <c r="T48" s="22"/>
      <c r="U48" s="37"/>
      <c r="V48" s="37"/>
      <c r="W48" s="37"/>
      <c r="X48" s="37"/>
      <c r="Y48" s="37"/>
      <c r="Z48" s="37"/>
      <c r="AA48" s="37"/>
      <c r="AB48" s="11">
        <v>1</v>
      </c>
      <c r="AC48" s="11">
        <v>4</v>
      </c>
      <c r="AD48" s="11">
        <v>1</v>
      </c>
      <c r="AE48" s="11">
        <v>0</v>
      </c>
      <c r="AF48" s="11">
        <v>1</v>
      </c>
      <c r="AG48" s="37"/>
      <c r="AH48" s="37"/>
      <c r="AI48" s="37"/>
      <c r="AJ48" s="37"/>
      <c r="AU48" s="17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25"/>
      <c r="BG48" s="225"/>
      <c r="BH48" s="225"/>
      <c r="BI48" s="225"/>
      <c r="BJ48" s="225"/>
      <c r="BK48" s="225"/>
    </row>
    <row r="49" spans="1:63" ht="19.5" customHeight="1" x14ac:dyDescent="0.2">
      <c r="A49" s="301"/>
      <c r="B49" s="31" t="s">
        <v>49</v>
      </c>
      <c r="C49" s="31">
        <v>2016</v>
      </c>
      <c r="D49" s="31" t="s">
        <v>50</v>
      </c>
      <c r="AB49" s="11">
        <v>0</v>
      </c>
      <c r="AC49" s="11">
        <v>4</v>
      </c>
      <c r="AD49" s="11">
        <v>0</v>
      </c>
      <c r="AE49" s="11">
        <v>1</v>
      </c>
      <c r="AF49" s="11">
        <v>4</v>
      </c>
      <c r="AU49" s="17" t="s">
        <v>64</v>
      </c>
      <c r="AV49" s="239">
        <v>-0.30151134457776363</v>
      </c>
      <c r="AW49" s="239">
        <v>-0.30151134457776363</v>
      </c>
      <c r="AX49" s="239">
        <v>-0.5222329678670935</v>
      </c>
      <c r="AY49" s="239">
        <v>0.5222329678670935</v>
      </c>
      <c r="AZ49" s="239">
        <v>0.90453403373329089</v>
      </c>
      <c r="BA49" s="239">
        <v>0.90453403373329089</v>
      </c>
      <c r="BB49" s="239">
        <v>0.42640143271122083</v>
      </c>
      <c r="BC49" s="239">
        <v>0.90453403373329089</v>
      </c>
      <c r="BD49" s="239">
        <v>0.8703882797784892</v>
      </c>
      <c r="BE49" s="239">
        <v>0.30151134457776363</v>
      </c>
      <c r="BF49" s="239">
        <v>-0.8703882797784892</v>
      </c>
      <c r="BG49" s="239">
        <v>0.8703882797784892</v>
      </c>
      <c r="BH49" s="239">
        <v>0.5222329678670935</v>
      </c>
      <c r="BI49" s="239">
        <v>0.5222329678670935</v>
      </c>
      <c r="BJ49" s="239">
        <v>0.50251890762960605</v>
      </c>
      <c r="BK49" s="239">
        <v>1</v>
      </c>
    </row>
    <row r="50" spans="1:63" ht="15.75" customHeight="1" x14ac:dyDescent="0.2">
      <c r="A50" s="300" t="s">
        <v>51</v>
      </c>
      <c r="B50" s="34" t="s">
        <v>52</v>
      </c>
      <c r="C50" s="34">
        <v>1887</v>
      </c>
      <c r="D50" s="34" t="s">
        <v>14</v>
      </c>
      <c r="AB50" s="11">
        <v>3</v>
      </c>
      <c r="AC50" s="11">
        <v>3</v>
      </c>
      <c r="AD50" s="11">
        <v>1</v>
      </c>
      <c r="AE50" s="11">
        <v>1</v>
      </c>
      <c r="AF50" s="11">
        <v>1</v>
      </c>
      <c r="AU50" s="17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25"/>
      <c r="BG50" s="225"/>
      <c r="BH50" s="225"/>
      <c r="BI50" s="225"/>
      <c r="BJ50" s="225"/>
      <c r="BK50" s="225"/>
    </row>
    <row r="51" spans="1:63" ht="15.75" customHeight="1" x14ac:dyDescent="0.2">
      <c r="A51" s="301"/>
      <c r="B51" s="34" t="s">
        <v>53</v>
      </c>
      <c r="C51" s="34">
        <v>1945</v>
      </c>
      <c r="D51" s="34" t="s">
        <v>54</v>
      </c>
      <c r="AB51" s="11">
        <v>3</v>
      </c>
      <c r="AC51" s="11">
        <v>0</v>
      </c>
      <c r="AD51" s="11">
        <v>0</v>
      </c>
      <c r="AE51" s="11">
        <v>1</v>
      </c>
      <c r="AF51" s="11">
        <v>1</v>
      </c>
      <c r="AU51" s="17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25"/>
      <c r="BG51" s="225"/>
      <c r="BH51" s="225"/>
      <c r="BI51" s="225"/>
      <c r="BJ51" s="225"/>
      <c r="BK51" s="225"/>
    </row>
    <row r="52" spans="1:63" ht="15.75" customHeight="1" x14ac:dyDescent="0.2">
      <c r="A52" s="301"/>
      <c r="B52" s="34" t="s">
        <v>55</v>
      </c>
      <c r="C52" s="34">
        <v>1872</v>
      </c>
      <c r="D52" s="34" t="s">
        <v>56</v>
      </c>
      <c r="AB52" s="11">
        <v>2</v>
      </c>
      <c r="AC52" s="11">
        <v>0</v>
      </c>
      <c r="AD52" s="11">
        <v>3</v>
      </c>
      <c r="AE52" s="11">
        <v>1</v>
      </c>
      <c r="AF52" s="11">
        <v>0</v>
      </c>
      <c r="AU52" s="17"/>
      <c r="AV52" s="225"/>
      <c r="AW52" s="225"/>
      <c r="AX52" s="225"/>
      <c r="AY52" s="225"/>
      <c r="AZ52" s="225"/>
      <c r="BA52" s="225"/>
      <c r="BB52" s="225"/>
      <c r="BC52" s="225"/>
      <c r="BD52" s="225"/>
      <c r="BE52" s="225"/>
      <c r="BF52" s="225"/>
      <c r="BG52" s="225"/>
      <c r="BH52" s="225"/>
      <c r="BI52" s="225"/>
      <c r="BJ52" s="225"/>
      <c r="BK52" s="225"/>
    </row>
    <row r="53" spans="1:63" ht="15.75" customHeight="1" x14ac:dyDescent="0.2">
      <c r="A53" s="301"/>
      <c r="B53" s="34" t="s">
        <v>57</v>
      </c>
      <c r="C53" s="34">
        <v>2012</v>
      </c>
      <c r="D53" s="34" t="s">
        <v>58</v>
      </c>
      <c r="AB53" s="11">
        <v>3</v>
      </c>
      <c r="AC53" s="11">
        <v>1</v>
      </c>
      <c r="AD53" s="11">
        <v>4</v>
      </c>
      <c r="AE53" s="11">
        <v>1</v>
      </c>
      <c r="AF53" s="11">
        <v>0</v>
      </c>
      <c r="AU53" s="17"/>
      <c r="AV53" s="225"/>
      <c r="AW53" s="225"/>
      <c r="AX53" s="225"/>
      <c r="AY53" s="225"/>
      <c r="AZ53" s="225"/>
      <c r="BA53" s="225"/>
      <c r="BB53" s="225"/>
      <c r="BC53" s="225"/>
      <c r="BD53" s="225"/>
      <c r="BE53" s="225"/>
      <c r="BF53" s="225"/>
      <c r="BG53" s="225"/>
      <c r="BH53" s="225"/>
      <c r="BI53" s="225"/>
      <c r="BJ53" s="225"/>
      <c r="BK53" s="225"/>
    </row>
    <row r="54" spans="1:63" ht="15.75" customHeight="1" x14ac:dyDescent="0.2">
      <c r="A54" s="301"/>
      <c r="B54" s="34" t="s">
        <v>59</v>
      </c>
      <c r="C54" s="34">
        <v>2010</v>
      </c>
      <c r="D54" s="34" t="s">
        <v>60</v>
      </c>
      <c r="AB54" s="6">
        <v>3</v>
      </c>
      <c r="AC54" s="6">
        <v>3</v>
      </c>
      <c r="AD54" s="6">
        <v>2</v>
      </c>
      <c r="AE54" s="6">
        <v>1</v>
      </c>
      <c r="AF54" s="6">
        <v>0</v>
      </c>
      <c r="AU54" s="17"/>
      <c r="AV54" s="225"/>
      <c r="AW54" s="225"/>
      <c r="AX54" s="225"/>
      <c r="AY54" s="225"/>
      <c r="AZ54" s="225"/>
      <c r="BA54" s="225"/>
      <c r="BB54" s="225"/>
      <c r="BC54" s="225"/>
      <c r="BD54" s="225"/>
      <c r="BE54" s="225"/>
      <c r="BF54" s="225"/>
      <c r="BG54" s="225"/>
      <c r="BH54" s="225"/>
      <c r="BI54" s="225"/>
      <c r="BJ54" s="225"/>
      <c r="BK54" s="225"/>
    </row>
    <row r="55" spans="1:63" ht="15.75" customHeight="1" x14ac:dyDescent="0.2">
      <c r="AU55" s="17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25"/>
      <c r="BG55" s="225"/>
      <c r="BH55" s="225"/>
      <c r="BI55" s="225"/>
      <c r="BJ55" s="225"/>
      <c r="BK55" s="225"/>
    </row>
    <row r="56" spans="1:63" ht="15.75" customHeight="1" x14ac:dyDescent="0.2">
      <c r="AU56" s="17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25"/>
      <c r="BG56" s="225"/>
      <c r="BH56" s="225"/>
      <c r="BI56" s="225"/>
      <c r="BJ56" s="225"/>
      <c r="BK56" s="225"/>
    </row>
    <row r="57" spans="1:63" ht="15.75" customHeight="1" x14ac:dyDescent="0.2">
      <c r="D57" s="45" t="s">
        <v>86</v>
      </c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8">
        <f t="shared" ref="U57:AF57" si="0">TTEST(U2:U6,U30:U34,2,1)</f>
        <v>3.1982021523353082E-3</v>
      </c>
      <c r="V57" s="45">
        <f t="shared" si="0"/>
        <v>0.17780780835622145</v>
      </c>
      <c r="W57" s="45">
        <f t="shared" si="0"/>
        <v>0.37390096630005853</v>
      </c>
      <c r="X57" s="45">
        <f t="shared" si="0"/>
        <v>7.0483996910220101E-2</v>
      </c>
      <c r="Y57" s="45">
        <f t="shared" si="0"/>
        <v>0.17780780835622098</v>
      </c>
      <c r="Z57" s="45">
        <f t="shared" si="0"/>
        <v>0.70399999999999985</v>
      </c>
      <c r="AA57" s="45">
        <f t="shared" si="0"/>
        <v>0.37390096630005853</v>
      </c>
      <c r="AB57" s="46">
        <f t="shared" si="0"/>
        <v>0.37390096630005903</v>
      </c>
      <c r="AC57" s="46">
        <f t="shared" si="0"/>
        <v>1</v>
      </c>
      <c r="AD57" s="46">
        <f t="shared" si="0"/>
        <v>1</v>
      </c>
      <c r="AE57" s="46">
        <f t="shared" si="0"/>
        <v>0.37390096630005815</v>
      </c>
      <c r="AF57" s="46">
        <f t="shared" si="0"/>
        <v>0.37390096630005903</v>
      </c>
      <c r="AG57" s="45"/>
      <c r="AH57" s="45"/>
      <c r="AI57" s="45"/>
      <c r="AJ57" s="45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25"/>
      <c r="BG57" s="225"/>
      <c r="BH57" s="225"/>
      <c r="BI57" s="225"/>
      <c r="BJ57" s="225"/>
      <c r="BK57" s="225"/>
    </row>
    <row r="58" spans="1:63" ht="15.75" customHeight="1" x14ac:dyDescent="0.2">
      <c r="D58" s="45" t="s">
        <v>87</v>
      </c>
      <c r="AB58" s="46">
        <f t="shared" ref="AB58:AF58" si="1">TTEST(AB7:AB11,AB35:AB39,2,1)</f>
        <v>5.6000000000000043E-2</v>
      </c>
      <c r="AC58" s="46">
        <f t="shared" si="1"/>
        <v>0.62130829503749707</v>
      </c>
      <c r="AD58" s="46">
        <f t="shared" si="1"/>
        <v>0.17780780835622154</v>
      </c>
      <c r="AE58" s="46">
        <f t="shared" si="1"/>
        <v>7.048399691021999E-2</v>
      </c>
      <c r="AF58" s="46">
        <f t="shared" si="1"/>
        <v>0.62130829503749707</v>
      </c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25"/>
      <c r="BG58" s="225"/>
      <c r="BH58" s="225"/>
      <c r="BI58" s="225"/>
      <c r="BJ58" s="225"/>
      <c r="BK58" s="225"/>
    </row>
    <row r="59" spans="1:63" ht="15.75" customHeight="1" x14ac:dyDescent="0.2">
      <c r="D59" s="45" t="s">
        <v>88</v>
      </c>
      <c r="AB59" s="46">
        <f t="shared" ref="AB59:AF59" si="2">TTEST(AB12:AB16,AB40:AB44,2,1)</f>
        <v>9.9300683213726731E-2</v>
      </c>
      <c r="AC59" s="46">
        <f t="shared" si="2"/>
        <v>0.79896585919277807</v>
      </c>
      <c r="AD59" s="46">
        <f t="shared" si="2"/>
        <v>9.9300683213726856E-2</v>
      </c>
      <c r="AE59" s="46">
        <f t="shared" si="2"/>
        <v>9.9300683213726731E-2</v>
      </c>
      <c r="AF59" s="46">
        <f t="shared" si="2"/>
        <v>0.62130829503749707</v>
      </c>
      <c r="AV59" s="225"/>
      <c r="AW59" s="225"/>
      <c r="AX59" s="225"/>
      <c r="AY59" s="225"/>
      <c r="AZ59" s="225"/>
      <c r="BA59" s="225"/>
      <c r="BB59" s="225"/>
      <c r="BC59" s="225"/>
      <c r="BD59" s="225"/>
      <c r="BE59" s="225"/>
      <c r="BF59" s="225"/>
      <c r="BG59" s="225"/>
      <c r="BH59" s="225"/>
      <c r="BI59" s="225"/>
      <c r="BJ59" s="225"/>
      <c r="BK59" s="225"/>
    </row>
    <row r="60" spans="1:63" ht="15.75" customHeight="1" x14ac:dyDescent="0.2">
      <c r="D60" s="45" t="s">
        <v>89</v>
      </c>
      <c r="AB60" s="46">
        <f t="shared" ref="AB60:AF60" si="3">TTEST(AB17:AB21,AB45:AB49,2,1)</f>
        <v>0.37390096630005909</v>
      </c>
      <c r="AC60" s="46">
        <f t="shared" si="3"/>
        <v>0.37390096630005853</v>
      </c>
      <c r="AD60" s="46">
        <f t="shared" si="3"/>
        <v>1</v>
      </c>
      <c r="AE60" s="46">
        <f t="shared" si="3"/>
        <v>0.17780780835622145</v>
      </c>
      <c r="AF60" s="46">
        <f t="shared" si="3"/>
        <v>1</v>
      </c>
      <c r="AV60" s="225"/>
      <c r="AW60" s="225"/>
      <c r="AX60" s="225"/>
      <c r="AY60" s="225"/>
      <c r="AZ60" s="225"/>
      <c r="BA60" s="225"/>
      <c r="BB60" s="225"/>
      <c r="BC60" s="225"/>
      <c r="BD60" s="225"/>
      <c r="BE60" s="225"/>
      <c r="BF60" s="225"/>
      <c r="BG60" s="225"/>
      <c r="BH60" s="225"/>
      <c r="BI60" s="225"/>
      <c r="BJ60" s="225"/>
      <c r="BK60" s="225"/>
    </row>
    <row r="61" spans="1:63" ht="15.75" customHeight="1" x14ac:dyDescent="0.2">
      <c r="D61" s="45" t="s">
        <v>90</v>
      </c>
      <c r="AB61" s="46">
        <f t="shared" ref="AB61:AF61" si="4">TTEST(AB22:AB26,AB50:AB54,2,1)</f>
        <v>0.47662066727284125</v>
      </c>
      <c r="AC61" s="46">
        <f t="shared" si="4"/>
        <v>0.47662066727284125</v>
      </c>
      <c r="AD61" s="46">
        <f t="shared" si="4"/>
        <v>7.0483996910220018E-2</v>
      </c>
      <c r="AE61" s="46">
        <f t="shared" si="4"/>
        <v>3.4109423167409635E-2</v>
      </c>
      <c r="AF61" s="46">
        <f t="shared" si="4"/>
        <v>9.9300683213726856E-2</v>
      </c>
      <c r="AV61" s="225"/>
      <c r="AW61" s="225"/>
      <c r="AX61" s="225"/>
      <c r="AY61" s="225"/>
      <c r="AZ61" s="225"/>
      <c r="BA61" s="225"/>
      <c r="BB61" s="225"/>
      <c r="BC61" s="225"/>
      <c r="BD61" s="225"/>
      <c r="BE61" s="225"/>
      <c r="BF61" s="225"/>
      <c r="BG61" s="225"/>
      <c r="BH61" s="225"/>
      <c r="BI61" s="225"/>
      <c r="BJ61" s="225"/>
      <c r="BK61" s="225"/>
    </row>
    <row r="62" spans="1:63" ht="15.75" customHeight="1" x14ac:dyDescent="0.2">
      <c r="D62" s="48" t="s">
        <v>91</v>
      </c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7">
        <f t="shared" ref="AB62:AF62" si="5">TTEST(AB2:AB26,AB30:AB54,2,1)</f>
        <v>8.6269046317552625E-2</v>
      </c>
      <c r="AC62" s="47">
        <f t="shared" si="5"/>
        <v>0.73914986422028672</v>
      </c>
      <c r="AD62" s="47">
        <f t="shared" si="5"/>
        <v>1.6749887523864717E-2</v>
      </c>
      <c r="AE62" s="47">
        <f t="shared" si="5"/>
        <v>0.1096231876515983</v>
      </c>
      <c r="AF62" s="47">
        <f t="shared" si="5"/>
        <v>0.67871617393167138</v>
      </c>
      <c r="AV62" s="225"/>
      <c r="AW62" s="225"/>
      <c r="AX62" s="225"/>
      <c r="AY62" s="225"/>
      <c r="AZ62" s="225"/>
      <c r="BA62" s="225"/>
      <c r="BB62" s="225"/>
      <c r="BC62" s="225"/>
      <c r="BD62" s="225"/>
      <c r="BE62" s="225"/>
      <c r="BF62" s="225"/>
      <c r="BG62" s="225"/>
      <c r="BH62" s="225"/>
      <c r="BI62" s="225"/>
      <c r="BJ62" s="225"/>
      <c r="BK62" s="225"/>
    </row>
    <row r="63" spans="1:63" ht="15.75" customHeight="1" x14ac:dyDescent="0.2">
      <c r="D63" s="6" t="s">
        <v>333</v>
      </c>
      <c r="AV63" s="225"/>
      <c r="AW63" s="225"/>
      <c r="AX63" s="225"/>
      <c r="AY63" s="225"/>
      <c r="AZ63" s="225"/>
      <c r="BA63" s="225"/>
      <c r="BB63" s="225"/>
      <c r="BC63" s="225"/>
      <c r="BD63" s="225"/>
      <c r="BE63" s="225"/>
      <c r="BF63" s="225"/>
      <c r="BG63" s="225"/>
      <c r="BH63" s="225"/>
      <c r="BI63" s="225"/>
      <c r="BJ63" s="225"/>
      <c r="BK63" s="225"/>
    </row>
    <row r="64" spans="1:63" ht="81.75" customHeight="1" x14ac:dyDescent="0.2">
      <c r="C64" s="4"/>
      <c r="D64" s="4"/>
      <c r="AF64" s="72"/>
      <c r="AU64" s="218"/>
      <c r="AV64" s="17" t="s">
        <v>319</v>
      </c>
      <c r="AW64" s="17" t="s">
        <v>320</v>
      </c>
      <c r="AX64" s="17" t="s">
        <v>321</v>
      </c>
      <c r="AY64" s="17" t="s">
        <v>322</v>
      </c>
      <c r="AZ64" s="17" t="s">
        <v>323</v>
      </c>
      <c r="BA64" s="17" t="s">
        <v>324</v>
      </c>
      <c r="BB64" s="17" t="s">
        <v>325</v>
      </c>
      <c r="BC64" s="4" t="s">
        <v>76</v>
      </c>
      <c r="BD64" s="4" t="s">
        <v>77</v>
      </c>
      <c r="BE64" s="4" t="s">
        <v>78</v>
      </c>
      <c r="BF64" s="4" t="s">
        <v>79</v>
      </c>
      <c r="BG64" s="4" t="s">
        <v>80</v>
      </c>
      <c r="BH64" s="17" t="s">
        <v>61</v>
      </c>
      <c r="BI64" s="17" t="s">
        <v>62</v>
      </c>
      <c r="BJ64" s="17" t="s">
        <v>63</v>
      </c>
      <c r="BK64" s="17" t="s">
        <v>64</v>
      </c>
    </row>
    <row r="65" spans="1:63" ht="15.75" customHeight="1" x14ac:dyDescent="0.2">
      <c r="B65" s="1" t="s">
        <v>0</v>
      </c>
      <c r="C65" s="1" t="s">
        <v>1</v>
      </c>
      <c r="D65" s="1" t="s">
        <v>2</v>
      </c>
      <c r="U65" s="4" t="s">
        <v>76</v>
      </c>
      <c r="V65" s="3" t="s">
        <v>65</v>
      </c>
      <c r="W65" s="4" t="s">
        <v>77</v>
      </c>
      <c r="X65" s="3" t="s">
        <v>66</v>
      </c>
      <c r="Y65" s="4" t="s">
        <v>78</v>
      </c>
      <c r="Z65" s="3" t="s">
        <v>67</v>
      </c>
      <c r="AA65" s="4" t="s">
        <v>79</v>
      </c>
      <c r="AB65" s="4" t="s">
        <v>76</v>
      </c>
      <c r="AC65" s="3" t="s">
        <v>65</v>
      </c>
      <c r="AD65" s="4" t="s">
        <v>77</v>
      </c>
      <c r="AE65" s="3" t="s">
        <v>66</v>
      </c>
      <c r="AF65" s="4" t="s">
        <v>78</v>
      </c>
      <c r="AG65" s="3" t="s">
        <v>67</v>
      </c>
      <c r="AH65" s="4" t="s">
        <v>79</v>
      </c>
      <c r="AI65" s="3" t="s">
        <v>68</v>
      </c>
      <c r="AJ65" s="4" t="s">
        <v>80</v>
      </c>
      <c r="AK65" s="3" t="s">
        <v>69</v>
      </c>
      <c r="AL65" s="4"/>
      <c r="AM65" s="4"/>
      <c r="AN65" s="4"/>
      <c r="AO65" s="4"/>
      <c r="AP65" s="4"/>
      <c r="AQ65" s="4"/>
      <c r="AR65" s="4"/>
      <c r="AS65" s="4"/>
      <c r="AU65" s="17" t="s">
        <v>319</v>
      </c>
      <c r="AV65" s="225">
        <v>1</v>
      </c>
      <c r="AW65" s="225"/>
      <c r="AX65" s="225"/>
      <c r="AY65" s="225"/>
      <c r="AZ65" s="225"/>
      <c r="BA65" s="225"/>
      <c r="BB65" s="225"/>
      <c r="BC65" s="225"/>
      <c r="BD65" s="225"/>
      <c r="BE65" s="225"/>
      <c r="BF65" s="225"/>
      <c r="BG65" s="225"/>
      <c r="BH65" s="225"/>
      <c r="BI65" s="225"/>
      <c r="BJ65" s="225"/>
      <c r="BK65" s="225"/>
    </row>
    <row r="66" spans="1:63" ht="15.75" customHeight="1" x14ac:dyDescent="0.2">
      <c r="A66" s="300" t="s">
        <v>8</v>
      </c>
      <c r="B66" s="6" t="s">
        <v>9</v>
      </c>
      <c r="C66" s="6">
        <v>1952</v>
      </c>
      <c r="D66" s="6" t="s">
        <v>10</v>
      </c>
      <c r="U66" s="9">
        <v>0</v>
      </c>
      <c r="V66" s="240">
        <v>0</v>
      </c>
      <c r="W66" s="9">
        <v>0</v>
      </c>
      <c r="X66" s="240">
        <v>0</v>
      </c>
      <c r="Y66" s="9">
        <v>0</v>
      </c>
      <c r="Z66" s="240">
        <v>0</v>
      </c>
      <c r="AA66" s="9">
        <v>0</v>
      </c>
      <c r="AB66" s="9">
        <v>0</v>
      </c>
      <c r="AC66" s="240">
        <v>0</v>
      </c>
      <c r="AD66" s="9">
        <v>0</v>
      </c>
      <c r="AE66" s="240">
        <v>0</v>
      </c>
      <c r="AF66" s="9">
        <v>0</v>
      </c>
      <c r="AG66" s="240">
        <v>0</v>
      </c>
      <c r="AH66" s="9">
        <v>0</v>
      </c>
      <c r="AI66" s="240">
        <v>0</v>
      </c>
      <c r="AJ66" s="9">
        <v>2</v>
      </c>
      <c r="AK66" s="240">
        <v>4</v>
      </c>
      <c r="AL66" s="10"/>
      <c r="AM66" s="10"/>
      <c r="AN66" s="10"/>
      <c r="AO66" s="10"/>
      <c r="AP66" s="10"/>
      <c r="AQ66" s="10"/>
      <c r="AR66" s="10"/>
      <c r="AS66" s="10"/>
      <c r="AU66" s="17" t="s">
        <v>320</v>
      </c>
      <c r="AV66" s="225">
        <v>0.33333333333333337</v>
      </c>
      <c r="AW66" s="225">
        <v>1</v>
      </c>
      <c r="AX66" s="225"/>
      <c r="AY66" s="225"/>
      <c r="AZ66" s="225"/>
      <c r="BA66" s="225"/>
      <c r="BB66" s="225"/>
      <c r="BC66" s="225"/>
      <c r="BD66" s="225"/>
      <c r="BE66" s="225"/>
      <c r="BF66" s="225"/>
      <c r="BG66" s="225"/>
      <c r="BH66" s="225"/>
      <c r="BI66" s="225"/>
      <c r="BJ66" s="225"/>
      <c r="BK66" s="225"/>
    </row>
    <row r="67" spans="1:63" ht="15.75" customHeight="1" x14ac:dyDescent="0.2">
      <c r="A67" s="301"/>
      <c r="B67" s="6" t="s">
        <v>11</v>
      </c>
      <c r="C67" s="6">
        <v>1945</v>
      </c>
      <c r="D67" s="6" t="s">
        <v>12</v>
      </c>
      <c r="U67" s="9">
        <v>0</v>
      </c>
      <c r="V67" s="240">
        <v>0</v>
      </c>
      <c r="W67" s="9">
        <v>1</v>
      </c>
      <c r="X67" s="240">
        <v>2</v>
      </c>
      <c r="Y67" s="9">
        <v>0</v>
      </c>
      <c r="Z67" s="240">
        <v>0</v>
      </c>
      <c r="AA67" s="9">
        <v>4</v>
      </c>
      <c r="AB67" s="9">
        <v>0</v>
      </c>
      <c r="AC67" s="240">
        <v>0</v>
      </c>
      <c r="AD67" s="9">
        <v>1</v>
      </c>
      <c r="AE67" s="240">
        <v>2</v>
      </c>
      <c r="AF67" s="9">
        <v>0</v>
      </c>
      <c r="AG67" s="240">
        <v>0</v>
      </c>
      <c r="AH67" s="9">
        <v>4</v>
      </c>
      <c r="AI67" s="240">
        <v>4</v>
      </c>
      <c r="AJ67" s="9">
        <v>3</v>
      </c>
      <c r="AK67" s="240">
        <v>3</v>
      </c>
      <c r="AL67" s="10"/>
      <c r="AM67" s="10"/>
      <c r="AN67" s="10"/>
      <c r="AO67" s="10"/>
      <c r="AP67" s="10"/>
      <c r="AQ67" s="10"/>
      <c r="AR67" s="10"/>
      <c r="AS67" s="10"/>
      <c r="AU67" s="17" t="s">
        <v>321</v>
      </c>
      <c r="AV67" s="225" t="e">
        <v>#DIV/0!</v>
      </c>
      <c r="AW67" s="225" t="e">
        <v>#DIV/0!</v>
      </c>
      <c r="AX67" s="225">
        <v>1</v>
      </c>
      <c r="AY67" s="225"/>
      <c r="AZ67" s="225"/>
      <c r="BA67" s="225"/>
      <c r="BB67" s="225"/>
      <c r="BC67" s="225"/>
      <c r="BD67" s="225"/>
      <c r="BE67" s="225"/>
      <c r="BF67" s="225"/>
      <c r="BG67" s="225"/>
      <c r="BH67" s="225"/>
      <c r="BI67" s="225"/>
      <c r="BJ67" s="225"/>
      <c r="BK67" s="225"/>
    </row>
    <row r="68" spans="1:63" ht="16.5" customHeight="1" x14ac:dyDescent="0.2">
      <c r="A68" s="301"/>
      <c r="B68" s="6" t="s">
        <v>13</v>
      </c>
      <c r="C68" s="6">
        <v>1891</v>
      </c>
      <c r="D68" s="6" t="s">
        <v>14</v>
      </c>
      <c r="U68" s="9">
        <v>0</v>
      </c>
      <c r="V68" s="240">
        <v>0</v>
      </c>
      <c r="W68" s="9">
        <v>2</v>
      </c>
      <c r="X68" s="240">
        <v>3</v>
      </c>
      <c r="Y68" s="9">
        <v>1</v>
      </c>
      <c r="Z68" s="240">
        <v>2</v>
      </c>
      <c r="AA68" s="9">
        <v>3</v>
      </c>
      <c r="AB68" s="9">
        <v>0</v>
      </c>
      <c r="AC68" s="240">
        <v>0</v>
      </c>
      <c r="AD68" s="9">
        <v>2</v>
      </c>
      <c r="AE68" s="240">
        <v>3</v>
      </c>
      <c r="AF68" s="9">
        <v>1</v>
      </c>
      <c r="AG68" s="240">
        <v>2</v>
      </c>
      <c r="AH68" s="9">
        <v>3</v>
      </c>
      <c r="AI68" s="240">
        <v>2</v>
      </c>
      <c r="AJ68" s="9">
        <v>4</v>
      </c>
      <c r="AK68" s="240">
        <v>4</v>
      </c>
      <c r="AL68" s="10"/>
      <c r="AM68" s="10"/>
      <c r="AN68" s="10"/>
      <c r="AO68" s="10"/>
      <c r="AP68" s="10"/>
      <c r="AQ68" s="10"/>
      <c r="AR68" s="10"/>
      <c r="AS68" s="10"/>
      <c r="AU68" s="17" t="s">
        <v>322</v>
      </c>
      <c r="AV68" s="225">
        <v>1.0000000000000002</v>
      </c>
      <c r="AW68" s="225">
        <v>0.33333333333333337</v>
      </c>
      <c r="AX68" s="225" t="e">
        <v>#DIV/0!</v>
      </c>
      <c r="AY68" s="225">
        <v>1</v>
      </c>
      <c r="AZ68" s="225"/>
      <c r="BA68" s="225"/>
      <c r="BB68" s="225"/>
      <c r="BC68" s="225"/>
      <c r="BD68" s="225"/>
      <c r="BE68" s="225"/>
      <c r="BF68" s="225"/>
      <c r="BG68" s="225"/>
      <c r="BH68" s="225"/>
      <c r="BI68" s="225"/>
      <c r="BJ68" s="225"/>
      <c r="BK68" s="225"/>
    </row>
    <row r="69" spans="1:63" ht="13.5" customHeight="1" x14ac:dyDescent="0.2">
      <c r="A69" s="301"/>
      <c r="B69" s="6" t="s">
        <v>15</v>
      </c>
      <c r="C69" s="6">
        <v>1954</v>
      </c>
      <c r="D69" s="6" t="s">
        <v>16</v>
      </c>
      <c r="U69" s="9">
        <v>1</v>
      </c>
      <c r="V69" s="240">
        <v>1</v>
      </c>
      <c r="W69" s="9">
        <v>2</v>
      </c>
      <c r="X69" s="240">
        <v>1</v>
      </c>
      <c r="Y69" s="9">
        <v>0</v>
      </c>
      <c r="Z69" s="240">
        <v>0</v>
      </c>
      <c r="AA69" s="9">
        <v>3</v>
      </c>
      <c r="AB69" s="9">
        <v>1</v>
      </c>
      <c r="AC69" s="240">
        <v>1</v>
      </c>
      <c r="AD69" s="9">
        <v>2</v>
      </c>
      <c r="AE69" s="240">
        <v>1</v>
      </c>
      <c r="AF69" s="9">
        <v>0</v>
      </c>
      <c r="AG69" s="240">
        <v>0</v>
      </c>
      <c r="AH69" s="9">
        <v>3</v>
      </c>
      <c r="AI69" s="240">
        <v>3</v>
      </c>
      <c r="AJ69" s="9">
        <v>4</v>
      </c>
      <c r="AK69" s="240">
        <v>4</v>
      </c>
      <c r="AL69" s="10"/>
      <c r="AM69" s="10"/>
      <c r="AN69" s="10"/>
      <c r="AO69" s="10"/>
      <c r="AP69" s="10"/>
      <c r="AQ69" s="10"/>
      <c r="AR69" s="10"/>
      <c r="AS69" s="10"/>
      <c r="AU69" s="17" t="s">
        <v>323</v>
      </c>
      <c r="AV69" s="225">
        <v>-0.33333333333333337</v>
      </c>
      <c r="AW69" s="225">
        <v>-1.0000000000000002</v>
      </c>
      <c r="AX69" s="225" t="e">
        <v>#DIV/0!</v>
      </c>
      <c r="AY69" s="225">
        <v>-0.33333333333333337</v>
      </c>
      <c r="AZ69" s="225">
        <v>1</v>
      </c>
      <c r="BA69" s="225"/>
      <c r="BB69" s="225"/>
      <c r="BC69" s="225"/>
      <c r="BD69" s="225"/>
      <c r="BE69" s="225"/>
      <c r="BF69" s="225"/>
      <c r="BG69" s="225"/>
      <c r="BH69" s="225"/>
      <c r="BI69" s="225"/>
      <c r="BJ69" s="225"/>
      <c r="BK69" s="225"/>
    </row>
    <row r="70" spans="1:63" ht="15.75" customHeight="1" x14ac:dyDescent="0.2">
      <c r="A70" s="301"/>
      <c r="B70" s="6" t="s">
        <v>17</v>
      </c>
      <c r="C70" s="6">
        <v>1960</v>
      </c>
      <c r="D70" s="6" t="s">
        <v>18</v>
      </c>
      <c r="U70" s="9">
        <v>1</v>
      </c>
      <c r="V70" s="8">
        <v>0</v>
      </c>
      <c r="W70" s="9">
        <v>2</v>
      </c>
      <c r="X70" s="8">
        <v>1</v>
      </c>
      <c r="Y70" s="9">
        <v>1</v>
      </c>
      <c r="Z70" s="8">
        <v>0</v>
      </c>
      <c r="AA70" s="9">
        <v>3</v>
      </c>
      <c r="AB70" s="9">
        <v>1</v>
      </c>
      <c r="AC70" s="8">
        <v>0</v>
      </c>
      <c r="AD70" s="9">
        <v>2</v>
      </c>
      <c r="AE70" s="8">
        <v>1</v>
      </c>
      <c r="AF70" s="9">
        <v>1</v>
      </c>
      <c r="AG70" s="8">
        <v>0</v>
      </c>
      <c r="AH70" s="9">
        <v>3</v>
      </c>
      <c r="AI70" s="8">
        <v>3</v>
      </c>
      <c r="AJ70" s="9">
        <v>4</v>
      </c>
      <c r="AK70" s="8">
        <v>4</v>
      </c>
      <c r="AL70" s="11"/>
      <c r="AM70" s="11"/>
      <c r="AN70" s="11"/>
      <c r="AO70" s="11"/>
      <c r="AP70" s="11"/>
      <c r="AQ70" s="11"/>
      <c r="AR70" s="11"/>
      <c r="AS70" s="11"/>
      <c r="AU70" s="17" t="s">
        <v>324</v>
      </c>
      <c r="AV70" s="225">
        <v>0.33333333333333337</v>
      </c>
      <c r="AW70" s="225">
        <v>-0.33333333333333337</v>
      </c>
      <c r="AX70" s="225" t="e">
        <v>#DIV/0!</v>
      </c>
      <c r="AY70" s="225">
        <v>0.33333333333333337</v>
      </c>
      <c r="AZ70" s="225">
        <v>0.33333333333333337</v>
      </c>
      <c r="BA70" s="225">
        <v>1</v>
      </c>
      <c r="BB70" s="225"/>
      <c r="BC70" s="225"/>
      <c r="BD70" s="225"/>
      <c r="BE70" s="225"/>
      <c r="BF70" s="225"/>
      <c r="BG70" s="225"/>
      <c r="BH70" s="225"/>
      <c r="BI70" s="225"/>
      <c r="BJ70" s="225"/>
      <c r="BK70" s="225"/>
    </row>
    <row r="71" spans="1:63" ht="15.75" customHeight="1" x14ac:dyDescent="0.2">
      <c r="A71" s="300" t="s">
        <v>19</v>
      </c>
      <c r="B71" s="6" t="s">
        <v>20</v>
      </c>
      <c r="C71" s="6">
        <v>1970</v>
      </c>
      <c r="D71" s="6" t="s">
        <v>21</v>
      </c>
      <c r="U71" s="9">
        <v>3</v>
      </c>
      <c r="V71" s="8">
        <v>2</v>
      </c>
      <c r="W71" s="9">
        <v>2</v>
      </c>
      <c r="X71" s="8">
        <v>0</v>
      </c>
      <c r="Y71" s="9">
        <v>1</v>
      </c>
      <c r="Z71" s="8">
        <v>1</v>
      </c>
      <c r="AA71" s="9">
        <v>4</v>
      </c>
      <c r="AB71" s="9">
        <v>3</v>
      </c>
      <c r="AC71" s="8">
        <v>2</v>
      </c>
      <c r="AD71" s="9">
        <v>2</v>
      </c>
      <c r="AE71" s="8">
        <v>0</v>
      </c>
      <c r="AF71" s="9">
        <v>1</v>
      </c>
      <c r="AG71" s="8">
        <v>1</v>
      </c>
      <c r="AH71" s="9">
        <v>4</v>
      </c>
      <c r="AI71" s="8">
        <v>4</v>
      </c>
      <c r="AJ71" s="9">
        <v>1</v>
      </c>
      <c r="AK71" s="8">
        <v>0</v>
      </c>
      <c r="AL71" s="11"/>
      <c r="AM71" s="11"/>
      <c r="AN71" s="11"/>
      <c r="AO71" s="11"/>
      <c r="AP71" s="11"/>
      <c r="AQ71" s="11"/>
      <c r="AR71" s="11"/>
      <c r="AS71" s="11"/>
      <c r="AU71" s="17" t="s">
        <v>325</v>
      </c>
      <c r="AV71" s="225">
        <v>0</v>
      </c>
      <c r="AW71" s="225">
        <v>0</v>
      </c>
      <c r="AX71" s="225" t="e">
        <v>#DIV/0!</v>
      </c>
      <c r="AY71" s="225">
        <v>0</v>
      </c>
      <c r="AZ71" s="225">
        <v>0</v>
      </c>
      <c r="BA71" s="225">
        <v>0.81649658092772592</v>
      </c>
      <c r="BB71" s="225">
        <v>1</v>
      </c>
      <c r="BC71" s="225"/>
      <c r="BD71" s="225"/>
      <c r="BE71" s="225"/>
      <c r="BF71" s="225"/>
      <c r="BG71" s="225"/>
      <c r="BH71" s="225"/>
      <c r="BI71" s="225"/>
      <c r="BJ71" s="225"/>
      <c r="BK71" s="225"/>
    </row>
    <row r="72" spans="1:63" ht="15.75" customHeight="1" x14ac:dyDescent="0.2">
      <c r="A72" s="301"/>
      <c r="B72" s="6" t="s">
        <v>22</v>
      </c>
      <c r="C72" s="6">
        <v>1950</v>
      </c>
      <c r="D72" s="6" t="s">
        <v>23</v>
      </c>
      <c r="U72" s="9">
        <v>3</v>
      </c>
      <c r="V72" s="8">
        <v>3</v>
      </c>
      <c r="W72" s="9">
        <v>1</v>
      </c>
      <c r="X72" s="8">
        <v>3</v>
      </c>
      <c r="Y72" s="9">
        <v>3</v>
      </c>
      <c r="Z72" s="8">
        <v>2</v>
      </c>
      <c r="AA72" s="9">
        <v>2</v>
      </c>
      <c r="AB72" s="9">
        <v>3</v>
      </c>
      <c r="AC72" s="8">
        <v>3</v>
      </c>
      <c r="AD72" s="9">
        <v>1</v>
      </c>
      <c r="AE72" s="8">
        <v>3</v>
      </c>
      <c r="AF72" s="9">
        <v>3</v>
      </c>
      <c r="AG72" s="8">
        <v>2</v>
      </c>
      <c r="AH72" s="9">
        <v>2</v>
      </c>
      <c r="AI72" s="8">
        <v>1</v>
      </c>
      <c r="AJ72" s="9">
        <v>0</v>
      </c>
      <c r="AK72" s="8">
        <v>1</v>
      </c>
      <c r="AL72" s="11"/>
      <c r="AM72" s="11"/>
      <c r="AN72" s="11"/>
      <c r="AO72" s="11"/>
      <c r="AP72" s="11"/>
      <c r="AQ72" s="11"/>
      <c r="AR72" s="11"/>
      <c r="AS72" s="11"/>
      <c r="AU72" s="4" t="s">
        <v>76</v>
      </c>
      <c r="AV72" s="225">
        <v>1.0000000000000002</v>
      </c>
      <c r="AW72" s="225">
        <v>0.33333333333333337</v>
      </c>
      <c r="AX72" s="225" t="e">
        <v>#DIV/0!</v>
      </c>
      <c r="AY72" s="225">
        <v>1.0000000000000002</v>
      </c>
      <c r="AZ72" s="225">
        <v>-0.33333333333333337</v>
      </c>
      <c r="BA72" s="225">
        <v>0.33333333333333337</v>
      </c>
      <c r="BB72" s="225">
        <v>0</v>
      </c>
      <c r="BC72" s="225">
        <v>1</v>
      </c>
      <c r="BD72" s="225"/>
      <c r="BE72" s="225"/>
      <c r="BF72" s="225"/>
      <c r="BG72" s="225"/>
      <c r="BH72" s="225"/>
      <c r="BI72" s="225"/>
      <c r="BJ72" s="225"/>
      <c r="BK72" s="225"/>
    </row>
    <row r="73" spans="1:63" ht="15.75" customHeight="1" x14ac:dyDescent="0.2">
      <c r="A73" s="301"/>
      <c r="B73" s="6" t="s">
        <v>24</v>
      </c>
      <c r="C73" s="6">
        <v>1949</v>
      </c>
      <c r="D73" s="6" t="s">
        <v>25</v>
      </c>
      <c r="U73" s="9">
        <v>3</v>
      </c>
      <c r="V73" s="8">
        <v>2</v>
      </c>
      <c r="W73" s="9">
        <v>1</v>
      </c>
      <c r="X73" s="8">
        <v>1</v>
      </c>
      <c r="Y73" s="9">
        <v>0</v>
      </c>
      <c r="Z73" s="8">
        <v>0</v>
      </c>
      <c r="AA73" s="9">
        <v>2</v>
      </c>
      <c r="AB73" s="9">
        <v>3</v>
      </c>
      <c r="AC73" s="8">
        <v>2</v>
      </c>
      <c r="AD73" s="9">
        <v>1</v>
      </c>
      <c r="AE73" s="8">
        <v>1</v>
      </c>
      <c r="AF73" s="9">
        <v>0</v>
      </c>
      <c r="AG73" s="8">
        <v>0</v>
      </c>
      <c r="AH73" s="9">
        <v>2</v>
      </c>
      <c r="AI73" s="8">
        <v>2</v>
      </c>
      <c r="AJ73" s="9">
        <v>0</v>
      </c>
      <c r="AK73" s="8">
        <v>0</v>
      </c>
      <c r="AL73" s="11"/>
      <c r="AM73" s="11"/>
      <c r="AN73" s="11"/>
      <c r="AO73" s="11"/>
      <c r="AP73" s="11"/>
      <c r="AQ73" s="11"/>
      <c r="AR73" s="11"/>
      <c r="AS73" s="11"/>
      <c r="AU73" s="4" t="s">
        <v>77</v>
      </c>
      <c r="AV73" s="225">
        <v>-0.5222329678670935</v>
      </c>
      <c r="AW73" s="225">
        <v>0.5222329678670935</v>
      </c>
      <c r="AX73" s="225" t="e">
        <v>#DIV/0!</v>
      </c>
      <c r="AY73" s="225">
        <v>-0.5222329678670935</v>
      </c>
      <c r="AZ73" s="225">
        <v>-0.5222329678670935</v>
      </c>
      <c r="BA73" s="225">
        <v>-0.17407765595569785</v>
      </c>
      <c r="BB73" s="225">
        <v>0.42640143271122083</v>
      </c>
      <c r="BC73" s="225">
        <v>-0.5222329678670935</v>
      </c>
      <c r="BD73" s="225">
        <v>1</v>
      </c>
      <c r="BE73" s="225"/>
      <c r="BF73" s="225"/>
      <c r="BG73" s="225"/>
      <c r="BH73" s="225"/>
      <c r="BI73" s="225"/>
      <c r="BJ73" s="225"/>
      <c r="BK73" s="225"/>
    </row>
    <row r="74" spans="1:63" ht="15.75" customHeight="1" x14ac:dyDescent="0.2">
      <c r="A74" s="301"/>
      <c r="B74" s="6" t="s">
        <v>26</v>
      </c>
      <c r="C74" s="6">
        <v>1957</v>
      </c>
      <c r="D74" s="6" t="s">
        <v>23</v>
      </c>
      <c r="U74" s="9">
        <v>4</v>
      </c>
      <c r="V74" s="8">
        <v>1</v>
      </c>
      <c r="W74" s="9">
        <v>2</v>
      </c>
      <c r="X74" s="8">
        <v>0</v>
      </c>
      <c r="Y74" s="9">
        <v>1</v>
      </c>
      <c r="Z74" s="8">
        <v>1</v>
      </c>
      <c r="AA74" s="9">
        <v>4</v>
      </c>
      <c r="AB74" s="9">
        <v>4</v>
      </c>
      <c r="AC74" s="8">
        <v>1</v>
      </c>
      <c r="AD74" s="9">
        <v>2</v>
      </c>
      <c r="AE74" s="8">
        <v>0</v>
      </c>
      <c r="AF74" s="9">
        <v>1</v>
      </c>
      <c r="AG74" s="8">
        <v>1</v>
      </c>
      <c r="AH74" s="9">
        <v>4</v>
      </c>
      <c r="AI74" s="8">
        <v>3</v>
      </c>
      <c r="AJ74" s="9">
        <v>1</v>
      </c>
      <c r="AK74" s="8">
        <v>0</v>
      </c>
      <c r="AL74" s="11"/>
      <c r="AM74" s="11"/>
      <c r="AN74" s="11"/>
      <c r="AO74" s="11"/>
      <c r="AP74" s="11"/>
      <c r="AQ74" s="11"/>
      <c r="AR74" s="11"/>
      <c r="AS74" s="11"/>
      <c r="AU74" s="4" t="s">
        <v>78</v>
      </c>
      <c r="AV74" s="225">
        <v>-0.33333333333333337</v>
      </c>
      <c r="AW74" s="225">
        <v>0.33333333333333337</v>
      </c>
      <c r="AX74" s="225" t="e">
        <v>#DIV/0!</v>
      </c>
      <c r="AY74" s="225">
        <v>-0.33333333333333337</v>
      </c>
      <c r="AZ74" s="225">
        <v>-0.33333333333333337</v>
      </c>
      <c r="BA74" s="225">
        <v>0.33333333333333337</v>
      </c>
      <c r="BB74" s="225">
        <v>0.81649658092772592</v>
      </c>
      <c r="BC74" s="225">
        <v>-0.33333333333333337</v>
      </c>
      <c r="BD74" s="225">
        <v>0.8703882797784892</v>
      </c>
      <c r="BE74" s="225">
        <v>1</v>
      </c>
      <c r="BF74" s="225"/>
      <c r="BG74" s="225"/>
      <c r="BH74" s="225"/>
      <c r="BI74" s="225"/>
      <c r="BJ74" s="225"/>
      <c r="BK74" s="225"/>
    </row>
    <row r="75" spans="1:63" ht="15.75" customHeight="1" x14ac:dyDescent="0.2">
      <c r="A75" s="301"/>
      <c r="B75" s="6" t="s">
        <v>27</v>
      </c>
      <c r="C75" s="6">
        <v>1980</v>
      </c>
      <c r="D75" s="6" t="s">
        <v>28</v>
      </c>
      <c r="U75" s="9">
        <v>4</v>
      </c>
      <c r="V75" s="8">
        <v>1</v>
      </c>
      <c r="W75" s="9">
        <v>3</v>
      </c>
      <c r="X75" s="8">
        <v>3</v>
      </c>
      <c r="Y75" s="9">
        <v>1</v>
      </c>
      <c r="Z75" s="8">
        <v>0</v>
      </c>
      <c r="AA75" s="9">
        <v>4</v>
      </c>
      <c r="AB75" s="9">
        <v>4</v>
      </c>
      <c r="AC75" s="8">
        <v>1</v>
      </c>
      <c r="AD75" s="9">
        <v>3</v>
      </c>
      <c r="AE75" s="8">
        <v>3</v>
      </c>
      <c r="AF75" s="9">
        <v>1</v>
      </c>
      <c r="AG75" s="8">
        <v>0</v>
      </c>
      <c r="AH75" s="9">
        <v>4</v>
      </c>
      <c r="AI75" s="8">
        <v>3</v>
      </c>
      <c r="AJ75" s="9">
        <v>1</v>
      </c>
      <c r="AK75" s="8">
        <v>1</v>
      </c>
      <c r="AL75" s="11"/>
      <c r="AM75" s="11"/>
      <c r="AN75" s="11"/>
      <c r="AO75" s="11"/>
      <c r="AP75" s="11"/>
      <c r="AQ75" s="11"/>
      <c r="AR75" s="11"/>
      <c r="AS75" s="11"/>
      <c r="AU75" s="4" t="s">
        <v>79</v>
      </c>
      <c r="AV75" s="225">
        <v>0</v>
      </c>
      <c r="AW75" s="225">
        <v>0</v>
      </c>
      <c r="AX75" s="225" t="e">
        <v>#DIV/0!</v>
      </c>
      <c r="AY75" s="225">
        <v>0</v>
      </c>
      <c r="AZ75" s="225">
        <v>0</v>
      </c>
      <c r="BA75" s="225">
        <v>-0.81649658092772592</v>
      </c>
      <c r="BB75" s="225">
        <v>-0.99999999999999978</v>
      </c>
      <c r="BC75" s="225">
        <v>0</v>
      </c>
      <c r="BD75" s="225">
        <v>-0.42640143271122083</v>
      </c>
      <c r="BE75" s="225">
        <v>-0.81649658092772592</v>
      </c>
      <c r="BF75" s="225">
        <v>1</v>
      </c>
      <c r="BG75" s="225"/>
      <c r="BH75" s="225"/>
      <c r="BI75" s="225"/>
      <c r="BJ75" s="225"/>
      <c r="BK75" s="225"/>
    </row>
    <row r="76" spans="1:63" ht="15.75" customHeight="1" x14ac:dyDescent="0.2">
      <c r="A76" s="300" t="s">
        <v>29</v>
      </c>
      <c r="B76" s="6" t="s">
        <v>30</v>
      </c>
      <c r="C76" s="6">
        <v>2012</v>
      </c>
      <c r="D76" s="6" t="s">
        <v>31</v>
      </c>
      <c r="U76" s="9">
        <v>2</v>
      </c>
      <c r="V76" s="8">
        <v>1</v>
      </c>
      <c r="W76" s="9">
        <v>1</v>
      </c>
      <c r="X76" s="8">
        <v>0</v>
      </c>
      <c r="Y76" s="9">
        <v>4</v>
      </c>
      <c r="Z76" s="8">
        <v>4</v>
      </c>
      <c r="AA76" s="9">
        <v>1</v>
      </c>
      <c r="AB76" s="9">
        <v>2</v>
      </c>
      <c r="AC76" s="8">
        <v>1</v>
      </c>
      <c r="AD76" s="9">
        <v>1</v>
      </c>
      <c r="AE76" s="8">
        <v>0</v>
      </c>
      <c r="AF76" s="9">
        <v>4</v>
      </c>
      <c r="AG76" s="8">
        <v>4</v>
      </c>
      <c r="AH76" s="9">
        <v>1</v>
      </c>
      <c r="AI76" s="8">
        <v>3</v>
      </c>
      <c r="AJ76" s="9">
        <v>1</v>
      </c>
      <c r="AK76" s="8">
        <v>1</v>
      </c>
      <c r="AL76" s="11"/>
      <c r="AM76" s="11"/>
      <c r="AN76" s="11"/>
      <c r="AO76" s="11"/>
      <c r="AP76" s="11"/>
      <c r="AQ76" s="11"/>
      <c r="AR76" s="11"/>
      <c r="AS76" s="11"/>
      <c r="AU76" s="4" t="s">
        <v>80</v>
      </c>
      <c r="AV76" s="225">
        <v>0.33333333333333337</v>
      </c>
      <c r="AW76" s="225">
        <v>-0.33333333333333337</v>
      </c>
      <c r="AX76" s="225" t="e">
        <v>#DIV/0!</v>
      </c>
      <c r="AY76" s="225">
        <v>0.33333333333333337</v>
      </c>
      <c r="AZ76" s="225">
        <v>0.33333333333333337</v>
      </c>
      <c r="BA76" s="225">
        <v>1.0000000000000002</v>
      </c>
      <c r="BB76" s="225">
        <v>0.81649658092772592</v>
      </c>
      <c r="BC76" s="225">
        <v>0.33333333333333337</v>
      </c>
      <c r="BD76" s="225">
        <v>-0.17407765595569785</v>
      </c>
      <c r="BE76" s="225">
        <v>0.33333333333333337</v>
      </c>
      <c r="BF76" s="225">
        <v>-0.81649658092772592</v>
      </c>
      <c r="BG76" s="225">
        <v>1</v>
      </c>
      <c r="BH76" s="225"/>
      <c r="BI76" s="225"/>
      <c r="BJ76" s="225"/>
      <c r="BK76" s="225"/>
    </row>
    <row r="77" spans="1:63" ht="15.75" customHeight="1" x14ac:dyDescent="0.2">
      <c r="A77" s="301"/>
      <c r="B77" s="6" t="s">
        <v>32</v>
      </c>
      <c r="C77" s="6">
        <v>2012</v>
      </c>
      <c r="D77" s="6" t="s">
        <v>33</v>
      </c>
      <c r="U77" s="9">
        <v>2</v>
      </c>
      <c r="V77" s="8">
        <v>0</v>
      </c>
      <c r="W77" s="9">
        <v>1</v>
      </c>
      <c r="X77" s="8">
        <v>0</v>
      </c>
      <c r="Y77" s="9">
        <v>4</v>
      </c>
      <c r="Z77" s="8">
        <v>3</v>
      </c>
      <c r="AA77" s="9">
        <v>0</v>
      </c>
      <c r="AB77" s="9">
        <v>2</v>
      </c>
      <c r="AC77" s="8">
        <v>0</v>
      </c>
      <c r="AD77" s="9">
        <v>1</v>
      </c>
      <c r="AE77" s="8">
        <v>0</v>
      </c>
      <c r="AF77" s="9">
        <v>4</v>
      </c>
      <c r="AG77" s="8">
        <v>3</v>
      </c>
      <c r="AH77" s="9">
        <v>0</v>
      </c>
      <c r="AI77" s="8">
        <v>0</v>
      </c>
      <c r="AJ77" s="9">
        <v>1</v>
      </c>
      <c r="AK77" s="8">
        <v>2</v>
      </c>
      <c r="AL77" s="11"/>
      <c r="AM77" s="11"/>
      <c r="AN77" s="11"/>
      <c r="AO77" s="11"/>
      <c r="AP77" s="11"/>
      <c r="AQ77" s="11"/>
      <c r="AR77" s="11"/>
      <c r="AS77" s="11"/>
      <c r="AU77" s="17" t="s">
        <v>61</v>
      </c>
      <c r="AV77" s="225">
        <v>0.33333333333333337</v>
      </c>
      <c r="AW77" s="225">
        <v>1.0000000000000002</v>
      </c>
      <c r="AX77" s="225" t="e">
        <v>#DIV/0!</v>
      </c>
      <c r="AY77" s="225">
        <v>0.33333333333333337</v>
      </c>
      <c r="AZ77" s="225">
        <v>-1.0000000000000002</v>
      </c>
      <c r="BA77" s="225">
        <v>-0.33333333333333337</v>
      </c>
      <c r="BB77" s="225">
        <v>0</v>
      </c>
      <c r="BC77" s="225">
        <v>0.33333333333333337</v>
      </c>
      <c r="BD77" s="225">
        <v>0.5222329678670935</v>
      </c>
      <c r="BE77" s="225">
        <v>0.33333333333333337</v>
      </c>
      <c r="BF77" s="225">
        <v>0</v>
      </c>
      <c r="BG77" s="225">
        <v>-0.33333333333333337</v>
      </c>
      <c r="BH77" s="225">
        <v>1</v>
      </c>
      <c r="BI77" s="225"/>
      <c r="BJ77" s="225"/>
      <c r="BK77" s="225"/>
    </row>
    <row r="78" spans="1:63" ht="15.75" customHeight="1" x14ac:dyDescent="0.2">
      <c r="A78" s="301"/>
      <c r="B78" s="6" t="s">
        <v>34</v>
      </c>
      <c r="C78" s="6">
        <v>2012</v>
      </c>
      <c r="D78" s="6" t="s">
        <v>35</v>
      </c>
      <c r="U78" s="9">
        <v>1</v>
      </c>
      <c r="V78" s="8">
        <v>1</v>
      </c>
      <c r="W78" s="9">
        <v>1</v>
      </c>
      <c r="X78" s="8">
        <v>3</v>
      </c>
      <c r="Y78" s="9">
        <v>4</v>
      </c>
      <c r="Z78" s="8">
        <v>2</v>
      </c>
      <c r="AA78" s="9">
        <v>0</v>
      </c>
      <c r="AB78" s="9">
        <v>1</v>
      </c>
      <c r="AC78" s="8">
        <v>1</v>
      </c>
      <c r="AD78" s="9">
        <v>1</v>
      </c>
      <c r="AE78" s="8">
        <v>3</v>
      </c>
      <c r="AF78" s="9">
        <v>4</v>
      </c>
      <c r="AG78" s="8">
        <v>2</v>
      </c>
      <c r="AH78" s="9">
        <v>0</v>
      </c>
      <c r="AI78" s="8">
        <v>1</v>
      </c>
      <c r="AJ78" s="9">
        <v>1</v>
      </c>
      <c r="AK78" s="8">
        <v>2</v>
      </c>
      <c r="AL78" s="11"/>
      <c r="AM78" s="11"/>
      <c r="AN78" s="11"/>
      <c r="AO78" s="11"/>
      <c r="AP78" s="11"/>
      <c r="AQ78" s="11"/>
      <c r="AR78" s="11"/>
      <c r="AS78" s="11"/>
      <c r="AU78" s="17" t="s">
        <v>62</v>
      </c>
      <c r="AV78" s="225">
        <v>-0.57735026918962584</v>
      </c>
      <c r="AW78" s="225">
        <v>-0.57735026918962584</v>
      </c>
      <c r="AX78" s="225" t="e">
        <v>#DIV/0!</v>
      </c>
      <c r="AY78" s="225">
        <v>-0.57735026918962584</v>
      </c>
      <c r="AZ78" s="225">
        <v>0.57735026918962584</v>
      </c>
      <c r="BA78" s="225">
        <v>-0.57735026918962584</v>
      </c>
      <c r="BB78" s="225">
        <v>-0.70710678118654746</v>
      </c>
      <c r="BC78" s="225">
        <v>-0.57735026918962584</v>
      </c>
      <c r="BD78" s="225">
        <v>-0.30151134457776363</v>
      </c>
      <c r="BE78" s="225">
        <v>-0.57735026918962584</v>
      </c>
      <c r="BF78" s="225">
        <v>0.70710678118654746</v>
      </c>
      <c r="BG78" s="225">
        <v>-0.57735026918962584</v>
      </c>
      <c r="BH78" s="225">
        <v>-0.57735026918962584</v>
      </c>
      <c r="BI78" s="225">
        <v>1</v>
      </c>
      <c r="BJ78" s="225"/>
      <c r="BK78" s="225"/>
    </row>
    <row r="79" spans="1:63" ht="16.5" customHeight="1" x14ac:dyDescent="0.2">
      <c r="A79" s="301"/>
      <c r="B79" s="6" t="s">
        <v>36</v>
      </c>
      <c r="C79" s="6">
        <v>2012</v>
      </c>
      <c r="D79" s="6" t="s">
        <v>37</v>
      </c>
      <c r="U79" s="9">
        <v>1</v>
      </c>
      <c r="V79" s="8">
        <v>1</v>
      </c>
      <c r="W79" s="9">
        <v>2</v>
      </c>
      <c r="X79" s="8">
        <v>0</v>
      </c>
      <c r="Y79" s="9">
        <v>4</v>
      </c>
      <c r="Z79" s="8">
        <v>3</v>
      </c>
      <c r="AA79" s="9">
        <v>0</v>
      </c>
      <c r="AB79" s="9">
        <v>1</v>
      </c>
      <c r="AC79" s="8">
        <v>1</v>
      </c>
      <c r="AD79" s="9">
        <v>2</v>
      </c>
      <c r="AE79" s="8">
        <v>0</v>
      </c>
      <c r="AF79" s="9">
        <v>4</v>
      </c>
      <c r="AG79" s="8">
        <v>3</v>
      </c>
      <c r="AH79" s="9">
        <v>0</v>
      </c>
      <c r="AI79" s="8">
        <v>1</v>
      </c>
      <c r="AJ79" s="9">
        <v>1</v>
      </c>
      <c r="AK79" s="8">
        <v>1</v>
      </c>
      <c r="AL79" s="11"/>
      <c r="AM79" s="11"/>
      <c r="AN79" s="11"/>
      <c r="AO79" s="11"/>
      <c r="AP79" s="11"/>
      <c r="AQ79" s="11"/>
      <c r="AR79" s="11"/>
      <c r="AS79" s="11"/>
      <c r="AU79" s="17" t="s">
        <v>63</v>
      </c>
      <c r="AV79" s="225" t="e">
        <v>#DIV/0!</v>
      </c>
      <c r="AW79" s="225" t="e">
        <v>#DIV/0!</v>
      </c>
      <c r="AX79" s="225" t="e">
        <v>#DIV/0!</v>
      </c>
      <c r="AY79" s="225" t="e">
        <v>#DIV/0!</v>
      </c>
      <c r="AZ79" s="225" t="e">
        <v>#DIV/0!</v>
      </c>
      <c r="BA79" s="225" t="e">
        <v>#DIV/0!</v>
      </c>
      <c r="BB79" s="225" t="e">
        <v>#DIV/0!</v>
      </c>
      <c r="BC79" s="225" t="e">
        <v>#DIV/0!</v>
      </c>
      <c r="BD79" s="225" t="e">
        <v>#DIV/0!</v>
      </c>
      <c r="BE79" s="225" t="e">
        <v>#DIV/0!</v>
      </c>
      <c r="BF79" s="225" t="e">
        <v>#DIV/0!</v>
      </c>
      <c r="BG79" s="225" t="e">
        <v>#DIV/0!</v>
      </c>
      <c r="BH79" s="225" t="e">
        <v>#DIV/0!</v>
      </c>
      <c r="BI79" s="225" t="e">
        <v>#DIV/0!</v>
      </c>
      <c r="BJ79" s="225">
        <v>1</v>
      </c>
      <c r="BK79" s="225"/>
    </row>
    <row r="80" spans="1:63" ht="16.5" customHeight="1" x14ac:dyDescent="0.2">
      <c r="A80" s="301"/>
      <c r="B80" s="6" t="s">
        <v>38</v>
      </c>
      <c r="C80" s="6">
        <v>2018</v>
      </c>
      <c r="D80" s="6" t="s">
        <v>39</v>
      </c>
      <c r="U80" s="9">
        <v>2</v>
      </c>
      <c r="V80" s="8">
        <v>1</v>
      </c>
      <c r="W80" s="9">
        <v>1</v>
      </c>
      <c r="X80" s="8">
        <v>2</v>
      </c>
      <c r="Y80" s="9">
        <v>4</v>
      </c>
      <c r="Z80" s="8">
        <v>4</v>
      </c>
      <c r="AA80" s="9">
        <v>1</v>
      </c>
      <c r="AB80" s="9">
        <v>2</v>
      </c>
      <c r="AC80" s="8">
        <v>1</v>
      </c>
      <c r="AD80" s="9">
        <v>1</v>
      </c>
      <c r="AE80" s="8">
        <v>2</v>
      </c>
      <c r="AF80" s="9">
        <v>4</v>
      </c>
      <c r="AG80" s="8">
        <v>4</v>
      </c>
      <c r="AH80" s="9">
        <v>1</v>
      </c>
      <c r="AI80" s="8">
        <v>1</v>
      </c>
      <c r="AJ80" s="9">
        <v>2</v>
      </c>
      <c r="AK80" s="8">
        <v>1</v>
      </c>
      <c r="AL80" s="11"/>
      <c r="AM80" s="11"/>
      <c r="AN80" s="11"/>
      <c r="AO80" s="11"/>
      <c r="AP80" s="11"/>
      <c r="AQ80" s="11"/>
      <c r="AR80" s="11"/>
      <c r="AS80" s="11"/>
      <c r="AU80" s="17" t="s">
        <v>64</v>
      </c>
      <c r="AV80" s="239">
        <v>0.5222329678670935</v>
      </c>
      <c r="AW80" s="239">
        <v>-0.5222329678670935</v>
      </c>
      <c r="AX80" s="239" t="e">
        <v>#DIV/0!</v>
      </c>
      <c r="AY80" s="239">
        <v>0.5222329678670935</v>
      </c>
      <c r="AZ80" s="239">
        <v>0.5222329678670935</v>
      </c>
      <c r="BA80" s="239">
        <v>0.8703882797784892</v>
      </c>
      <c r="BB80" s="239">
        <v>0.42640143271122083</v>
      </c>
      <c r="BC80" s="239">
        <v>0.5222329678670935</v>
      </c>
      <c r="BD80" s="239">
        <v>-0.63636363636363635</v>
      </c>
      <c r="BE80" s="239">
        <v>-0.17407765595569785</v>
      </c>
      <c r="BF80" s="239">
        <v>-0.42640143271122083</v>
      </c>
      <c r="BG80" s="239">
        <v>0.8703882797784892</v>
      </c>
      <c r="BH80" s="239">
        <v>-0.5222329678670935</v>
      </c>
      <c r="BI80" s="239">
        <v>-0.30151134457776363</v>
      </c>
      <c r="BJ80" s="239" t="e">
        <v>#DIV/0!</v>
      </c>
      <c r="BK80" s="239">
        <v>1</v>
      </c>
    </row>
    <row r="81" spans="1:63" ht="15.75" customHeight="1" x14ac:dyDescent="0.2">
      <c r="A81" s="300" t="s">
        <v>40</v>
      </c>
      <c r="B81" s="6" t="s">
        <v>41</v>
      </c>
      <c r="C81" s="6">
        <v>1898</v>
      </c>
      <c r="D81" s="6" t="s">
        <v>42</v>
      </c>
      <c r="U81" s="9">
        <v>0</v>
      </c>
      <c r="V81" s="8">
        <v>0</v>
      </c>
      <c r="W81" s="9">
        <v>4</v>
      </c>
      <c r="X81" s="8">
        <v>4</v>
      </c>
      <c r="Y81" s="9">
        <v>1</v>
      </c>
      <c r="Z81" s="8">
        <v>0</v>
      </c>
      <c r="AA81" s="9">
        <v>0</v>
      </c>
      <c r="AB81" s="9">
        <v>0</v>
      </c>
      <c r="AC81" s="8">
        <v>0</v>
      </c>
      <c r="AD81" s="9">
        <v>4</v>
      </c>
      <c r="AE81" s="8">
        <v>4</v>
      </c>
      <c r="AF81" s="9">
        <v>1</v>
      </c>
      <c r="AG81" s="8">
        <v>0</v>
      </c>
      <c r="AH81" s="9">
        <v>0</v>
      </c>
      <c r="AI81" s="8">
        <v>0</v>
      </c>
      <c r="AJ81" s="9">
        <v>4</v>
      </c>
      <c r="AK81" s="8">
        <v>4</v>
      </c>
      <c r="AL81" s="11"/>
      <c r="AM81" s="11"/>
      <c r="AN81" s="11"/>
      <c r="AO81" s="11"/>
      <c r="AP81" s="11"/>
      <c r="AQ81" s="11"/>
      <c r="AR81" s="11"/>
      <c r="AS81" s="11"/>
      <c r="AV81" s="225"/>
      <c r="AW81" s="225"/>
      <c r="AX81" s="225"/>
      <c r="AY81" s="225"/>
      <c r="AZ81" s="225"/>
      <c r="BA81" s="225"/>
      <c r="BB81" s="225"/>
      <c r="BC81" s="225"/>
      <c r="BD81" s="225"/>
      <c r="BE81" s="225"/>
      <c r="BF81" s="225"/>
      <c r="BG81" s="225"/>
      <c r="BH81" s="225"/>
      <c r="BI81" s="225"/>
      <c r="BJ81" s="225"/>
      <c r="BK81" s="225"/>
    </row>
    <row r="82" spans="1:63" ht="15.75" customHeight="1" x14ac:dyDescent="0.2">
      <c r="A82" s="301"/>
      <c r="B82" s="6" t="s">
        <v>43</v>
      </c>
      <c r="C82" s="6">
        <v>2016</v>
      </c>
      <c r="D82" s="6" t="s">
        <v>44</v>
      </c>
      <c r="U82" s="9">
        <v>1</v>
      </c>
      <c r="V82" s="8">
        <v>1</v>
      </c>
      <c r="W82" s="9">
        <v>4</v>
      </c>
      <c r="X82" s="8">
        <v>4</v>
      </c>
      <c r="Y82" s="9">
        <v>1</v>
      </c>
      <c r="Z82" s="8">
        <v>1</v>
      </c>
      <c r="AA82" s="9">
        <v>2</v>
      </c>
      <c r="AB82" s="9">
        <v>1</v>
      </c>
      <c r="AC82" s="8">
        <v>1</v>
      </c>
      <c r="AD82" s="9">
        <v>4</v>
      </c>
      <c r="AE82" s="8">
        <v>4</v>
      </c>
      <c r="AF82" s="9">
        <v>1</v>
      </c>
      <c r="AG82" s="8">
        <v>1</v>
      </c>
      <c r="AH82" s="9">
        <v>2</v>
      </c>
      <c r="AI82" s="8">
        <v>1</v>
      </c>
      <c r="AJ82" s="9">
        <v>3</v>
      </c>
      <c r="AK82" s="8">
        <v>3</v>
      </c>
      <c r="AL82" s="11"/>
      <c r="AM82" s="11"/>
      <c r="AN82" s="11"/>
      <c r="AO82" s="11"/>
      <c r="AP82" s="11"/>
      <c r="AQ82" s="11"/>
      <c r="AR82" s="11"/>
      <c r="AS82" s="11"/>
      <c r="AV82" s="225"/>
      <c r="AW82" s="225"/>
      <c r="AX82" s="225"/>
      <c r="AY82" s="225"/>
      <c r="AZ82" s="225"/>
      <c r="BA82" s="225"/>
      <c r="BB82" s="225"/>
      <c r="BC82" s="225"/>
      <c r="BD82" s="225"/>
      <c r="BE82" s="225"/>
      <c r="BF82" s="225"/>
      <c r="BG82" s="225"/>
      <c r="BH82" s="225"/>
      <c r="BI82" s="225"/>
      <c r="BJ82" s="225"/>
      <c r="BK82" s="225"/>
    </row>
    <row r="83" spans="1:63" ht="15.75" customHeight="1" x14ac:dyDescent="0.2">
      <c r="A83" s="301"/>
      <c r="B83" s="6" t="s">
        <v>45</v>
      </c>
      <c r="C83" s="6">
        <v>1896</v>
      </c>
      <c r="D83" s="6" t="s">
        <v>46</v>
      </c>
      <c r="U83" s="9">
        <v>0</v>
      </c>
      <c r="V83" s="8">
        <v>1</v>
      </c>
      <c r="W83" s="9">
        <v>4</v>
      </c>
      <c r="X83" s="8">
        <v>3</v>
      </c>
      <c r="Y83" s="9">
        <v>1</v>
      </c>
      <c r="Z83" s="8">
        <v>1</v>
      </c>
      <c r="AA83" s="9">
        <v>0</v>
      </c>
      <c r="AB83" s="9">
        <v>0</v>
      </c>
      <c r="AC83" s="8">
        <v>1</v>
      </c>
      <c r="AD83" s="9">
        <v>4</v>
      </c>
      <c r="AE83" s="8">
        <v>3</v>
      </c>
      <c r="AF83" s="9">
        <v>1</v>
      </c>
      <c r="AG83" s="8">
        <v>1</v>
      </c>
      <c r="AH83" s="9">
        <v>0</v>
      </c>
      <c r="AI83" s="8">
        <v>0</v>
      </c>
      <c r="AJ83" s="9">
        <v>2</v>
      </c>
      <c r="AK83" s="8">
        <v>1</v>
      </c>
      <c r="AL83" s="11"/>
      <c r="AM83" s="11"/>
      <c r="AN83" s="11"/>
      <c r="AO83" s="11"/>
      <c r="AP83" s="11"/>
      <c r="AQ83" s="11"/>
      <c r="AR83" s="11"/>
      <c r="AS83" s="11"/>
      <c r="AV83" s="225"/>
      <c r="AW83" s="225"/>
      <c r="AX83" s="225"/>
      <c r="AY83" s="225"/>
      <c r="AZ83" s="225"/>
      <c r="BA83" s="225"/>
      <c r="BB83" s="225"/>
      <c r="BC83" s="225"/>
      <c r="BD83" s="225"/>
      <c r="BE83" s="225"/>
      <c r="BF83" s="225"/>
      <c r="BG83" s="225"/>
      <c r="BH83" s="225"/>
      <c r="BI83" s="225"/>
      <c r="BJ83" s="225"/>
      <c r="BK83" s="225"/>
    </row>
    <row r="84" spans="1:63" ht="15.75" customHeight="1" x14ac:dyDescent="0.2">
      <c r="A84" s="301"/>
      <c r="B84" s="6" t="s">
        <v>47</v>
      </c>
      <c r="C84" s="6">
        <v>2003</v>
      </c>
      <c r="D84" s="6" t="s">
        <v>48</v>
      </c>
      <c r="U84" s="9">
        <v>1</v>
      </c>
      <c r="V84" s="8">
        <v>1</v>
      </c>
      <c r="W84" s="9">
        <v>4</v>
      </c>
      <c r="X84" s="8">
        <v>4</v>
      </c>
      <c r="Y84" s="9">
        <v>0</v>
      </c>
      <c r="Z84" s="8">
        <v>1</v>
      </c>
      <c r="AA84" s="9">
        <v>1</v>
      </c>
      <c r="AB84" s="9">
        <v>1</v>
      </c>
      <c r="AC84" s="8">
        <v>1</v>
      </c>
      <c r="AD84" s="9">
        <v>4</v>
      </c>
      <c r="AE84" s="8">
        <v>4</v>
      </c>
      <c r="AF84" s="9">
        <v>0</v>
      </c>
      <c r="AG84" s="8">
        <v>1</v>
      </c>
      <c r="AH84" s="9">
        <v>1</v>
      </c>
      <c r="AI84" s="8">
        <v>0</v>
      </c>
      <c r="AJ84" s="9">
        <v>2</v>
      </c>
      <c r="AK84" s="8">
        <v>1</v>
      </c>
      <c r="AL84" s="11"/>
      <c r="AM84" s="11"/>
      <c r="AN84" s="11"/>
      <c r="AO84" s="11"/>
      <c r="AP84" s="11"/>
      <c r="AQ84" s="11"/>
      <c r="AR84" s="11"/>
      <c r="AS84" s="11"/>
      <c r="AV84" s="225"/>
      <c r="AW84" s="225"/>
      <c r="AX84" s="225"/>
      <c r="AY84" s="225"/>
      <c r="AZ84" s="225"/>
      <c r="BA84" s="225"/>
      <c r="BB84" s="225"/>
      <c r="BC84" s="225"/>
      <c r="BD84" s="225"/>
      <c r="BE84" s="225"/>
      <c r="BF84" s="225"/>
      <c r="BG84" s="225"/>
      <c r="BH84" s="225"/>
      <c r="BI84" s="225"/>
      <c r="BJ84" s="225"/>
      <c r="BK84" s="225"/>
    </row>
    <row r="85" spans="1:63" ht="15.75" customHeight="1" x14ac:dyDescent="0.2">
      <c r="A85" s="301"/>
      <c r="B85" s="6" t="s">
        <v>49</v>
      </c>
      <c r="C85" s="6">
        <v>2016</v>
      </c>
      <c r="D85" s="6" t="s">
        <v>50</v>
      </c>
      <c r="U85" s="9">
        <v>0</v>
      </c>
      <c r="V85" s="8">
        <v>0</v>
      </c>
      <c r="W85" s="9">
        <v>4</v>
      </c>
      <c r="X85" s="8">
        <v>4</v>
      </c>
      <c r="Y85" s="9">
        <v>0</v>
      </c>
      <c r="Z85" s="8">
        <v>0</v>
      </c>
      <c r="AA85" s="9">
        <v>1</v>
      </c>
      <c r="AB85" s="9">
        <v>0</v>
      </c>
      <c r="AC85" s="8">
        <v>0</v>
      </c>
      <c r="AD85" s="9">
        <v>4</v>
      </c>
      <c r="AE85" s="8">
        <v>4</v>
      </c>
      <c r="AF85" s="9">
        <v>0</v>
      </c>
      <c r="AG85" s="8">
        <v>0</v>
      </c>
      <c r="AH85" s="9">
        <v>1</v>
      </c>
      <c r="AI85" s="8">
        <v>1</v>
      </c>
      <c r="AJ85" s="9">
        <v>2</v>
      </c>
      <c r="AK85" s="8">
        <v>4</v>
      </c>
      <c r="AL85" s="11"/>
      <c r="AM85" s="11"/>
      <c r="AN85" s="11"/>
      <c r="AO85" s="11"/>
      <c r="AP85" s="11"/>
      <c r="AQ85" s="11"/>
      <c r="AR85" s="11"/>
      <c r="AS85" s="11"/>
      <c r="AV85" s="225"/>
      <c r="AW85" s="225"/>
      <c r="AX85" s="225"/>
      <c r="AY85" s="225"/>
      <c r="AZ85" s="225"/>
      <c r="BA85" s="225"/>
      <c r="BB85" s="225"/>
      <c r="BC85" s="225"/>
      <c r="BD85" s="225"/>
      <c r="BE85" s="225"/>
      <c r="BF85" s="225"/>
      <c r="BG85" s="225"/>
      <c r="BH85" s="225"/>
      <c r="BI85" s="225"/>
      <c r="BJ85" s="225"/>
      <c r="BK85" s="225"/>
    </row>
    <row r="86" spans="1:63" ht="15.75" customHeight="1" x14ac:dyDescent="0.2">
      <c r="A86" s="300" t="s">
        <v>51</v>
      </c>
      <c r="B86" s="6" t="s">
        <v>52</v>
      </c>
      <c r="C86" s="6">
        <v>1887</v>
      </c>
      <c r="D86" s="6" t="s">
        <v>14</v>
      </c>
      <c r="U86" s="9">
        <v>2</v>
      </c>
      <c r="V86" s="8">
        <v>3</v>
      </c>
      <c r="W86" s="9">
        <v>1</v>
      </c>
      <c r="X86" s="8">
        <v>3</v>
      </c>
      <c r="Y86" s="9">
        <v>2</v>
      </c>
      <c r="Z86" s="8">
        <v>1</v>
      </c>
      <c r="AA86" s="9">
        <v>3</v>
      </c>
      <c r="AB86" s="9">
        <v>2</v>
      </c>
      <c r="AC86" s="8">
        <v>3</v>
      </c>
      <c r="AD86" s="9">
        <v>1</v>
      </c>
      <c r="AE86" s="8">
        <v>3</v>
      </c>
      <c r="AF86" s="9">
        <v>2</v>
      </c>
      <c r="AG86" s="8">
        <v>1</v>
      </c>
      <c r="AH86" s="9">
        <v>3</v>
      </c>
      <c r="AI86" s="8">
        <v>1</v>
      </c>
      <c r="AJ86" s="9">
        <v>2</v>
      </c>
      <c r="AK86" s="8">
        <v>1</v>
      </c>
      <c r="AL86" s="11"/>
      <c r="AM86" s="11"/>
      <c r="AN86" s="11"/>
      <c r="AO86" s="11"/>
      <c r="AP86" s="11"/>
      <c r="AQ86" s="11"/>
      <c r="AR86" s="11"/>
      <c r="AS86" s="11"/>
      <c r="AV86" s="225"/>
      <c r="AW86" s="225"/>
      <c r="AX86" s="225"/>
      <c r="AY86" s="225"/>
      <c r="AZ86" s="225"/>
      <c r="BA86" s="225"/>
      <c r="BB86" s="225"/>
      <c r="BC86" s="225"/>
      <c r="BD86" s="225"/>
      <c r="BE86" s="225"/>
      <c r="BF86" s="225"/>
      <c r="BG86" s="225"/>
      <c r="BH86" s="225"/>
      <c r="BI86" s="225"/>
      <c r="BJ86" s="225"/>
      <c r="BK86" s="225"/>
    </row>
    <row r="87" spans="1:63" ht="15.75" customHeight="1" x14ac:dyDescent="0.2">
      <c r="A87" s="301"/>
      <c r="B87" s="6" t="s">
        <v>53</v>
      </c>
      <c r="C87" s="6">
        <v>1945</v>
      </c>
      <c r="D87" s="6" t="s">
        <v>54</v>
      </c>
      <c r="U87" s="9">
        <v>3</v>
      </c>
      <c r="V87" s="8">
        <v>3</v>
      </c>
      <c r="W87" s="9">
        <v>0</v>
      </c>
      <c r="X87" s="8">
        <v>0</v>
      </c>
      <c r="Y87" s="9">
        <v>1</v>
      </c>
      <c r="Z87" s="8">
        <v>0</v>
      </c>
      <c r="AA87" s="9">
        <v>2</v>
      </c>
      <c r="AB87" s="9">
        <v>3</v>
      </c>
      <c r="AC87" s="8">
        <v>3</v>
      </c>
      <c r="AD87" s="9">
        <v>0</v>
      </c>
      <c r="AE87" s="8">
        <v>0</v>
      </c>
      <c r="AF87" s="9">
        <v>1</v>
      </c>
      <c r="AG87" s="8">
        <v>0</v>
      </c>
      <c r="AH87" s="9">
        <v>2</v>
      </c>
      <c r="AI87" s="8">
        <v>1</v>
      </c>
      <c r="AJ87" s="9">
        <v>1</v>
      </c>
      <c r="AK87" s="8">
        <v>1</v>
      </c>
      <c r="AL87" s="11"/>
      <c r="AM87" s="11"/>
      <c r="AN87" s="11"/>
      <c r="AO87" s="11"/>
      <c r="AP87" s="11"/>
      <c r="AQ87" s="11"/>
      <c r="AR87" s="11"/>
      <c r="AS87" s="11"/>
      <c r="AV87" s="225"/>
      <c r="AW87" s="225"/>
      <c r="AX87" s="225"/>
      <c r="AY87" s="225"/>
      <c r="AZ87" s="225"/>
      <c r="BA87" s="225"/>
      <c r="BB87" s="225"/>
      <c r="BC87" s="225"/>
      <c r="BD87" s="225"/>
      <c r="BE87" s="225"/>
      <c r="BF87" s="225"/>
      <c r="BG87" s="225"/>
      <c r="BH87" s="225"/>
      <c r="BI87" s="225"/>
      <c r="BJ87" s="225"/>
      <c r="BK87" s="225"/>
    </row>
    <row r="88" spans="1:63" ht="15.75" customHeight="1" x14ac:dyDescent="0.2">
      <c r="A88" s="301"/>
      <c r="B88" s="6" t="s">
        <v>55</v>
      </c>
      <c r="C88" s="6">
        <v>1872</v>
      </c>
      <c r="D88" s="6" t="s">
        <v>56</v>
      </c>
      <c r="U88" s="9">
        <v>3</v>
      </c>
      <c r="V88" s="8">
        <v>2</v>
      </c>
      <c r="W88" s="9">
        <v>1</v>
      </c>
      <c r="X88" s="8">
        <v>0</v>
      </c>
      <c r="Y88" s="9">
        <v>4</v>
      </c>
      <c r="Z88" s="8">
        <v>3</v>
      </c>
      <c r="AA88" s="9">
        <v>2</v>
      </c>
      <c r="AB88" s="9">
        <v>3</v>
      </c>
      <c r="AC88" s="8">
        <v>2</v>
      </c>
      <c r="AD88" s="9">
        <v>1</v>
      </c>
      <c r="AE88" s="8">
        <v>0</v>
      </c>
      <c r="AF88" s="9">
        <v>4</v>
      </c>
      <c r="AG88" s="8">
        <v>3</v>
      </c>
      <c r="AH88" s="9">
        <v>2</v>
      </c>
      <c r="AI88" s="8">
        <v>1</v>
      </c>
      <c r="AJ88" s="9">
        <v>0</v>
      </c>
      <c r="AK88" s="8">
        <v>0</v>
      </c>
      <c r="AL88" s="11"/>
      <c r="AM88" s="11"/>
      <c r="AN88" s="11"/>
      <c r="AO88" s="11"/>
      <c r="AP88" s="11"/>
      <c r="AQ88" s="11"/>
      <c r="AR88" s="11"/>
      <c r="AS88" s="11"/>
      <c r="AV88" s="225"/>
      <c r="AW88" s="225"/>
      <c r="AX88" s="225"/>
      <c r="AY88" s="225"/>
      <c r="AZ88" s="225"/>
      <c r="BA88" s="225"/>
      <c r="BB88" s="225"/>
      <c r="BC88" s="225"/>
      <c r="BD88" s="225"/>
      <c r="BE88" s="225"/>
      <c r="BF88" s="225"/>
      <c r="BG88" s="225"/>
      <c r="BH88" s="225"/>
      <c r="BI88" s="225"/>
      <c r="BJ88" s="225"/>
      <c r="BK88" s="225"/>
    </row>
    <row r="89" spans="1:63" ht="15.75" customHeight="1" x14ac:dyDescent="0.2">
      <c r="A89" s="301"/>
      <c r="B89" s="6" t="s">
        <v>57</v>
      </c>
      <c r="C89" s="6">
        <v>2012</v>
      </c>
      <c r="D89" s="6" t="s">
        <v>58</v>
      </c>
      <c r="U89" s="9">
        <v>3</v>
      </c>
      <c r="V89" s="8">
        <v>3</v>
      </c>
      <c r="W89" s="9">
        <v>1</v>
      </c>
      <c r="X89" s="8">
        <v>1</v>
      </c>
      <c r="Y89" s="9">
        <v>4</v>
      </c>
      <c r="Z89" s="8">
        <v>4</v>
      </c>
      <c r="AA89" s="9">
        <v>2</v>
      </c>
      <c r="AB89" s="9">
        <v>3</v>
      </c>
      <c r="AC89" s="8">
        <v>3</v>
      </c>
      <c r="AD89" s="9">
        <v>1</v>
      </c>
      <c r="AE89" s="8">
        <v>1</v>
      </c>
      <c r="AF89" s="9">
        <v>4</v>
      </c>
      <c r="AG89" s="8">
        <v>4</v>
      </c>
      <c r="AH89" s="9">
        <v>2</v>
      </c>
      <c r="AI89" s="8">
        <v>1</v>
      </c>
      <c r="AJ89" s="9">
        <v>1</v>
      </c>
      <c r="AK89" s="8">
        <v>0</v>
      </c>
      <c r="AL89" s="11"/>
      <c r="AM89" s="11"/>
      <c r="AN89" s="11"/>
      <c r="AO89" s="11"/>
      <c r="AP89" s="11"/>
      <c r="AQ89" s="11"/>
      <c r="AR89" s="11"/>
      <c r="AS89" s="11"/>
      <c r="AV89" s="225"/>
      <c r="AW89" s="225"/>
      <c r="AX89" s="225"/>
      <c r="AY89" s="225"/>
      <c r="AZ89" s="225"/>
      <c r="BA89" s="225"/>
      <c r="BB89" s="225"/>
      <c r="BC89" s="225"/>
      <c r="BD89" s="225"/>
      <c r="BE89" s="225"/>
      <c r="BF89" s="225"/>
      <c r="BG89" s="225"/>
      <c r="BH89" s="225"/>
      <c r="BI89" s="225"/>
      <c r="BJ89" s="225"/>
      <c r="BK89" s="225"/>
    </row>
    <row r="90" spans="1:63" ht="15.75" customHeight="1" x14ac:dyDescent="0.2">
      <c r="A90" s="301"/>
      <c r="B90" s="6" t="s">
        <v>59</v>
      </c>
      <c r="C90" s="6">
        <v>2010</v>
      </c>
      <c r="D90" s="6" t="s">
        <v>60</v>
      </c>
      <c r="U90" s="9">
        <v>1</v>
      </c>
      <c r="V90" s="13">
        <v>3</v>
      </c>
      <c r="W90" s="9">
        <v>2</v>
      </c>
      <c r="X90" s="13">
        <v>3</v>
      </c>
      <c r="Y90" s="9">
        <v>2</v>
      </c>
      <c r="Z90" s="13">
        <v>2</v>
      </c>
      <c r="AA90" s="9">
        <v>1</v>
      </c>
      <c r="AB90" s="9">
        <v>1</v>
      </c>
      <c r="AC90" s="13">
        <v>3</v>
      </c>
      <c r="AD90" s="9">
        <v>2</v>
      </c>
      <c r="AE90" s="13">
        <v>3</v>
      </c>
      <c r="AF90" s="9">
        <v>2</v>
      </c>
      <c r="AG90" s="13">
        <v>2</v>
      </c>
      <c r="AH90" s="9">
        <v>1</v>
      </c>
      <c r="AI90" s="13">
        <v>1</v>
      </c>
      <c r="AJ90" s="9">
        <v>2</v>
      </c>
      <c r="AK90" s="13">
        <v>0</v>
      </c>
      <c r="AV90" s="225"/>
      <c r="AW90" s="225"/>
      <c r="AX90" s="225"/>
      <c r="AY90" s="225"/>
      <c r="AZ90" s="225"/>
      <c r="BA90" s="225"/>
      <c r="BB90" s="225"/>
      <c r="BC90" s="225"/>
      <c r="BD90" s="225"/>
      <c r="BE90" s="225"/>
      <c r="BF90" s="225"/>
      <c r="BG90" s="225"/>
      <c r="BH90" s="225"/>
      <c r="BI90" s="225"/>
      <c r="BJ90" s="225"/>
      <c r="BK90" s="225"/>
    </row>
    <row r="91" spans="1:63" ht="15.75" customHeight="1" x14ac:dyDescent="0.2">
      <c r="AV91" s="225"/>
      <c r="AW91" s="225"/>
      <c r="AX91" s="225"/>
      <c r="AY91" s="225"/>
      <c r="AZ91" s="225"/>
      <c r="BA91" s="225"/>
      <c r="BB91" s="225"/>
      <c r="BC91" s="225"/>
      <c r="BD91" s="225"/>
      <c r="BE91" s="225"/>
      <c r="BF91" s="225"/>
      <c r="BG91" s="225"/>
      <c r="BH91" s="225"/>
      <c r="BI91" s="225"/>
      <c r="BJ91" s="225"/>
      <c r="BK91" s="225"/>
    </row>
    <row r="92" spans="1:63" ht="15.75" customHeight="1" x14ac:dyDescent="0.2">
      <c r="AV92" s="225"/>
      <c r="AW92" s="225"/>
      <c r="AX92" s="225"/>
      <c r="AY92" s="225"/>
      <c r="AZ92" s="225"/>
      <c r="BA92" s="225"/>
      <c r="BB92" s="225"/>
      <c r="BC92" s="225"/>
      <c r="BD92" s="225"/>
      <c r="BE92" s="225"/>
      <c r="BF92" s="225"/>
      <c r="BG92" s="225"/>
      <c r="BH92" s="225"/>
      <c r="BI92" s="225"/>
      <c r="BJ92" s="225"/>
      <c r="BK92" s="225"/>
    </row>
    <row r="93" spans="1:63" ht="15.75" customHeight="1" x14ac:dyDescent="0.2">
      <c r="AV93" s="225"/>
      <c r="AW93" s="225"/>
      <c r="AX93" s="225"/>
      <c r="AY93" s="225"/>
      <c r="AZ93" s="225"/>
      <c r="BA93" s="225"/>
      <c r="BB93" s="225"/>
      <c r="BC93" s="225"/>
      <c r="BD93" s="225"/>
      <c r="BE93" s="225"/>
      <c r="BF93" s="225"/>
      <c r="BG93" s="225"/>
      <c r="BH93" s="225"/>
      <c r="BI93" s="225"/>
      <c r="BJ93" s="225"/>
      <c r="BK93" s="225"/>
    </row>
    <row r="94" spans="1:63" ht="15.75" customHeight="1" x14ac:dyDescent="0.2">
      <c r="AV94" s="225"/>
      <c r="AW94" s="225"/>
      <c r="AX94" s="225"/>
      <c r="AY94" s="225"/>
      <c r="AZ94" s="225"/>
      <c r="BA94" s="225"/>
      <c r="BB94" s="225"/>
      <c r="BC94" s="225"/>
      <c r="BD94" s="225"/>
      <c r="BE94" s="225"/>
      <c r="BF94" s="225"/>
      <c r="BG94" s="225"/>
      <c r="BH94" s="225"/>
      <c r="BI94" s="225"/>
      <c r="BJ94" s="225"/>
      <c r="BK94" s="225"/>
    </row>
    <row r="95" spans="1:63" ht="15.75" customHeight="1" x14ac:dyDescent="0.2">
      <c r="AV95" s="225"/>
      <c r="AW95" s="225"/>
      <c r="AX95" s="225"/>
      <c r="AY95" s="225"/>
      <c r="AZ95" s="225"/>
      <c r="BA95" s="225"/>
      <c r="BB95" s="225"/>
      <c r="BC95" s="225"/>
      <c r="BD95" s="225"/>
      <c r="BE95" s="225"/>
      <c r="BF95" s="225"/>
      <c r="BG95" s="225"/>
      <c r="BH95" s="225"/>
      <c r="BI95" s="225"/>
      <c r="BJ95" s="225"/>
      <c r="BK95" s="225"/>
    </row>
    <row r="96" spans="1:63" ht="15.75" customHeight="1" x14ac:dyDescent="0.2">
      <c r="AV96" s="225"/>
      <c r="AW96" s="225"/>
      <c r="AX96" s="225"/>
      <c r="AY96" s="225"/>
      <c r="AZ96" s="225"/>
      <c r="BA96" s="225"/>
      <c r="BB96" s="225"/>
      <c r="BC96" s="225"/>
      <c r="BD96" s="225"/>
      <c r="BE96" s="225"/>
      <c r="BF96" s="225"/>
      <c r="BG96" s="225"/>
      <c r="BH96" s="225"/>
      <c r="BI96" s="225"/>
      <c r="BJ96" s="225"/>
      <c r="BK96" s="225"/>
    </row>
    <row r="97" spans="48:63" ht="15.75" customHeight="1" x14ac:dyDescent="0.2">
      <c r="AV97" s="225"/>
      <c r="AW97" s="225"/>
      <c r="AX97" s="225"/>
      <c r="AY97" s="225"/>
      <c r="AZ97" s="225"/>
      <c r="BA97" s="225"/>
      <c r="BB97" s="225"/>
      <c r="BC97" s="225"/>
      <c r="BD97" s="225"/>
      <c r="BE97" s="225"/>
      <c r="BF97" s="225"/>
      <c r="BG97" s="225"/>
      <c r="BH97" s="225"/>
      <c r="BI97" s="225"/>
      <c r="BJ97" s="225"/>
      <c r="BK97" s="225"/>
    </row>
    <row r="98" spans="48:63" ht="15.75" customHeight="1" x14ac:dyDescent="0.2">
      <c r="AV98" s="225"/>
      <c r="AW98" s="225"/>
      <c r="AX98" s="225"/>
      <c r="AY98" s="225"/>
      <c r="AZ98" s="225"/>
      <c r="BA98" s="225"/>
      <c r="BB98" s="225"/>
      <c r="BC98" s="225"/>
      <c r="BD98" s="225"/>
      <c r="BE98" s="225"/>
      <c r="BF98" s="225"/>
      <c r="BG98" s="225"/>
      <c r="BH98" s="225"/>
      <c r="BI98" s="225"/>
      <c r="BJ98" s="225"/>
      <c r="BK98" s="225"/>
    </row>
    <row r="99" spans="48:63" ht="15.75" customHeight="1" x14ac:dyDescent="0.2">
      <c r="AV99" s="225"/>
      <c r="AW99" s="225"/>
      <c r="AX99" s="225"/>
      <c r="AY99" s="225"/>
      <c r="AZ99" s="225"/>
      <c r="BA99" s="225"/>
      <c r="BB99" s="225"/>
      <c r="BC99" s="225"/>
      <c r="BD99" s="225"/>
      <c r="BE99" s="225"/>
      <c r="BF99" s="225"/>
      <c r="BG99" s="225"/>
      <c r="BH99" s="225"/>
      <c r="BI99" s="225"/>
      <c r="BJ99" s="225"/>
      <c r="BK99" s="225"/>
    </row>
    <row r="100" spans="48:63" ht="15.75" customHeight="1" x14ac:dyDescent="0.2">
      <c r="AV100" s="225"/>
      <c r="AW100" s="225"/>
      <c r="AX100" s="225"/>
      <c r="AY100" s="225"/>
      <c r="AZ100" s="225"/>
      <c r="BA100" s="225"/>
      <c r="BB100" s="225"/>
      <c r="BC100" s="225"/>
      <c r="BD100" s="225"/>
      <c r="BE100" s="225"/>
      <c r="BF100" s="225"/>
      <c r="BG100" s="225"/>
      <c r="BH100" s="225"/>
      <c r="BI100" s="225"/>
      <c r="BJ100" s="225"/>
      <c r="BK100" s="225"/>
    </row>
    <row r="101" spans="48:63" ht="15.75" customHeight="1" x14ac:dyDescent="0.2">
      <c r="AV101" s="225"/>
      <c r="AW101" s="225"/>
      <c r="AX101" s="225"/>
      <c r="AY101" s="225"/>
      <c r="AZ101" s="225"/>
      <c r="BA101" s="225"/>
      <c r="BB101" s="225"/>
      <c r="BC101" s="225"/>
      <c r="BD101" s="225"/>
      <c r="BE101" s="225"/>
      <c r="BF101" s="225"/>
      <c r="BG101" s="225"/>
      <c r="BH101" s="225"/>
      <c r="BI101" s="225"/>
      <c r="BJ101" s="225"/>
      <c r="BK101" s="225"/>
    </row>
    <row r="102" spans="48:63" ht="15.75" customHeight="1" x14ac:dyDescent="0.2">
      <c r="AV102" s="225"/>
      <c r="AW102" s="225"/>
      <c r="AX102" s="225"/>
      <c r="AY102" s="225"/>
      <c r="AZ102" s="225"/>
      <c r="BA102" s="225"/>
      <c r="BB102" s="225"/>
      <c r="BC102" s="225"/>
      <c r="BD102" s="225"/>
      <c r="BE102" s="225"/>
      <c r="BF102" s="225"/>
      <c r="BG102" s="225"/>
      <c r="BH102" s="225"/>
      <c r="BI102" s="225"/>
      <c r="BJ102" s="225"/>
      <c r="BK102" s="225"/>
    </row>
    <row r="103" spans="48:63" ht="15.75" customHeight="1" x14ac:dyDescent="0.2">
      <c r="AV103" s="225"/>
      <c r="AW103" s="225"/>
      <c r="AX103" s="225"/>
      <c r="AY103" s="225"/>
      <c r="AZ103" s="225"/>
      <c r="BA103" s="225"/>
      <c r="BB103" s="225"/>
      <c r="BC103" s="225"/>
      <c r="BD103" s="225"/>
      <c r="BE103" s="225"/>
      <c r="BF103" s="225"/>
      <c r="BG103" s="225"/>
      <c r="BH103" s="225"/>
      <c r="BI103" s="225"/>
      <c r="BJ103" s="225"/>
      <c r="BK103" s="225"/>
    </row>
    <row r="104" spans="48:63" ht="15.75" customHeight="1" x14ac:dyDescent="0.2">
      <c r="AV104" s="225"/>
      <c r="AW104" s="225"/>
      <c r="AX104" s="225"/>
      <c r="AY104" s="225"/>
      <c r="AZ104" s="225"/>
      <c r="BA104" s="225"/>
      <c r="BB104" s="225"/>
      <c r="BC104" s="225"/>
      <c r="BD104" s="225"/>
      <c r="BE104" s="225"/>
      <c r="BF104" s="225"/>
      <c r="BG104" s="225"/>
      <c r="BH104" s="225"/>
      <c r="BI104" s="225"/>
      <c r="BJ104" s="225"/>
      <c r="BK104" s="225"/>
    </row>
    <row r="105" spans="48:63" ht="15.75" customHeight="1" x14ac:dyDescent="0.2">
      <c r="AV105" s="225"/>
      <c r="AW105" s="225"/>
      <c r="AX105" s="225"/>
      <c r="AY105" s="225"/>
      <c r="AZ105" s="225"/>
      <c r="BA105" s="225"/>
      <c r="BB105" s="225"/>
      <c r="BC105" s="225"/>
      <c r="BD105" s="225"/>
      <c r="BE105" s="225"/>
      <c r="BF105" s="225"/>
      <c r="BG105" s="225"/>
      <c r="BH105" s="225"/>
      <c r="BI105" s="225"/>
      <c r="BJ105" s="225"/>
      <c r="BK105" s="225"/>
    </row>
    <row r="106" spans="48:63" ht="15.75" customHeight="1" x14ac:dyDescent="0.2">
      <c r="AV106" s="225"/>
      <c r="AW106" s="225"/>
      <c r="AX106" s="225"/>
      <c r="AY106" s="225"/>
      <c r="AZ106" s="225"/>
      <c r="BA106" s="225"/>
      <c r="BB106" s="225"/>
      <c r="BC106" s="225"/>
      <c r="BD106" s="225"/>
      <c r="BE106" s="225"/>
      <c r="BF106" s="225"/>
      <c r="BG106" s="225"/>
      <c r="BH106" s="225"/>
      <c r="BI106" s="225"/>
      <c r="BJ106" s="225"/>
      <c r="BK106" s="225"/>
    </row>
    <row r="107" spans="48:63" ht="15.75" customHeight="1" x14ac:dyDescent="0.2">
      <c r="AV107" s="225"/>
      <c r="AW107" s="225"/>
      <c r="AX107" s="225"/>
      <c r="AY107" s="225"/>
      <c r="AZ107" s="225"/>
      <c r="BA107" s="225"/>
      <c r="BB107" s="225"/>
      <c r="BC107" s="225"/>
      <c r="BD107" s="225"/>
      <c r="BE107" s="225"/>
      <c r="BF107" s="225"/>
      <c r="BG107" s="225"/>
      <c r="BH107" s="225"/>
      <c r="BI107" s="225"/>
      <c r="BJ107" s="225"/>
      <c r="BK107" s="225"/>
    </row>
    <row r="108" spans="48:63" ht="15.75" customHeight="1" x14ac:dyDescent="0.2">
      <c r="AV108" s="225"/>
      <c r="AW108" s="225"/>
      <c r="AX108" s="225"/>
      <c r="AY108" s="225"/>
      <c r="AZ108" s="225"/>
      <c r="BA108" s="225"/>
      <c r="BB108" s="225"/>
      <c r="BC108" s="225"/>
      <c r="BD108" s="225"/>
      <c r="BE108" s="225"/>
      <c r="BF108" s="225"/>
      <c r="BG108" s="225"/>
      <c r="BH108" s="225"/>
      <c r="BI108" s="225"/>
      <c r="BJ108" s="225"/>
      <c r="BK108" s="225"/>
    </row>
    <row r="109" spans="48:63" ht="15.75" customHeight="1" x14ac:dyDescent="0.2">
      <c r="AV109" s="225"/>
      <c r="AW109" s="225"/>
      <c r="AX109" s="225"/>
      <c r="AY109" s="225"/>
      <c r="AZ109" s="225"/>
      <c r="BA109" s="225"/>
      <c r="BB109" s="225"/>
      <c r="BC109" s="225"/>
      <c r="BD109" s="225"/>
      <c r="BE109" s="225"/>
      <c r="BF109" s="225"/>
      <c r="BG109" s="225"/>
      <c r="BH109" s="225"/>
      <c r="BI109" s="225"/>
      <c r="BJ109" s="225"/>
      <c r="BK109" s="225"/>
    </row>
    <row r="110" spans="48:63" ht="15.75" customHeight="1" x14ac:dyDescent="0.2">
      <c r="AV110" s="225"/>
      <c r="AW110" s="225"/>
      <c r="AX110" s="225"/>
      <c r="AY110" s="225"/>
      <c r="AZ110" s="225"/>
      <c r="BA110" s="225"/>
      <c r="BB110" s="225"/>
      <c r="BC110" s="225"/>
      <c r="BD110" s="225"/>
      <c r="BE110" s="225"/>
      <c r="BF110" s="225"/>
      <c r="BG110" s="225"/>
      <c r="BH110" s="225"/>
      <c r="BI110" s="225"/>
      <c r="BJ110" s="225"/>
      <c r="BK110" s="225"/>
    </row>
    <row r="111" spans="48:63" ht="15.75" customHeight="1" x14ac:dyDescent="0.2">
      <c r="AV111" s="225"/>
      <c r="AW111" s="225"/>
      <c r="AX111" s="225"/>
      <c r="AY111" s="225"/>
      <c r="AZ111" s="225"/>
      <c r="BA111" s="225"/>
      <c r="BB111" s="225"/>
      <c r="BC111" s="225"/>
      <c r="BD111" s="225"/>
      <c r="BE111" s="225"/>
      <c r="BF111" s="225"/>
      <c r="BG111" s="225"/>
      <c r="BH111" s="225"/>
      <c r="BI111" s="225"/>
      <c r="BJ111" s="225"/>
      <c r="BK111" s="225"/>
    </row>
    <row r="112" spans="48:63" ht="15.75" customHeight="1" x14ac:dyDescent="0.2">
      <c r="AV112" s="225"/>
      <c r="AW112" s="225"/>
      <c r="AX112" s="225"/>
      <c r="AY112" s="225"/>
      <c r="AZ112" s="225"/>
      <c r="BA112" s="225"/>
      <c r="BB112" s="225"/>
      <c r="BC112" s="225"/>
      <c r="BD112" s="225"/>
      <c r="BE112" s="225"/>
      <c r="BF112" s="225"/>
      <c r="BG112" s="225"/>
      <c r="BH112" s="225"/>
      <c r="BI112" s="225"/>
      <c r="BJ112" s="225"/>
      <c r="BK112" s="225"/>
    </row>
    <row r="113" spans="48:63" ht="15.75" customHeight="1" x14ac:dyDescent="0.2">
      <c r="AV113" s="225"/>
      <c r="AW113" s="225"/>
      <c r="AX113" s="225"/>
      <c r="AY113" s="225"/>
      <c r="AZ113" s="225"/>
      <c r="BA113" s="225"/>
      <c r="BB113" s="225"/>
      <c r="BC113" s="225"/>
      <c r="BD113" s="225"/>
      <c r="BE113" s="225"/>
      <c r="BF113" s="225"/>
      <c r="BG113" s="225"/>
      <c r="BH113" s="225"/>
      <c r="BI113" s="225"/>
      <c r="BJ113" s="225"/>
      <c r="BK113" s="225"/>
    </row>
    <row r="114" spans="48:63" ht="15.75" customHeight="1" x14ac:dyDescent="0.2">
      <c r="AV114" s="225"/>
      <c r="AW114" s="225"/>
      <c r="AX114" s="225"/>
      <c r="AY114" s="225"/>
      <c r="AZ114" s="225"/>
      <c r="BA114" s="225"/>
      <c r="BB114" s="225"/>
      <c r="BC114" s="225"/>
      <c r="BD114" s="225"/>
      <c r="BE114" s="225"/>
      <c r="BF114" s="225"/>
      <c r="BG114" s="225"/>
      <c r="BH114" s="225"/>
      <c r="BI114" s="225"/>
      <c r="BJ114" s="225"/>
      <c r="BK114" s="225"/>
    </row>
    <row r="115" spans="48:63" ht="15.75" customHeight="1" x14ac:dyDescent="0.2">
      <c r="AV115" s="225"/>
      <c r="AW115" s="225"/>
      <c r="AX115" s="225"/>
      <c r="AY115" s="225"/>
      <c r="AZ115" s="225"/>
      <c r="BA115" s="225"/>
      <c r="BB115" s="225"/>
      <c r="BC115" s="225"/>
      <c r="BD115" s="225"/>
      <c r="BE115" s="225"/>
      <c r="BF115" s="225"/>
      <c r="BG115" s="225"/>
      <c r="BH115" s="225"/>
      <c r="BI115" s="225"/>
      <c r="BJ115" s="225"/>
      <c r="BK115" s="225"/>
    </row>
    <row r="116" spans="48:63" ht="15.75" customHeight="1" x14ac:dyDescent="0.2">
      <c r="AV116" s="225"/>
      <c r="AW116" s="225"/>
      <c r="AX116" s="225"/>
      <c r="AY116" s="225"/>
      <c r="AZ116" s="225"/>
      <c r="BA116" s="225"/>
      <c r="BB116" s="225"/>
      <c r="BC116" s="225"/>
      <c r="BD116" s="225"/>
      <c r="BE116" s="225"/>
      <c r="BF116" s="225"/>
      <c r="BG116" s="225"/>
      <c r="BH116" s="225"/>
      <c r="BI116" s="225"/>
      <c r="BJ116" s="225"/>
      <c r="BK116" s="225"/>
    </row>
    <row r="117" spans="48:63" ht="15.75" customHeight="1" x14ac:dyDescent="0.2">
      <c r="AV117" s="225"/>
      <c r="AW117" s="225"/>
      <c r="AX117" s="225"/>
      <c r="AY117" s="225"/>
      <c r="AZ117" s="225"/>
      <c r="BA117" s="225"/>
      <c r="BB117" s="225"/>
      <c r="BC117" s="225"/>
      <c r="BD117" s="225"/>
      <c r="BE117" s="225"/>
      <c r="BF117" s="225"/>
      <c r="BG117" s="225"/>
      <c r="BH117" s="225"/>
      <c r="BI117" s="225"/>
      <c r="BJ117" s="225"/>
      <c r="BK117" s="225"/>
    </row>
    <row r="118" spans="48:63" ht="15.75" customHeight="1" x14ac:dyDescent="0.2">
      <c r="AV118" s="225"/>
      <c r="AW118" s="225"/>
      <c r="AX118" s="225"/>
      <c r="AY118" s="225"/>
      <c r="AZ118" s="225"/>
      <c r="BA118" s="225"/>
      <c r="BB118" s="225"/>
      <c r="BC118" s="225"/>
      <c r="BD118" s="225"/>
      <c r="BE118" s="225"/>
      <c r="BF118" s="225"/>
      <c r="BG118" s="225"/>
      <c r="BH118" s="225"/>
      <c r="BI118" s="225"/>
      <c r="BJ118" s="225"/>
      <c r="BK118" s="225"/>
    </row>
    <row r="119" spans="48:63" ht="15.75" customHeight="1" x14ac:dyDescent="0.2">
      <c r="AV119" s="225"/>
      <c r="AW119" s="225"/>
      <c r="AX119" s="225"/>
      <c r="AY119" s="225"/>
      <c r="AZ119" s="225"/>
      <c r="BA119" s="225"/>
      <c r="BB119" s="225"/>
      <c r="BC119" s="225"/>
      <c r="BD119" s="225"/>
      <c r="BE119" s="225"/>
      <c r="BF119" s="225"/>
      <c r="BG119" s="225"/>
      <c r="BH119" s="225"/>
      <c r="BI119" s="225"/>
      <c r="BJ119" s="225"/>
      <c r="BK119" s="225"/>
    </row>
    <row r="120" spans="48:63" ht="15.75" customHeight="1" x14ac:dyDescent="0.2">
      <c r="AV120" s="225"/>
      <c r="AW120" s="225"/>
      <c r="AX120" s="225"/>
      <c r="AY120" s="225"/>
      <c r="AZ120" s="225"/>
      <c r="BA120" s="225"/>
      <c r="BB120" s="225"/>
      <c r="BC120" s="225"/>
      <c r="BD120" s="225"/>
      <c r="BE120" s="225"/>
      <c r="BF120" s="225"/>
      <c r="BG120" s="225"/>
      <c r="BH120" s="225"/>
      <c r="BI120" s="225"/>
      <c r="BJ120" s="225"/>
      <c r="BK120" s="225"/>
    </row>
    <row r="121" spans="48:63" ht="15.75" customHeight="1" x14ac:dyDescent="0.2">
      <c r="AV121" s="225"/>
      <c r="AW121" s="225"/>
      <c r="AX121" s="225"/>
      <c r="AY121" s="225"/>
      <c r="AZ121" s="225"/>
      <c r="BA121" s="225"/>
      <c r="BB121" s="225"/>
      <c r="BC121" s="225"/>
      <c r="BD121" s="225"/>
      <c r="BE121" s="225"/>
      <c r="BF121" s="225"/>
      <c r="BG121" s="225"/>
      <c r="BH121" s="225"/>
      <c r="BI121" s="225"/>
      <c r="BJ121" s="225"/>
      <c r="BK121" s="225"/>
    </row>
    <row r="122" spans="48:63" ht="15.75" customHeight="1" x14ac:dyDescent="0.2">
      <c r="AV122" s="225"/>
      <c r="AW122" s="225"/>
      <c r="AX122" s="225"/>
      <c r="AY122" s="225"/>
      <c r="AZ122" s="225"/>
      <c r="BA122" s="225"/>
      <c r="BB122" s="225"/>
      <c r="BC122" s="225"/>
      <c r="BD122" s="225"/>
      <c r="BE122" s="225"/>
      <c r="BF122" s="225"/>
      <c r="BG122" s="225"/>
      <c r="BH122" s="225"/>
      <c r="BI122" s="225"/>
      <c r="BJ122" s="225"/>
      <c r="BK122" s="225"/>
    </row>
    <row r="123" spans="48:63" ht="15.75" customHeight="1" x14ac:dyDescent="0.2">
      <c r="AV123" s="225"/>
      <c r="AW123" s="225"/>
      <c r="AX123" s="225"/>
      <c r="AY123" s="225"/>
      <c r="AZ123" s="225"/>
      <c r="BA123" s="225"/>
      <c r="BB123" s="225"/>
      <c r="BC123" s="225"/>
      <c r="BD123" s="225"/>
      <c r="BE123" s="225"/>
      <c r="BF123" s="225"/>
      <c r="BG123" s="225"/>
      <c r="BH123" s="225"/>
      <c r="BI123" s="225"/>
      <c r="BJ123" s="225"/>
      <c r="BK123" s="225"/>
    </row>
    <row r="124" spans="48:63" ht="15.75" customHeight="1" x14ac:dyDescent="0.2">
      <c r="AV124" s="225"/>
      <c r="AW124" s="225"/>
      <c r="AX124" s="225"/>
      <c r="AY124" s="225"/>
      <c r="AZ124" s="225"/>
      <c r="BA124" s="225"/>
      <c r="BB124" s="225"/>
      <c r="BC124" s="225"/>
      <c r="BD124" s="225"/>
      <c r="BE124" s="225"/>
      <c r="BF124" s="225"/>
      <c r="BG124" s="225"/>
      <c r="BH124" s="225"/>
      <c r="BI124" s="225"/>
      <c r="BJ124" s="225"/>
      <c r="BK124" s="225"/>
    </row>
    <row r="125" spans="48:63" ht="15.75" customHeight="1" x14ac:dyDescent="0.2">
      <c r="AV125" s="225"/>
      <c r="AW125" s="225"/>
      <c r="AX125" s="225"/>
      <c r="AY125" s="225"/>
      <c r="AZ125" s="225"/>
      <c r="BA125" s="225"/>
      <c r="BB125" s="225"/>
      <c r="BC125" s="225"/>
      <c r="BD125" s="225"/>
      <c r="BE125" s="225"/>
      <c r="BF125" s="225"/>
      <c r="BG125" s="225"/>
      <c r="BH125" s="225"/>
      <c r="BI125" s="225"/>
      <c r="BJ125" s="225"/>
      <c r="BK125" s="225"/>
    </row>
    <row r="126" spans="48:63" ht="15.75" customHeight="1" x14ac:dyDescent="0.2">
      <c r="AV126" s="225"/>
      <c r="AW126" s="225"/>
      <c r="AX126" s="225"/>
      <c r="AY126" s="225"/>
      <c r="AZ126" s="225"/>
      <c r="BA126" s="225"/>
      <c r="BB126" s="225"/>
      <c r="BC126" s="225"/>
      <c r="BD126" s="225"/>
      <c r="BE126" s="225"/>
      <c r="BF126" s="225"/>
      <c r="BG126" s="225"/>
      <c r="BH126" s="225"/>
      <c r="BI126" s="225"/>
      <c r="BJ126" s="225"/>
      <c r="BK126" s="225"/>
    </row>
    <row r="127" spans="48:63" ht="15.75" customHeight="1" x14ac:dyDescent="0.2">
      <c r="AV127" s="225"/>
      <c r="AW127" s="225"/>
      <c r="AX127" s="225"/>
      <c r="AY127" s="225"/>
      <c r="AZ127" s="225"/>
      <c r="BA127" s="225"/>
      <c r="BB127" s="225"/>
      <c r="BC127" s="225"/>
      <c r="BD127" s="225"/>
      <c r="BE127" s="225"/>
      <c r="BF127" s="225"/>
      <c r="BG127" s="225"/>
      <c r="BH127" s="225"/>
      <c r="BI127" s="225"/>
      <c r="BJ127" s="225"/>
      <c r="BK127" s="225"/>
    </row>
    <row r="128" spans="48:63" ht="15.75" customHeight="1" x14ac:dyDescent="0.2">
      <c r="AV128" s="225"/>
      <c r="AW128" s="225"/>
      <c r="AX128" s="225"/>
      <c r="AY128" s="225"/>
      <c r="AZ128" s="225"/>
      <c r="BA128" s="225"/>
      <c r="BB128" s="225"/>
      <c r="BC128" s="225"/>
      <c r="BD128" s="225"/>
      <c r="BE128" s="225"/>
      <c r="BF128" s="225"/>
      <c r="BG128" s="225"/>
      <c r="BH128" s="225"/>
      <c r="BI128" s="225"/>
      <c r="BJ128" s="225"/>
      <c r="BK128" s="225"/>
    </row>
    <row r="129" spans="48:63" ht="15.75" customHeight="1" x14ac:dyDescent="0.2">
      <c r="AV129" s="225"/>
      <c r="AW129" s="225"/>
      <c r="AX129" s="225"/>
      <c r="AY129" s="225"/>
      <c r="AZ129" s="225"/>
      <c r="BA129" s="225"/>
      <c r="BB129" s="225"/>
      <c r="BC129" s="225"/>
      <c r="BD129" s="225"/>
      <c r="BE129" s="225"/>
      <c r="BF129" s="225"/>
      <c r="BG129" s="225"/>
      <c r="BH129" s="225"/>
      <c r="BI129" s="225"/>
      <c r="BJ129" s="225"/>
      <c r="BK129" s="225"/>
    </row>
    <row r="130" spans="48:63" ht="15.75" customHeight="1" x14ac:dyDescent="0.2">
      <c r="AV130" s="225"/>
      <c r="AW130" s="225"/>
      <c r="AX130" s="225"/>
      <c r="AY130" s="225"/>
      <c r="AZ130" s="225"/>
      <c r="BA130" s="225"/>
      <c r="BB130" s="225"/>
      <c r="BC130" s="225"/>
      <c r="BD130" s="225"/>
      <c r="BE130" s="225"/>
      <c r="BF130" s="225"/>
      <c r="BG130" s="225"/>
      <c r="BH130" s="225"/>
      <c r="BI130" s="225"/>
      <c r="BJ130" s="225"/>
      <c r="BK130" s="225"/>
    </row>
    <row r="131" spans="48:63" ht="15.75" customHeight="1" x14ac:dyDescent="0.2">
      <c r="AV131" s="225"/>
      <c r="AW131" s="225"/>
      <c r="AX131" s="225"/>
      <c r="AY131" s="225"/>
      <c r="AZ131" s="225"/>
      <c r="BA131" s="225"/>
      <c r="BB131" s="225"/>
      <c r="BC131" s="225"/>
      <c r="BD131" s="225"/>
      <c r="BE131" s="225"/>
      <c r="BF131" s="225"/>
      <c r="BG131" s="225"/>
      <c r="BH131" s="225"/>
      <c r="BI131" s="225"/>
      <c r="BJ131" s="225"/>
      <c r="BK131" s="225"/>
    </row>
    <row r="132" spans="48:63" ht="15.75" customHeight="1" x14ac:dyDescent="0.2">
      <c r="AV132" s="225"/>
      <c r="AW132" s="225"/>
      <c r="AX132" s="225"/>
      <c r="AY132" s="225"/>
      <c r="AZ132" s="225"/>
      <c r="BA132" s="225"/>
      <c r="BB132" s="225"/>
      <c r="BC132" s="225"/>
      <c r="BD132" s="225"/>
      <c r="BE132" s="225"/>
      <c r="BF132" s="225"/>
      <c r="BG132" s="225"/>
      <c r="BH132" s="225"/>
      <c r="BI132" s="225"/>
      <c r="BJ132" s="225"/>
      <c r="BK132" s="225"/>
    </row>
    <row r="133" spans="48:63" ht="15.75" customHeight="1" x14ac:dyDescent="0.2">
      <c r="AV133" s="225"/>
      <c r="AW133" s="225"/>
      <c r="AX133" s="225"/>
      <c r="AY133" s="225"/>
      <c r="AZ133" s="225"/>
      <c r="BA133" s="225"/>
      <c r="BB133" s="225"/>
      <c r="BC133" s="225"/>
      <c r="BD133" s="225"/>
      <c r="BE133" s="225"/>
      <c r="BF133" s="225"/>
      <c r="BG133" s="225"/>
      <c r="BH133" s="225"/>
      <c r="BI133" s="225"/>
      <c r="BJ133" s="225"/>
      <c r="BK133" s="225"/>
    </row>
    <row r="134" spans="48:63" ht="15.75" customHeight="1" x14ac:dyDescent="0.2">
      <c r="AV134" s="225"/>
      <c r="AW134" s="225"/>
      <c r="AX134" s="225"/>
      <c r="AY134" s="225"/>
      <c r="AZ134" s="225"/>
      <c r="BA134" s="225"/>
      <c r="BB134" s="225"/>
      <c r="BC134" s="225"/>
      <c r="BD134" s="225"/>
      <c r="BE134" s="225"/>
      <c r="BF134" s="225"/>
      <c r="BG134" s="225"/>
      <c r="BH134" s="225"/>
      <c r="BI134" s="225"/>
      <c r="BJ134" s="225"/>
      <c r="BK134" s="225"/>
    </row>
    <row r="135" spans="48:63" ht="15.75" customHeight="1" x14ac:dyDescent="0.2">
      <c r="AV135" s="225"/>
      <c r="AW135" s="225"/>
      <c r="AX135" s="225"/>
      <c r="AY135" s="225"/>
      <c r="AZ135" s="225"/>
      <c r="BA135" s="225"/>
      <c r="BB135" s="225"/>
      <c r="BC135" s="225"/>
      <c r="BD135" s="225"/>
      <c r="BE135" s="225"/>
      <c r="BF135" s="225"/>
      <c r="BG135" s="225"/>
      <c r="BH135" s="225"/>
      <c r="BI135" s="225"/>
      <c r="BJ135" s="225"/>
      <c r="BK135" s="225"/>
    </row>
    <row r="136" spans="48:63" ht="15.75" customHeight="1" x14ac:dyDescent="0.2">
      <c r="AV136" s="225"/>
      <c r="AW136" s="225"/>
      <c r="AX136" s="225"/>
      <c r="AY136" s="225"/>
      <c r="AZ136" s="225"/>
      <c r="BA136" s="225"/>
      <c r="BB136" s="225"/>
      <c r="BC136" s="225"/>
      <c r="BD136" s="225"/>
      <c r="BE136" s="225"/>
      <c r="BF136" s="225"/>
      <c r="BG136" s="225"/>
      <c r="BH136" s="225"/>
      <c r="BI136" s="225"/>
      <c r="BJ136" s="225"/>
      <c r="BK136" s="225"/>
    </row>
    <row r="137" spans="48:63" ht="15.75" customHeight="1" x14ac:dyDescent="0.2">
      <c r="AV137" s="225"/>
      <c r="AW137" s="225"/>
      <c r="AX137" s="225"/>
      <c r="AY137" s="225"/>
      <c r="AZ137" s="225"/>
      <c r="BA137" s="225"/>
      <c r="BB137" s="225"/>
      <c r="BC137" s="225"/>
      <c r="BD137" s="225"/>
      <c r="BE137" s="225"/>
      <c r="BF137" s="225"/>
      <c r="BG137" s="225"/>
      <c r="BH137" s="225"/>
      <c r="BI137" s="225"/>
      <c r="BJ137" s="225"/>
      <c r="BK137" s="225"/>
    </row>
    <row r="138" spans="48:63" ht="15.75" customHeight="1" x14ac:dyDescent="0.2">
      <c r="AV138" s="225"/>
      <c r="AW138" s="225"/>
      <c r="AX138" s="225"/>
      <c r="AY138" s="225"/>
      <c r="AZ138" s="225"/>
      <c r="BA138" s="225"/>
      <c r="BB138" s="225"/>
      <c r="BC138" s="225"/>
      <c r="BD138" s="225"/>
      <c r="BE138" s="225"/>
      <c r="BF138" s="225"/>
      <c r="BG138" s="225"/>
      <c r="BH138" s="225"/>
      <c r="BI138" s="225"/>
      <c r="BJ138" s="225"/>
      <c r="BK138" s="225"/>
    </row>
    <row r="139" spans="48:63" ht="15.75" customHeight="1" x14ac:dyDescent="0.2">
      <c r="AV139" s="225"/>
      <c r="AW139" s="225"/>
      <c r="AX139" s="225"/>
      <c r="AY139" s="225"/>
      <c r="AZ139" s="225"/>
      <c r="BA139" s="225"/>
      <c r="BB139" s="225"/>
      <c r="BC139" s="225"/>
      <c r="BD139" s="225"/>
      <c r="BE139" s="225"/>
      <c r="BF139" s="225"/>
      <c r="BG139" s="225"/>
      <c r="BH139" s="225"/>
      <c r="BI139" s="225"/>
      <c r="BJ139" s="225"/>
      <c r="BK139" s="225"/>
    </row>
    <row r="140" spans="48:63" ht="15.75" customHeight="1" x14ac:dyDescent="0.2">
      <c r="AV140" s="225"/>
      <c r="AW140" s="225"/>
      <c r="AX140" s="225"/>
      <c r="AY140" s="225"/>
      <c r="AZ140" s="225"/>
      <c r="BA140" s="225"/>
      <c r="BB140" s="225"/>
      <c r="BC140" s="225"/>
      <c r="BD140" s="225"/>
      <c r="BE140" s="225"/>
      <c r="BF140" s="225"/>
      <c r="BG140" s="225"/>
      <c r="BH140" s="225"/>
      <c r="BI140" s="225"/>
      <c r="BJ140" s="225"/>
      <c r="BK140" s="225"/>
    </row>
    <row r="141" spans="48:63" ht="15.75" customHeight="1" x14ac:dyDescent="0.2">
      <c r="AV141" s="225"/>
      <c r="AW141" s="225"/>
      <c r="AX141" s="225"/>
      <c r="AY141" s="225"/>
      <c r="AZ141" s="225"/>
      <c r="BA141" s="225"/>
      <c r="BB141" s="225"/>
      <c r="BC141" s="225"/>
      <c r="BD141" s="225"/>
      <c r="BE141" s="225"/>
      <c r="BF141" s="225"/>
      <c r="BG141" s="225"/>
      <c r="BH141" s="225"/>
      <c r="BI141" s="225"/>
      <c r="BJ141" s="225"/>
      <c r="BK141" s="225"/>
    </row>
    <row r="142" spans="48:63" ht="15.75" customHeight="1" x14ac:dyDescent="0.2">
      <c r="AV142" s="225"/>
      <c r="AW142" s="225"/>
      <c r="AX142" s="225"/>
      <c r="AY142" s="225"/>
      <c r="AZ142" s="225"/>
      <c r="BA142" s="225"/>
      <c r="BB142" s="225"/>
      <c r="BC142" s="225"/>
      <c r="BD142" s="225"/>
      <c r="BE142" s="225"/>
      <c r="BF142" s="225"/>
      <c r="BG142" s="225"/>
      <c r="BH142" s="225"/>
      <c r="BI142" s="225"/>
      <c r="BJ142" s="225"/>
      <c r="BK142" s="225"/>
    </row>
    <row r="143" spans="48:63" ht="15.75" customHeight="1" x14ac:dyDescent="0.2">
      <c r="AV143" s="225"/>
      <c r="AW143" s="225"/>
      <c r="AX143" s="225"/>
      <c r="AY143" s="225"/>
      <c r="AZ143" s="225"/>
      <c r="BA143" s="225"/>
      <c r="BB143" s="225"/>
      <c r="BC143" s="225"/>
      <c r="BD143" s="225"/>
      <c r="BE143" s="225"/>
      <c r="BF143" s="225"/>
      <c r="BG143" s="225"/>
      <c r="BH143" s="225"/>
      <c r="BI143" s="225"/>
      <c r="BJ143" s="225"/>
      <c r="BK143" s="225"/>
    </row>
    <row r="144" spans="48:63" ht="15.75" customHeight="1" x14ac:dyDescent="0.2">
      <c r="AV144" s="225"/>
      <c r="AW144" s="225"/>
      <c r="AX144" s="225"/>
      <c r="AY144" s="225"/>
      <c r="AZ144" s="225"/>
      <c r="BA144" s="225"/>
      <c r="BB144" s="225"/>
      <c r="BC144" s="225"/>
      <c r="BD144" s="225"/>
      <c r="BE144" s="225"/>
      <c r="BF144" s="225"/>
      <c r="BG144" s="225"/>
      <c r="BH144" s="225"/>
      <c r="BI144" s="225"/>
      <c r="BJ144" s="225"/>
      <c r="BK144" s="225"/>
    </row>
    <row r="145" spans="48:63" ht="15.75" customHeight="1" x14ac:dyDescent="0.2">
      <c r="AV145" s="225"/>
      <c r="AW145" s="225"/>
      <c r="AX145" s="225"/>
      <c r="AY145" s="225"/>
      <c r="AZ145" s="225"/>
      <c r="BA145" s="225"/>
      <c r="BB145" s="225"/>
      <c r="BC145" s="225"/>
      <c r="BD145" s="225"/>
      <c r="BE145" s="225"/>
      <c r="BF145" s="225"/>
      <c r="BG145" s="225"/>
      <c r="BH145" s="225"/>
      <c r="BI145" s="225"/>
      <c r="BJ145" s="225"/>
      <c r="BK145" s="225"/>
    </row>
    <row r="146" spans="48:63" ht="15.75" customHeight="1" x14ac:dyDescent="0.2">
      <c r="AV146" s="225"/>
      <c r="AW146" s="225"/>
      <c r="AX146" s="225"/>
      <c r="AY146" s="225"/>
      <c r="AZ146" s="225"/>
      <c r="BA146" s="225"/>
      <c r="BB146" s="225"/>
      <c r="BC146" s="225"/>
      <c r="BD146" s="225"/>
      <c r="BE146" s="225"/>
      <c r="BF146" s="225"/>
      <c r="BG146" s="225"/>
      <c r="BH146" s="225"/>
      <c r="BI146" s="225"/>
      <c r="BJ146" s="225"/>
      <c r="BK146" s="225"/>
    </row>
    <row r="147" spans="48:63" ht="15.75" customHeight="1" x14ac:dyDescent="0.2">
      <c r="AV147" s="225"/>
      <c r="AW147" s="225"/>
      <c r="AX147" s="225"/>
      <c r="AY147" s="225"/>
      <c r="AZ147" s="225"/>
      <c r="BA147" s="225"/>
      <c r="BB147" s="225"/>
      <c r="BC147" s="225"/>
      <c r="BD147" s="225"/>
      <c r="BE147" s="225"/>
      <c r="BF147" s="225"/>
      <c r="BG147" s="225"/>
      <c r="BH147" s="225"/>
      <c r="BI147" s="225"/>
      <c r="BJ147" s="225"/>
      <c r="BK147" s="225"/>
    </row>
    <row r="148" spans="48:63" ht="15.75" customHeight="1" x14ac:dyDescent="0.2">
      <c r="AV148" s="225"/>
      <c r="AW148" s="225"/>
      <c r="AX148" s="225"/>
      <c r="AY148" s="225"/>
      <c r="AZ148" s="225"/>
      <c r="BA148" s="225"/>
      <c r="BB148" s="225"/>
      <c r="BC148" s="225"/>
      <c r="BD148" s="225"/>
      <c r="BE148" s="225"/>
      <c r="BF148" s="225"/>
      <c r="BG148" s="225"/>
      <c r="BH148" s="225"/>
      <c r="BI148" s="225"/>
      <c r="BJ148" s="225"/>
      <c r="BK148" s="225"/>
    </row>
    <row r="149" spans="48:63" ht="15.75" customHeight="1" x14ac:dyDescent="0.2">
      <c r="AV149" s="225"/>
      <c r="AW149" s="225"/>
      <c r="AX149" s="225"/>
      <c r="AY149" s="225"/>
      <c r="AZ149" s="225"/>
      <c r="BA149" s="225"/>
      <c r="BB149" s="225"/>
      <c r="BC149" s="225"/>
      <c r="BD149" s="225"/>
      <c r="BE149" s="225"/>
      <c r="BF149" s="225"/>
      <c r="BG149" s="225"/>
      <c r="BH149" s="225"/>
      <c r="BI149" s="225"/>
      <c r="BJ149" s="225"/>
      <c r="BK149" s="225"/>
    </row>
    <row r="150" spans="48:63" ht="15.75" customHeight="1" x14ac:dyDescent="0.2">
      <c r="AV150" s="225"/>
      <c r="AW150" s="225"/>
      <c r="AX150" s="225"/>
      <c r="AY150" s="225"/>
      <c r="AZ150" s="225"/>
      <c r="BA150" s="225"/>
      <c r="BB150" s="225"/>
      <c r="BC150" s="225"/>
      <c r="BD150" s="225"/>
      <c r="BE150" s="225"/>
      <c r="BF150" s="225"/>
      <c r="BG150" s="225"/>
      <c r="BH150" s="225"/>
      <c r="BI150" s="225"/>
      <c r="BJ150" s="225"/>
      <c r="BK150" s="225"/>
    </row>
    <row r="151" spans="48:63" ht="15.75" customHeight="1" x14ac:dyDescent="0.2">
      <c r="AV151" s="225"/>
      <c r="AW151" s="225"/>
      <c r="AX151" s="225"/>
      <c r="AY151" s="225"/>
      <c r="AZ151" s="225"/>
      <c r="BA151" s="225"/>
      <c r="BB151" s="225"/>
      <c r="BC151" s="225"/>
      <c r="BD151" s="225"/>
      <c r="BE151" s="225"/>
      <c r="BF151" s="225"/>
      <c r="BG151" s="225"/>
      <c r="BH151" s="225"/>
      <c r="BI151" s="225"/>
      <c r="BJ151" s="225"/>
      <c r="BK151" s="225"/>
    </row>
    <row r="152" spans="48:63" ht="15.75" customHeight="1" x14ac:dyDescent="0.2">
      <c r="AV152" s="225"/>
      <c r="AW152" s="225"/>
      <c r="AX152" s="225"/>
      <c r="AY152" s="225"/>
      <c r="AZ152" s="225"/>
      <c r="BA152" s="225"/>
      <c r="BB152" s="225"/>
      <c r="BC152" s="225"/>
      <c r="BD152" s="225"/>
      <c r="BE152" s="225"/>
      <c r="BF152" s="225"/>
      <c r="BG152" s="225"/>
      <c r="BH152" s="225"/>
      <c r="BI152" s="225"/>
      <c r="BJ152" s="225"/>
      <c r="BK152" s="225"/>
    </row>
    <row r="153" spans="48:63" ht="15.75" customHeight="1" x14ac:dyDescent="0.2">
      <c r="AV153" s="225"/>
      <c r="AW153" s="225"/>
      <c r="AX153" s="225"/>
      <c r="AY153" s="225"/>
      <c r="AZ153" s="225"/>
      <c r="BA153" s="225"/>
      <c r="BB153" s="225"/>
      <c r="BC153" s="225"/>
      <c r="BD153" s="225"/>
      <c r="BE153" s="225"/>
      <c r="BF153" s="225"/>
      <c r="BG153" s="225"/>
      <c r="BH153" s="225"/>
      <c r="BI153" s="225"/>
      <c r="BJ153" s="225"/>
      <c r="BK153" s="225"/>
    </row>
    <row r="154" spans="48:63" ht="15.75" customHeight="1" x14ac:dyDescent="0.2">
      <c r="AV154" s="225"/>
      <c r="AW154" s="225"/>
      <c r="AX154" s="225"/>
      <c r="AY154" s="225"/>
      <c r="AZ154" s="225"/>
      <c r="BA154" s="225"/>
      <c r="BB154" s="225"/>
      <c r="BC154" s="225"/>
      <c r="BD154" s="225"/>
      <c r="BE154" s="225"/>
      <c r="BF154" s="225"/>
      <c r="BG154" s="225"/>
      <c r="BH154" s="225"/>
      <c r="BI154" s="225"/>
      <c r="BJ154" s="225"/>
      <c r="BK154" s="225"/>
    </row>
    <row r="155" spans="48:63" ht="15.75" customHeight="1" x14ac:dyDescent="0.2">
      <c r="AV155" s="225"/>
      <c r="AW155" s="225"/>
      <c r="AX155" s="225"/>
      <c r="AY155" s="225"/>
      <c r="AZ155" s="225"/>
      <c r="BA155" s="225"/>
      <c r="BB155" s="225"/>
      <c r="BC155" s="225"/>
      <c r="BD155" s="225"/>
      <c r="BE155" s="225"/>
      <c r="BF155" s="225"/>
      <c r="BG155" s="225"/>
      <c r="BH155" s="225"/>
      <c r="BI155" s="225"/>
      <c r="BJ155" s="225"/>
      <c r="BK155" s="225"/>
    </row>
    <row r="156" spans="48:63" ht="15.75" customHeight="1" x14ac:dyDescent="0.2">
      <c r="AV156" s="225"/>
      <c r="AW156" s="225"/>
      <c r="AX156" s="225"/>
      <c r="AY156" s="225"/>
      <c r="AZ156" s="225"/>
      <c r="BA156" s="225"/>
      <c r="BB156" s="225"/>
      <c r="BC156" s="225"/>
      <c r="BD156" s="225"/>
      <c r="BE156" s="225"/>
      <c r="BF156" s="225"/>
      <c r="BG156" s="225"/>
      <c r="BH156" s="225"/>
      <c r="BI156" s="225"/>
      <c r="BJ156" s="225"/>
      <c r="BK156" s="225"/>
    </row>
    <row r="157" spans="48:63" ht="15.75" customHeight="1" x14ac:dyDescent="0.2">
      <c r="AV157" s="225"/>
      <c r="AW157" s="225"/>
      <c r="AX157" s="225"/>
      <c r="AY157" s="225"/>
      <c r="AZ157" s="225"/>
      <c r="BA157" s="225"/>
      <c r="BB157" s="225"/>
      <c r="BC157" s="225"/>
      <c r="BD157" s="225"/>
      <c r="BE157" s="225"/>
      <c r="BF157" s="225"/>
      <c r="BG157" s="225"/>
      <c r="BH157" s="225"/>
      <c r="BI157" s="225"/>
      <c r="BJ157" s="225"/>
      <c r="BK157" s="225"/>
    </row>
    <row r="158" spans="48:63" ht="15.75" customHeight="1" x14ac:dyDescent="0.2">
      <c r="AV158" s="225"/>
      <c r="AW158" s="225"/>
      <c r="AX158" s="225"/>
      <c r="AY158" s="225"/>
      <c r="AZ158" s="225"/>
      <c r="BA158" s="225"/>
      <c r="BB158" s="225"/>
      <c r="BC158" s="225"/>
      <c r="BD158" s="225"/>
      <c r="BE158" s="225"/>
      <c r="BF158" s="225"/>
      <c r="BG158" s="225"/>
      <c r="BH158" s="225"/>
      <c r="BI158" s="225"/>
      <c r="BJ158" s="225"/>
      <c r="BK158" s="225"/>
    </row>
    <row r="159" spans="48:63" ht="15.75" customHeight="1" x14ac:dyDescent="0.2">
      <c r="AV159" s="225"/>
      <c r="AW159" s="225"/>
      <c r="AX159" s="225"/>
      <c r="AY159" s="225"/>
      <c r="AZ159" s="225"/>
      <c r="BA159" s="225"/>
      <c r="BB159" s="225"/>
      <c r="BC159" s="225"/>
      <c r="BD159" s="225"/>
      <c r="BE159" s="225"/>
      <c r="BF159" s="225"/>
      <c r="BG159" s="225"/>
      <c r="BH159" s="225"/>
      <c r="BI159" s="225"/>
      <c r="BJ159" s="225"/>
      <c r="BK159" s="225"/>
    </row>
    <row r="160" spans="48:63" ht="15.75" customHeight="1" x14ac:dyDescent="0.2">
      <c r="AV160" s="225"/>
      <c r="AW160" s="225"/>
      <c r="AX160" s="225"/>
      <c r="AY160" s="225"/>
      <c r="AZ160" s="225"/>
      <c r="BA160" s="225"/>
      <c r="BB160" s="225"/>
      <c r="BC160" s="225"/>
      <c r="BD160" s="225"/>
      <c r="BE160" s="225"/>
      <c r="BF160" s="225"/>
      <c r="BG160" s="225"/>
      <c r="BH160" s="225"/>
      <c r="BI160" s="225"/>
      <c r="BJ160" s="225"/>
      <c r="BK160" s="225"/>
    </row>
    <row r="161" spans="48:63" ht="15.75" customHeight="1" x14ac:dyDescent="0.2">
      <c r="AV161" s="225"/>
      <c r="AW161" s="225"/>
      <c r="AX161" s="225"/>
      <c r="AY161" s="225"/>
      <c r="AZ161" s="225"/>
      <c r="BA161" s="225"/>
      <c r="BB161" s="225"/>
      <c r="BC161" s="225"/>
      <c r="BD161" s="225"/>
      <c r="BE161" s="225"/>
      <c r="BF161" s="225"/>
      <c r="BG161" s="225"/>
      <c r="BH161" s="225"/>
      <c r="BI161" s="225"/>
      <c r="BJ161" s="225"/>
      <c r="BK161" s="225"/>
    </row>
    <row r="162" spans="48:63" ht="15.75" customHeight="1" x14ac:dyDescent="0.2">
      <c r="AV162" s="225"/>
      <c r="AW162" s="225"/>
      <c r="AX162" s="225"/>
      <c r="AY162" s="225"/>
      <c r="AZ162" s="225"/>
      <c r="BA162" s="225"/>
      <c r="BB162" s="225"/>
      <c r="BC162" s="225"/>
      <c r="BD162" s="225"/>
      <c r="BE162" s="225"/>
      <c r="BF162" s="225"/>
      <c r="BG162" s="225"/>
      <c r="BH162" s="225"/>
      <c r="BI162" s="225"/>
      <c r="BJ162" s="225"/>
      <c r="BK162" s="225"/>
    </row>
    <row r="163" spans="48:63" ht="15.75" customHeight="1" x14ac:dyDescent="0.2">
      <c r="AV163" s="225"/>
      <c r="AW163" s="225"/>
      <c r="AX163" s="225"/>
      <c r="AY163" s="225"/>
      <c r="AZ163" s="225"/>
      <c r="BA163" s="225"/>
      <c r="BB163" s="225"/>
      <c r="BC163" s="225"/>
      <c r="BD163" s="225"/>
      <c r="BE163" s="225"/>
      <c r="BF163" s="225"/>
      <c r="BG163" s="225"/>
      <c r="BH163" s="225"/>
      <c r="BI163" s="225"/>
      <c r="BJ163" s="225"/>
      <c r="BK163" s="225"/>
    </row>
    <row r="164" spans="48:63" ht="15.75" customHeight="1" x14ac:dyDescent="0.2">
      <c r="AV164" s="225"/>
      <c r="AW164" s="225"/>
      <c r="AX164" s="225"/>
      <c r="AY164" s="225"/>
      <c r="AZ164" s="225"/>
      <c r="BA164" s="225"/>
      <c r="BB164" s="225"/>
      <c r="BC164" s="225"/>
      <c r="BD164" s="225"/>
      <c r="BE164" s="225"/>
      <c r="BF164" s="225"/>
      <c r="BG164" s="225"/>
      <c r="BH164" s="225"/>
      <c r="BI164" s="225"/>
      <c r="BJ164" s="225"/>
      <c r="BK164" s="225"/>
    </row>
    <row r="165" spans="48:63" ht="15.75" customHeight="1" x14ac:dyDescent="0.2">
      <c r="AV165" s="225"/>
      <c r="AW165" s="225"/>
      <c r="AX165" s="225"/>
      <c r="AY165" s="225"/>
      <c r="AZ165" s="225"/>
      <c r="BA165" s="225"/>
      <c r="BB165" s="225"/>
      <c r="BC165" s="225"/>
      <c r="BD165" s="225"/>
      <c r="BE165" s="225"/>
      <c r="BF165" s="225"/>
      <c r="BG165" s="225"/>
      <c r="BH165" s="225"/>
      <c r="BI165" s="225"/>
      <c r="BJ165" s="225"/>
      <c r="BK165" s="225"/>
    </row>
    <row r="166" spans="48:63" ht="15.75" customHeight="1" x14ac:dyDescent="0.2">
      <c r="AV166" s="225"/>
      <c r="AW166" s="225"/>
      <c r="AX166" s="225"/>
      <c r="AY166" s="225"/>
      <c r="AZ166" s="225"/>
      <c r="BA166" s="225"/>
      <c r="BB166" s="225"/>
      <c r="BC166" s="225"/>
      <c r="BD166" s="225"/>
      <c r="BE166" s="225"/>
      <c r="BF166" s="225"/>
      <c r="BG166" s="225"/>
      <c r="BH166" s="225"/>
      <c r="BI166" s="225"/>
      <c r="BJ166" s="225"/>
      <c r="BK166" s="225"/>
    </row>
    <row r="167" spans="48:63" ht="15.75" customHeight="1" x14ac:dyDescent="0.2">
      <c r="AV167" s="225"/>
      <c r="AW167" s="225"/>
      <c r="AX167" s="225"/>
      <c r="AY167" s="225"/>
      <c r="AZ167" s="225"/>
      <c r="BA167" s="225"/>
      <c r="BB167" s="225"/>
      <c r="BC167" s="225"/>
      <c r="BD167" s="225"/>
      <c r="BE167" s="225"/>
      <c r="BF167" s="225"/>
      <c r="BG167" s="225"/>
      <c r="BH167" s="225"/>
      <c r="BI167" s="225"/>
      <c r="BJ167" s="225"/>
      <c r="BK167" s="225"/>
    </row>
    <row r="168" spans="48:63" ht="15.75" customHeight="1" x14ac:dyDescent="0.2">
      <c r="AV168" s="225"/>
      <c r="AW168" s="225"/>
      <c r="AX168" s="225"/>
      <c r="AY168" s="225"/>
      <c r="AZ168" s="225"/>
      <c r="BA168" s="225"/>
      <c r="BB168" s="225"/>
      <c r="BC168" s="225"/>
      <c r="BD168" s="225"/>
      <c r="BE168" s="225"/>
      <c r="BF168" s="225"/>
      <c r="BG168" s="225"/>
      <c r="BH168" s="225"/>
      <c r="BI168" s="225"/>
      <c r="BJ168" s="225"/>
      <c r="BK168" s="225"/>
    </row>
    <row r="169" spans="48:63" ht="15.75" customHeight="1" x14ac:dyDescent="0.2">
      <c r="AV169" s="225"/>
      <c r="AW169" s="225"/>
      <c r="AX169" s="225"/>
      <c r="AY169" s="225"/>
      <c r="AZ169" s="225"/>
      <c r="BA169" s="225"/>
      <c r="BB169" s="225"/>
      <c r="BC169" s="225"/>
      <c r="BD169" s="225"/>
      <c r="BE169" s="225"/>
      <c r="BF169" s="225"/>
      <c r="BG169" s="225"/>
      <c r="BH169" s="225"/>
      <c r="BI169" s="225"/>
      <c r="BJ169" s="225"/>
      <c r="BK169" s="225"/>
    </row>
    <row r="170" spans="48:63" ht="15.75" customHeight="1" x14ac:dyDescent="0.2">
      <c r="AV170" s="225"/>
      <c r="AW170" s="225"/>
      <c r="AX170" s="225"/>
      <c r="AY170" s="225"/>
      <c r="AZ170" s="225"/>
      <c r="BA170" s="225"/>
      <c r="BB170" s="225"/>
      <c r="BC170" s="225"/>
      <c r="BD170" s="225"/>
      <c r="BE170" s="225"/>
      <c r="BF170" s="225"/>
      <c r="BG170" s="225"/>
      <c r="BH170" s="225"/>
      <c r="BI170" s="225"/>
      <c r="BJ170" s="225"/>
      <c r="BK170" s="225"/>
    </row>
    <row r="171" spans="48:63" ht="15.75" customHeight="1" x14ac:dyDescent="0.2">
      <c r="AV171" s="225"/>
      <c r="AW171" s="225"/>
      <c r="AX171" s="225"/>
      <c r="AY171" s="225"/>
      <c r="AZ171" s="225"/>
      <c r="BA171" s="225"/>
      <c r="BB171" s="225"/>
      <c r="BC171" s="225"/>
      <c r="BD171" s="225"/>
      <c r="BE171" s="225"/>
      <c r="BF171" s="225"/>
      <c r="BG171" s="225"/>
      <c r="BH171" s="225"/>
      <c r="BI171" s="225"/>
      <c r="BJ171" s="225"/>
      <c r="BK171" s="225"/>
    </row>
    <row r="172" spans="48:63" ht="15.75" customHeight="1" x14ac:dyDescent="0.2">
      <c r="AV172" s="225"/>
      <c r="AW172" s="225"/>
      <c r="AX172" s="225"/>
      <c r="AY172" s="225"/>
      <c r="AZ172" s="225"/>
      <c r="BA172" s="225"/>
      <c r="BB172" s="225"/>
      <c r="BC172" s="225"/>
      <c r="BD172" s="225"/>
      <c r="BE172" s="225"/>
      <c r="BF172" s="225"/>
      <c r="BG172" s="225"/>
      <c r="BH172" s="225"/>
      <c r="BI172" s="225"/>
      <c r="BJ172" s="225"/>
      <c r="BK172" s="225"/>
    </row>
    <row r="173" spans="48:63" ht="15.75" customHeight="1" x14ac:dyDescent="0.2">
      <c r="AV173" s="225"/>
      <c r="AW173" s="225"/>
      <c r="AX173" s="225"/>
      <c r="AY173" s="225"/>
      <c r="AZ173" s="225"/>
      <c r="BA173" s="225"/>
      <c r="BB173" s="225"/>
      <c r="BC173" s="225"/>
      <c r="BD173" s="225"/>
      <c r="BE173" s="225"/>
      <c r="BF173" s="225"/>
      <c r="BG173" s="225"/>
      <c r="BH173" s="225"/>
      <c r="BI173" s="225"/>
      <c r="BJ173" s="225"/>
      <c r="BK173" s="225"/>
    </row>
    <row r="174" spans="48:63" ht="15.75" customHeight="1" x14ac:dyDescent="0.2">
      <c r="AV174" s="225"/>
      <c r="AW174" s="225"/>
      <c r="AX174" s="225"/>
      <c r="AY174" s="225"/>
      <c r="AZ174" s="225"/>
      <c r="BA174" s="225"/>
      <c r="BB174" s="225"/>
      <c r="BC174" s="225"/>
      <c r="BD174" s="225"/>
      <c r="BE174" s="225"/>
      <c r="BF174" s="225"/>
      <c r="BG174" s="225"/>
      <c r="BH174" s="225"/>
      <c r="BI174" s="225"/>
      <c r="BJ174" s="225"/>
      <c r="BK174" s="225"/>
    </row>
    <row r="175" spans="48:63" ht="15.75" customHeight="1" x14ac:dyDescent="0.2">
      <c r="AV175" s="225"/>
      <c r="AW175" s="225"/>
      <c r="AX175" s="225"/>
      <c r="AY175" s="225"/>
      <c r="AZ175" s="225"/>
      <c r="BA175" s="225"/>
      <c r="BB175" s="225"/>
      <c r="BC175" s="225"/>
      <c r="BD175" s="225"/>
      <c r="BE175" s="225"/>
      <c r="BF175" s="225"/>
      <c r="BG175" s="225"/>
      <c r="BH175" s="225"/>
      <c r="BI175" s="225"/>
      <c r="BJ175" s="225"/>
      <c r="BK175" s="225"/>
    </row>
    <row r="176" spans="48:63" ht="15.75" customHeight="1" x14ac:dyDescent="0.2">
      <c r="AV176" s="225"/>
      <c r="AW176" s="225"/>
      <c r="AX176" s="225"/>
      <c r="AY176" s="225"/>
      <c r="AZ176" s="225"/>
      <c r="BA176" s="225"/>
      <c r="BB176" s="225"/>
      <c r="BC176" s="225"/>
      <c r="BD176" s="225"/>
      <c r="BE176" s="225"/>
      <c r="BF176" s="225"/>
      <c r="BG176" s="225"/>
      <c r="BH176" s="225"/>
      <c r="BI176" s="225"/>
      <c r="BJ176" s="225"/>
      <c r="BK176" s="225"/>
    </row>
    <row r="177" spans="48:63" ht="15.75" customHeight="1" x14ac:dyDescent="0.2">
      <c r="AV177" s="225"/>
      <c r="AW177" s="225"/>
      <c r="AX177" s="225"/>
      <c r="AY177" s="225"/>
      <c r="AZ177" s="225"/>
      <c r="BA177" s="225"/>
      <c r="BB177" s="225"/>
      <c r="BC177" s="225"/>
      <c r="BD177" s="225"/>
      <c r="BE177" s="225"/>
      <c r="BF177" s="225"/>
      <c r="BG177" s="225"/>
      <c r="BH177" s="225"/>
      <c r="BI177" s="225"/>
      <c r="BJ177" s="225"/>
      <c r="BK177" s="225"/>
    </row>
    <row r="178" spans="48:63" ht="15.75" customHeight="1" x14ac:dyDescent="0.2">
      <c r="AV178" s="225"/>
      <c r="AW178" s="225"/>
      <c r="AX178" s="225"/>
      <c r="AY178" s="225"/>
      <c r="AZ178" s="225"/>
      <c r="BA178" s="225"/>
      <c r="BB178" s="225"/>
      <c r="BC178" s="225"/>
      <c r="BD178" s="225"/>
      <c r="BE178" s="225"/>
      <c r="BF178" s="225"/>
      <c r="BG178" s="225"/>
      <c r="BH178" s="225"/>
      <c r="BI178" s="225"/>
      <c r="BJ178" s="225"/>
      <c r="BK178" s="225"/>
    </row>
    <row r="179" spans="48:63" ht="15.75" customHeight="1" x14ac:dyDescent="0.2">
      <c r="AV179" s="225"/>
      <c r="AW179" s="225"/>
      <c r="AX179" s="225"/>
      <c r="AY179" s="225"/>
      <c r="AZ179" s="225"/>
      <c r="BA179" s="225"/>
      <c r="BB179" s="225"/>
      <c r="BC179" s="225"/>
      <c r="BD179" s="225"/>
      <c r="BE179" s="225"/>
      <c r="BF179" s="225"/>
      <c r="BG179" s="225"/>
      <c r="BH179" s="225"/>
      <c r="BI179" s="225"/>
      <c r="BJ179" s="225"/>
      <c r="BK179" s="225"/>
    </row>
    <row r="180" spans="48:63" ht="15.75" customHeight="1" x14ac:dyDescent="0.2">
      <c r="AV180" s="225"/>
      <c r="AW180" s="225"/>
      <c r="AX180" s="225"/>
      <c r="AY180" s="225"/>
      <c r="AZ180" s="225"/>
      <c r="BA180" s="225"/>
      <c r="BB180" s="225"/>
      <c r="BC180" s="225"/>
      <c r="BD180" s="225"/>
      <c r="BE180" s="225"/>
      <c r="BF180" s="225"/>
      <c r="BG180" s="225"/>
      <c r="BH180" s="225"/>
      <c r="BI180" s="225"/>
      <c r="BJ180" s="225"/>
      <c r="BK180" s="225"/>
    </row>
    <row r="181" spans="48:63" ht="15.75" customHeight="1" x14ac:dyDescent="0.2">
      <c r="AV181" s="225"/>
      <c r="AW181" s="225"/>
      <c r="AX181" s="225"/>
      <c r="AY181" s="225"/>
      <c r="AZ181" s="225"/>
      <c r="BA181" s="225"/>
      <c r="BB181" s="225"/>
      <c r="BC181" s="225"/>
      <c r="BD181" s="225"/>
      <c r="BE181" s="225"/>
      <c r="BF181" s="225"/>
      <c r="BG181" s="225"/>
      <c r="BH181" s="225"/>
      <c r="BI181" s="225"/>
      <c r="BJ181" s="225"/>
      <c r="BK181" s="225"/>
    </row>
    <row r="182" spans="48:63" ht="15.75" customHeight="1" x14ac:dyDescent="0.2">
      <c r="AV182" s="225"/>
      <c r="AW182" s="225"/>
      <c r="AX182" s="225"/>
      <c r="AY182" s="225"/>
      <c r="AZ182" s="225"/>
      <c r="BA182" s="225"/>
      <c r="BB182" s="225"/>
      <c r="BC182" s="225"/>
      <c r="BD182" s="225"/>
      <c r="BE182" s="225"/>
      <c r="BF182" s="225"/>
      <c r="BG182" s="225"/>
      <c r="BH182" s="225"/>
      <c r="BI182" s="225"/>
      <c r="BJ182" s="225"/>
      <c r="BK182" s="225"/>
    </row>
    <row r="183" spans="48:63" ht="15.75" customHeight="1" x14ac:dyDescent="0.2">
      <c r="AV183" s="225"/>
      <c r="AW183" s="225"/>
      <c r="AX183" s="225"/>
      <c r="AY183" s="225"/>
      <c r="AZ183" s="225"/>
      <c r="BA183" s="225"/>
      <c r="BB183" s="225"/>
      <c r="BC183" s="225"/>
      <c r="BD183" s="225"/>
      <c r="BE183" s="225"/>
      <c r="BF183" s="225"/>
      <c r="BG183" s="225"/>
      <c r="BH183" s="225"/>
      <c r="BI183" s="225"/>
      <c r="BJ183" s="225"/>
      <c r="BK183" s="225"/>
    </row>
    <row r="184" spans="48:63" ht="15.75" customHeight="1" x14ac:dyDescent="0.2">
      <c r="AV184" s="225"/>
      <c r="AW184" s="225"/>
      <c r="AX184" s="225"/>
      <c r="AY184" s="225"/>
      <c r="AZ184" s="225"/>
      <c r="BA184" s="225"/>
      <c r="BB184" s="225"/>
      <c r="BC184" s="225"/>
      <c r="BD184" s="225"/>
      <c r="BE184" s="225"/>
      <c r="BF184" s="225"/>
      <c r="BG184" s="225"/>
      <c r="BH184" s="225"/>
      <c r="BI184" s="225"/>
      <c r="BJ184" s="225"/>
      <c r="BK184" s="225"/>
    </row>
    <row r="185" spans="48:63" ht="15.75" customHeight="1" x14ac:dyDescent="0.2">
      <c r="AV185" s="225"/>
      <c r="AW185" s="225"/>
      <c r="AX185" s="225"/>
      <c r="AY185" s="225"/>
      <c r="AZ185" s="225"/>
      <c r="BA185" s="225"/>
      <c r="BB185" s="225"/>
      <c r="BC185" s="225"/>
      <c r="BD185" s="225"/>
      <c r="BE185" s="225"/>
      <c r="BF185" s="225"/>
      <c r="BG185" s="225"/>
      <c r="BH185" s="225"/>
      <c r="BI185" s="225"/>
      <c r="BJ185" s="225"/>
      <c r="BK185" s="225"/>
    </row>
    <row r="186" spans="48:63" ht="15.75" customHeight="1" x14ac:dyDescent="0.2">
      <c r="AV186" s="225"/>
      <c r="AW186" s="225"/>
      <c r="AX186" s="225"/>
      <c r="AY186" s="225"/>
      <c r="AZ186" s="225"/>
      <c r="BA186" s="225"/>
      <c r="BB186" s="225"/>
      <c r="BC186" s="225"/>
      <c r="BD186" s="225"/>
      <c r="BE186" s="225"/>
      <c r="BF186" s="225"/>
      <c r="BG186" s="225"/>
      <c r="BH186" s="225"/>
      <c r="BI186" s="225"/>
      <c r="BJ186" s="225"/>
      <c r="BK186" s="225"/>
    </row>
    <row r="187" spans="48:63" ht="15.75" customHeight="1" x14ac:dyDescent="0.2">
      <c r="AV187" s="225"/>
      <c r="AW187" s="225"/>
      <c r="AX187" s="225"/>
      <c r="AY187" s="225"/>
      <c r="AZ187" s="225"/>
      <c r="BA187" s="225"/>
      <c r="BB187" s="225"/>
      <c r="BC187" s="225"/>
      <c r="BD187" s="225"/>
      <c r="BE187" s="225"/>
      <c r="BF187" s="225"/>
      <c r="BG187" s="225"/>
      <c r="BH187" s="225"/>
      <c r="BI187" s="225"/>
      <c r="BJ187" s="225"/>
      <c r="BK187" s="225"/>
    </row>
    <row r="188" spans="48:63" ht="15.75" customHeight="1" x14ac:dyDescent="0.2">
      <c r="AV188" s="225"/>
      <c r="AW188" s="225"/>
      <c r="AX188" s="225"/>
      <c r="AY188" s="225"/>
      <c r="AZ188" s="225"/>
      <c r="BA188" s="225"/>
      <c r="BB188" s="225"/>
      <c r="BC188" s="225"/>
      <c r="BD188" s="225"/>
      <c r="BE188" s="225"/>
      <c r="BF188" s="225"/>
      <c r="BG188" s="225"/>
      <c r="BH188" s="225"/>
      <c r="BI188" s="225"/>
      <c r="BJ188" s="225"/>
      <c r="BK188" s="225"/>
    </row>
    <row r="189" spans="48:63" ht="15.75" customHeight="1" x14ac:dyDescent="0.2">
      <c r="AV189" s="225"/>
      <c r="AW189" s="225"/>
      <c r="AX189" s="225"/>
      <c r="AY189" s="225"/>
      <c r="AZ189" s="225"/>
      <c r="BA189" s="225"/>
      <c r="BB189" s="225"/>
      <c r="BC189" s="225"/>
      <c r="BD189" s="225"/>
      <c r="BE189" s="225"/>
      <c r="BF189" s="225"/>
      <c r="BG189" s="225"/>
      <c r="BH189" s="225"/>
      <c r="BI189" s="225"/>
      <c r="BJ189" s="225"/>
      <c r="BK189" s="225"/>
    </row>
    <row r="190" spans="48:63" ht="15.75" customHeight="1" x14ac:dyDescent="0.2">
      <c r="AV190" s="225"/>
      <c r="AW190" s="225"/>
      <c r="AX190" s="225"/>
      <c r="AY190" s="225"/>
      <c r="AZ190" s="225"/>
      <c r="BA190" s="225"/>
      <c r="BB190" s="225"/>
      <c r="BC190" s="225"/>
      <c r="BD190" s="225"/>
      <c r="BE190" s="225"/>
      <c r="BF190" s="225"/>
      <c r="BG190" s="225"/>
      <c r="BH190" s="225"/>
      <c r="BI190" s="225"/>
      <c r="BJ190" s="225"/>
      <c r="BK190" s="225"/>
    </row>
    <row r="191" spans="48:63" ht="15.75" customHeight="1" x14ac:dyDescent="0.2">
      <c r="AV191" s="225"/>
      <c r="AW191" s="225"/>
      <c r="AX191" s="225"/>
      <c r="AY191" s="225"/>
      <c r="AZ191" s="225"/>
      <c r="BA191" s="225"/>
      <c r="BB191" s="225"/>
      <c r="BC191" s="225"/>
      <c r="BD191" s="225"/>
      <c r="BE191" s="225"/>
      <c r="BF191" s="225"/>
      <c r="BG191" s="225"/>
      <c r="BH191" s="225"/>
      <c r="BI191" s="225"/>
      <c r="BJ191" s="225"/>
      <c r="BK191" s="225"/>
    </row>
    <row r="192" spans="48:63" ht="15.75" customHeight="1" x14ac:dyDescent="0.2">
      <c r="AV192" s="225"/>
      <c r="AW192" s="225"/>
      <c r="AX192" s="225"/>
      <c r="AY192" s="225"/>
      <c r="AZ192" s="225"/>
      <c r="BA192" s="225"/>
      <c r="BB192" s="225"/>
      <c r="BC192" s="225"/>
      <c r="BD192" s="225"/>
      <c r="BE192" s="225"/>
      <c r="BF192" s="225"/>
      <c r="BG192" s="225"/>
      <c r="BH192" s="225"/>
      <c r="BI192" s="225"/>
      <c r="BJ192" s="225"/>
      <c r="BK192" s="225"/>
    </row>
    <row r="193" spans="48:63" ht="15.75" customHeight="1" x14ac:dyDescent="0.2">
      <c r="AV193" s="225"/>
      <c r="AW193" s="225"/>
      <c r="AX193" s="225"/>
      <c r="AY193" s="225"/>
      <c r="AZ193" s="225"/>
      <c r="BA193" s="225"/>
      <c r="BB193" s="225"/>
      <c r="BC193" s="225"/>
      <c r="BD193" s="225"/>
      <c r="BE193" s="225"/>
      <c r="BF193" s="225"/>
      <c r="BG193" s="225"/>
      <c r="BH193" s="225"/>
      <c r="BI193" s="225"/>
      <c r="BJ193" s="225"/>
      <c r="BK193" s="225"/>
    </row>
    <row r="194" spans="48:63" ht="15.75" customHeight="1" x14ac:dyDescent="0.2">
      <c r="AV194" s="225"/>
      <c r="AW194" s="225"/>
      <c r="AX194" s="225"/>
      <c r="AY194" s="225"/>
      <c r="AZ194" s="225"/>
      <c r="BA194" s="225"/>
      <c r="BB194" s="225"/>
      <c r="BC194" s="225"/>
      <c r="BD194" s="225"/>
      <c r="BE194" s="225"/>
      <c r="BF194" s="225"/>
      <c r="BG194" s="225"/>
      <c r="BH194" s="225"/>
      <c r="BI194" s="225"/>
      <c r="BJ194" s="225"/>
      <c r="BK194" s="225"/>
    </row>
    <row r="195" spans="48:63" ht="15.75" customHeight="1" x14ac:dyDescent="0.2">
      <c r="AV195" s="225"/>
      <c r="AW195" s="225"/>
      <c r="AX195" s="225"/>
      <c r="AY195" s="225"/>
      <c r="AZ195" s="225"/>
      <c r="BA195" s="225"/>
      <c r="BB195" s="225"/>
      <c r="BC195" s="225"/>
      <c r="BD195" s="225"/>
      <c r="BE195" s="225"/>
      <c r="BF195" s="225"/>
      <c r="BG195" s="225"/>
      <c r="BH195" s="225"/>
      <c r="BI195" s="225"/>
      <c r="BJ195" s="225"/>
      <c r="BK195" s="225"/>
    </row>
    <row r="196" spans="48:63" ht="15.75" customHeight="1" x14ac:dyDescent="0.2">
      <c r="AV196" s="225"/>
      <c r="AW196" s="225"/>
      <c r="AX196" s="225"/>
      <c r="AY196" s="225"/>
      <c r="AZ196" s="225"/>
      <c r="BA196" s="225"/>
      <c r="BB196" s="225"/>
      <c r="BC196" s="225"/>
      <c r="BD196" s="225"/>
      <c r="BE196" s="225"/>
      <c r="BF196" s="225"/>
      <c r="BG196" s="225"/>
      <c r="BH196" s="225"/>
      <c r="BI196" s="225"/>
      <c r="BJ196" s="225"/>
      <c r="BK196" s="225"/>
    </row>
    <row r="197" spans="48:63" ht="15.75" customHeight="1" x14ac:dyDescent="0.2">
      <c r="AV197" s="225"/>
      <c r="AW197" s="225"/>
      <c r="AX197" s="225"/>
      <c r="AY197" s="225"/>
      <c r="AZ197" s="225"/>
      <c r="BA197" s="225"/>
      <c r="BB197" s="225"/>
      <c r="BC197" s="225"/>
      <c r="BD197" s="225"/>
      <c r="BE197" s="225"/>
      <c r="BF197" s="225"/>
      <c r="BG197" s="225"/>
      <c r="BH197" s="225"/>
      <c r="BI197" s="225"/>
      <c r="BJ197" s="225"/>
      <c r="BK197" s="225"/>
    </row>
    <row r="198" spans="48:63" ht="15.75" customHeight="1" x14ac:dyDescent="0.2">
      <c r="AV198" s="225"/>
      <c r="AW198" s="225"/>
      <c r="AX198" s="225"/>
      <c r="AY198" s="225"/>
      <c r="AZ198" s="225"/>
      <c r="BA198" s="225"/>
      <c r="BB198" s="225"/>
      <c r="BC198" s="225"/>
      <c r="BD198" s="225"/>
      <c r="BE198" s="225"/>
      <c r="BF198" s="225"/>
      <c r="BG198" s="225"/>
      <c r="BH198" s="225"/>
      <c r="BI198" s="225"/>
      <c r="BJ198" s="225"/>
      <c r="BK198" s="225"/>
    </row>
    <row r="199" spans="48:63" ht="15.75" customHeight="1" x14ac:dyDescent="0.2">
      <c r="AV199" s="225"/>
      <c r="AW199" s="225"/>
      <c r="AX199" s="225"/>
      <c r="AY199" s="225"/>
      <c r="AZ199" s="225"/>
      <c r="BA199" s="225"/>
      <c r="BB199" s="225"/>
      <c r="BC199" s="225"/>
      <c r="BD199" s="225"/>
      <c r="BE199" s="225"/>
      <c r="BF199" s="225"/>
      <c r="BG199" s="225"/>
      <c r="BH199" s="225"/>
      <c r="BI199" s="225"/>
      <c r="BJ199" s="225"/>
      <c r="BK199" s="225"/>
    </row>
    <row r="200" spans="48:63" ht="15.75" customHeight="1" x14ac:dyDescent="0.2">
      <c r="AV200" s="225"/>
      <c r="AW200" s="225"/>
      <c r="AX200" s="225"/>
      <c r="AY200" s="225"/>
      <c r="AZ200" s="225"/>
      <c r="BA200" s="225"/>
      <c r="BB200" s="225"/>
      <c r="BC200" s="225"/>
      <c r="BD200" s="225"/>
      <c r="BE200" s="225"/>
      <c r="BF200" s="225"/>
      <c r="BG200" s="225"/>
      <c r="BH200" s="225"/>
      <c r="BI200" s="225"/>
      <c r="BJ200" s="225"/>
      <c r="BK200" s="225"/>
    </row>
    <row r="201" spans="48:63" ht="15.75" customHeight="1" x14ac:dyDescent="0.2">
      <c r="AV201" s="225"/>
      <c r="AW201" s="225"/>
      <c r="AX201" s="225"/>
      <c r="AY201" s="225"/>
      <c r="AZ201" s="225"/>
      <c r="BA201" s="225"/>
      <c r="BB201" s="225"/>
      <c r="BC201" s="225"/>
      <c r="BD201" s="225"/>
      <c r="BE201" s="225"/>
      <c r="BF201" s="225"/>
      <c r="BG201" s="225"/>
      <c r="BH201" s="225"/>
      <c r="BI201" s="225"/>
      <c r="BJ201" s="225"/>
      <c r="BK201" s="225"/>
    </row>
    <row r="202" spans="48:63" ht="15.75" customHeight="1" x14ac:dyDescent="0.2">
      <c r="AV202" s="225"/>
      <c r="AW202" s="225"/>
      <c r="AX202" s="225"/>
      <c r="AY202" s="225"/>
      <c r="AZ202" s="225"/>
      <c r="BA202" s="225"/>
      <c r="BB202" s="225"/>
      <c r="BC202" s="225"/>
      <c r="BD202" s="225"/>
      <c r="BE202" s="225"/>
      <c r="BF202" s="225"/>
      <c r="BG202" s="225"/>
      <c r="BH202" s="225"/>
      <c r="BI202" s="225"/>
      <c r="BJ202" s="225"/>
      <c r="BK202" s="225"/>
    </row>
    <row r="203" spans="48:63" ht="15.75" customHeight="1" x14ac:dyDescent="0.2">
      <c r="AV203" s="225"/>
      <c r="AW203" s="225"/>
      <c r="AX203" s="225"/>
      <c r="AY203" s="225"/>
      <c r="AZ203" s="225"/>
      <c r="BA203" s="225"/>
      <c r="BB203" s="225"/>
      <c r="BC203" s="225"/>
      <c r="BD203" s="225"/>
      <c r="BE203" s="225"/>
      <c r="BF203" s="225"/>
      <c r="BG203" s="225"/>
      <c r="BH203" s="225"/>
      <c r="BI203" s="225"/>
      <c r="BJ203" s="225"/>
      <c r="BK203" s="225"/>
    </row>
    <row r="204" spans="48:63" ht="15.75" customHeight="1" x14ac:dyDescent="0.2">
      <c r="AV204" s="225"/>
      <c r="AW204" s="225"/>
      <c r="AX204" s="225"/>
      <c r="AY204" s="225"/>
      <c r="AZ204" s="225"/>
      <c r="BA204" s="225"/>
      <c r="BB204" s="225"/>
      <c r="BC204" s="225"/>
      <c r="BD204" s="225"/>
      <c r="BE204" s="225"/>
      <c r="BF204" s="225"/>
      <c r="BG204" s="225"/>
      <c r="BH204" s="225"/>
      <c r="BI204" s="225"/>
      <c r="BJ204" s="225"/>
      <c r="BK204" s="225"/>
    </row>
    <row r="205" spans="48:63" ht="15.75" customHeight="1" x14ac:dyDescent="0.2">
      <c r="AV205" s="225"/>
      <c r="AW205" s="225"/>
      <c r="AX205" s="225"/>
      <c r="AY205" s="225"/>
      <c r="AZ205" s="225"/>
      <c r="BA205" s="225"/>
      <c r="BB205" s="225"/>
      <c r="BC205" s="225"/>
      <c r="BD205" s="225"/>
      <c r="BE205" s="225"/>
      <c r="BF205" s="225"/>
      <c r="BG205" s="225"/>
      <c r="BH205" s="225"/>
      <c r="BI205" s="225"/>
      <c r="BJ205" s="225"/>
      <c r="BK205" s="225"/>
    </row>
    <row r="206" spans="48:63" ht="15.75" customHeight="1" x14ac:dyDescent="0.2">
      <c r="AV206" s="225"/>
      <c r="AW206" s="225"/>
      <c r="AX206" s="225"/>
      <c r="AY206" s="225"/>
      <c r="AZ206" s="225"/>
      <c r="BA206" s="225"/>
      <c r="BB206" s="225"/>
      <c r="BC206" s="225"/>
      <c r="BD206" s="225"/>
      <c r="BE206" s="225"/>
      <c r="BF206" s="225"/>
      <c r="BG206" s="225"/>
      <c r="BH206" s="225"/>
      <c r="BI206" s="225"/>
      <c r="BJ206" s="225"/>
      <c r="BK206" s="225"/>
    </row>
    <row r="207" spans="48:63" ht="15.75" customHeight="1" x14ac:dyDescent="0.2">
      <c r="AV207" s="225"/>
      <c r="AW207" s="225"/>
      <c r="AX207" s="225"/>
      <c r="AY207" s="225"/>
      <c r="AZ207" s="225"/>
      <c r="BA207" s="225"/>
      <c r="BB207" s="225"/>
      <c r="BC207" s="225"/>
      <c r="BD207" s="225"/>
      <c r="BE207" s="225"/>
      <c r="BF207" s="225"/>
      <c r="BG207" s="225"/>
      <c r="BH207" s="225"/>
      <c r="BI207" s="225"/>
      <c r="BJ207" s="225"/>
      <c r="BK207" s="225"/>
    </row>
    <row r="208" spans="48:63" ht="15.75" customHeight="1" x14ac:dyDescent="0.2">
      <c r="AV208" s="225"/>
      <c r="AW208" s="225"/>
      <c r="AX208" s="225"/>
      <c r="AY208" s="225"/>
      <c r="AZ208" s="225"/>
      <c r="BA208" s="225"/>
      <c r="BB208" s="225"/>
      <c r="BC208" s="225"/>
      <c r="BD208" s="225"/>
      <c r="BE208" s="225"/>
      <c r="BF208" s="225"/>
      <c r="BG208" s="225"/>
      <c r="BH208" s="225"/>
      <c r="BI208" s="225"/>
      <c r="BJ208" s="225"/>
      <c r="BK208" s="225"/>
    </row>
    <row r="209" spans="48:63" ht="15.75" customHeight="1" x14ac:dyDescent="0.2">
      <c r="AV209" s="225"/>
      <c r="AW209" s="225"/>
      <c r="AX209" s="225"/>
      <c r="AY209" s="225"/>
      <c r="AZ209" s="225"/>
      <c r="BA209" s="225"/>
      <c r="BB209" s="225"/>
      <c r="BC209" s="225"/>
      <c r="BD209" s="225"/>
      <c r="BE209" s="225"/>
      <c r="BF209" s="225"/>
      <c r="BG209" s="225"/>
      <c r="BH209" s="225"/>
      <c r="BI209" s="225"/>
      <c r="BJ209" s="225"/>
      <c r="BK209" s="225"/>
    </row>
    <row r="210" spans="48:63" ht="15.75" customHeight="1" x14ac:dyDescent="0.2">
      <c r="AV210" s="225"/>
      <c r="AW210" s="225"/>
      <c r="AX210" s="225"/>
      <c r="AY210" s="225"/>
      <c r="AZ210" s="225"/>
      <c r="BA210" s="225"/>
      <c r="BB210" s="225"/>
      <c r="BC210" s="225"/>
      <c r="BD210" s="225"/>
      <c r="BE210" s="225"/>
      <c r="BF210" s="225"/>
      <c r="BG210" s="225"/>
      <c r="BH210" s="225"/>
      <c r="BI210" s="225"/>
      <c r="BJ210" s="225"/>
      <c r="BK210" s="225"/>
    </row>
    <row r="211" spans="48:63" ht="15.75" customHeight="1" x14ac:dyDescent="0.2">
      <c r="AV211" s="225"/>
      <c r="AW211" s="225"/>
      <c r="AX211" s="225"/>
      <c r="AY211" s="225"/>
      <c r="AZ211" s="225"/>
      <c r="BA211" s="225"/>
      <c r="BB211" s="225"/>
      <c r="BC211" s="225"/>
      <c r="BD211" s="225"/>
      <c r="BE211" s="225"/>
      <c r="BF211" s="225"/>
      <c r="BG211" s="225"/>
      <c r="BH211" s="225"/>
      <c r="BI211" s="225"/>
      <c r="BJ211" s="225"/>
      <c r="BK211" s="225"/>
    </row>
    <row r="212" spans="48:63" ht="15.75" customHeight="1" x14ac:dyDescent="0.2">
      <c r="AV212" s="225"/>
      <c r="AW212" s="225"/>
      <c r="AX212" s="225"/>
      <c r="AY212" s="225"/>
      <c r="AZ212" s="225"/>
      <c r="BA212" s="225"/>
      <c r="BB212" s="225"/>
      <c r="BC212" s="225"/>
      <c r="BD212" s="225"/>
      <c r="BE212" s="225"/>
      <c r="BF212" s="225"/>
      <c r="BG212" s="225"/>
      <c r="BH212" s="225"/>
      <c r="BI212" s="225"/>
      <c r="BJ212" s="225"/>
      <c r="BK212" s="225"/>
    </row>
    <row r="213" spans="48:63" ht="15.75" customHeight="1" x14ac:dyDescent="0.2">
      <c r="AV213" s="225"/>
      <c r="AW213" s="225"/>
      <c r="AX213" s="225"/>
      <c r="AY213" s="225"/>
      <c r="AZ213" s="225"/>
      <c r="BA213" s="225"/>
      <c r="BB213" s="225"/>
      <c r="BC213" s="225"/>
      <c r="BD213" s="225"/>
      <c r="BE213" s="225"/>
      <c r="BF213" s="225"/>
      <c r="BG213" s="225"/>
      <c r="BH213" s="225"/>
      <c r="BI213" s="225"/>
      <c r="BJ213" s="225"/>
      <c r="BK213" s="225"/>
    </row>
    <row r="214" spans="48:63" ht="15.75" customHeight="1" x14ac:dyDescent="0.2">
      <c r="AV214" s="225"/>
      <c r="AW214" s="225"/>
      <c r="AX214" s="225"/>
      <c r="AY214" s="225"/>
      <c r="AZ214" s="225"/>
      <c r="BA214" s="225"/>
      <c r="BB214" s="225"/>
      <c r="BC214" s="225"/>
      <c r="BD214" s="225"/>
      <c r="BE214" s="225"/>
      <c r="BF214" s="225"/>
      <c r="BG214" s="225"/>
      <c r="BH214" s="225"/>
      <c r="BI214" s="225"/>
      <c r="BJ214" s="225"/>
      <c r="BK214" s="225"/>
    </row>
    <row r="215" spans="48:63" ht="15.75" customHeight="1" x14ac:dyDescent="0.2">
      <c r="AV215" s="225"/>
      <c r="AW215" s="225"/>
      <c r="AX215" s="225"/>
      <c r="AY215" s="225"/>
      <c r="AZ215" s="225"/>
      <c r="BA215" s="225"/>
      <c r="BB215" s="225"/>
      <c r="BC215" s="225"/>
      <c r="BD215" s="225"/>
      <c r="BE215" s="225"/>
      <c r="BF215" s="225"/>
      <c r="BG215" s="225"/>
      <c r="BH215" s="225"/>
      <c r="BI215" s="225"/>
      <c r="BJ215" s="225"/>
      <c r="BK215" s="225"/>
    </row>
    <row r="216" spans="48:63" ht="15.75" customHeight="1" x14ac:dyDescent="0.2">
      <c r="AV216" s="225"/>
      <c r="AW216" s="225"/>
      <c r="AX216" s="225"/>
      <c r="AY216" s="225"/>
      <c r="AZ216" s="225"/>
      <c r="BA216" s="225"/>
      <c r="BB216" s="225"/>
      <c r="BC216" s="225"/>
      <c r="BD216" s="225"/>
      <c r="BE216" s="225"/>
      <c r="BF216" s="225"/>
      <c r="BG216" s="225"/>
      <c r="BH216" s="225"/>
      <c r="BI216" s="225"/>
      <c r="BJ216" s="225"/>
      <c r="BK216" s="225"/>
    </row>
    <row r="217" spans="48:63" ht="15.75" customHeight="1" x14ac:dyDescent="0.2">
      <c r="AV217" s="225"/>
      <c r="AW217" s="225"/>
      <c r="AX217" s="225"/>
      <c r="AY217" s="225"/>
      <c r="AZ217" s="225"/>
      <c r="BA217" s="225"/>
      <c r="BB217" s="225"/>
      <c r="BC217" s="225"/>
      <c r="BD217" s="225"/>
      <c r="BE217" s="225"/>
      <c r="BF217" s="225"/>
      <c r="BG217" s="225"/>
      <c r="BH217" s="225"/>
      <c r="BI217" s="225"/>
      <c r="BJ217" s="225"/>
      <c r="BK217" s="225"/>
    </row>
    <row r="218" spans="48:63" ht="15.75" customHeight="1" x14ac:dyDescent="0.2">
      <c r="AV218" s="225"/>
      <c r="AW218" s="225"/>
      <c r="AX218" s="225"/>
      <c r="AY218" s="225"/>
      <c r="AZ218" s="225"/>
      <c r="BA218" s="225"/>
      <c r="BB218" s="225"/>
      <c r="BC218" s="225"/>
      <c r="BD218" s="225"/>
      <c r="BE218" s="225"/>
      <c r="BF218" s="225"/>
      <c r="BG218" s="225"/>
      <c r="BH218" s="225"/>
      <c r="BI218" s="225"/>
      <c r="BJ218" s="225"/>
      <c r="BK218" s="225"/>
    </row>
    <row r="219" spans="48:63" ht="15.75" customHeight="1" x14ac:dyDescent="0.2">
      <c r="AV219" s="225"/>
      <c r="AW219" s="225"/>
      <c r="AX219" s="225"/>
      <c r="AY219" s="225"/>
      <c r="AZ219" s="225"/>
      <c r="BA219" s="225"/>
      <c r="BB219" s="225"/>
      <c r="BC219" s="225"/>
      <c r="BD219" s="225"/>
      <c r="BE219" s="225"/>
      <c r="BF219" s="225"/>
      <c r="BG219" s="225"/>
      <c r="BH219" s="225"/>
      <c r="BI219" s="225"/>
      <c r="BJ219" s="225"/>
      <c r="BK219" s="225"/>
    </row>
    <row r="220" spans="48:63" ht="15.75" customHeight="1" x14ac:dyDescent="0.2">
      <c r="AV220" s="225"/>
      <c r="AW220" s="225"/>
      <c r="AX220" s="225"/>
      <c r="AY220" s="225"/>
      <c r="AZ220" s="225"/>
      <c r="BA220" s="225"/>
      <c r="BB220" s="225"/>
      <c r="BC220" s="225"/>
      <c r="BD220" s="225"/>
      <c r="BE220" s="225"/>
      <c r="BF220" s="225"/>
      <c r="BG220" s="225"/>
      <c r="BH220" s="225"/>
      <c r="BI220" s="225"/>
      <c r="BJ220" s="225"/>
      <c r="BK220" s="225"/>
    </row>
    <row r="221" spans="48:63" ht="15.75" customHeight="1" x14ac:dyDescent="0.2">
      <c r="AV221" s="225"/>
      <c r="AW221" s="225"/>
      <c r="AX221" s="225"/>
      <c r="AY221" s="225"/>
      <c r="AZ221" s="225"/>
      <c r="BA221" s="225"/>
      <c r="BB221" s="225"/>
      <c r="BC221" s="225"/>
      <c r="BD221" s="225"/>
      <c r="BE221" s="225"/>
      <c r="BF221" s="225"/>
      <c r="BG221" s="225"/>
      <c r="BH221" s="225"/>
      <c r="BI221" s="225"/>
      <c r="BJ221" s="225"/>
      <c r="BK221" s="225"/>
    </row>
    <row r="222" spans="48:63" ht="15.75" customHeight="1" x14ac:dyDescent="0.2">
      <c r="AV222" s="225"/>
      <c r="AW222" s="225"/>
      <c r="AX222" s="225"/>
      <c r="AY222" s="225"/>
      <c r="AZ222" s="225"/>
      <c r="BA222" s="225"/>
      <c r="BB222" s="225"/>
      <c r="BC222" s="225"/>
      <c r="BD222" s="225"/>
      <c r="BE222" s="225"/>
      <c r="BF222" s="225"/>
      <c r="BG222" s="225"/>
      <c r="BH222" s="225"/>
      <c r="BI222" s="225"/>
      <c r="BJ222" s="225"/>
      <c r="BK222" s="225"/>
    </row>
    <row r="223" spans="48:63" ht="15.75" customHeight="1" x14ac:dyDescent="0.2">
      <c r="AV223" s="225"/>
      <c r="AW223" s="225"/>
      <c r="AX223" s="225"/>
      <c r="AY223" s="225"/>
      <c r="AZ223" s="225"/>
      <c r="BA223" s="225"/>
      <c r="BB223" s="225"/>
      <c r="BC223" s="225"/>
      <c r="BD223" s="225"/>
      <c r="BE223" s="225"/>
      <c r="BF223" s="225"/>
      <c r="BG223" s="225"/>
      <c r="BH223" s="225"/>
      <c r="BI223" s="225"/>
      <c r="BJ223" s="225"/>
      <c r="BK223" s="225"/>
    </row>
    <row r="224" spans="48:63" ht="15.75" customHeight="1" x14ac:dyDescent="0.2">
      <c r="AV224" s="225"/>
      <c r="AW224" s="225"/>
      <c r="AX224" s="225"/>
      <c r="AY224" s="225"/>
      <c r="AZ224" s="225"/>
      <c r="BA224" s="225"/>
      <c r="BB224" s="225"/>
      <c r="BC224" s="225"/>
      <c r="BD224" s="225"/>
      <c r="BE224" s="225"/>
      <c r="BF224" s="225"/>
      <c r="BG224" s="225"/>
      <c r="BH224" s="225"/>
      <c r="BI224" s="225"/>
      <c r="BJ224" s="225"/>
      <c r="BK224" s="225"/>
    </row>
    <row r="225" spans="48:63" ht="15.75" customHeight="1" x14ac:dyDescent="0.2">
      <c r="AV225" s="225"/>
      <c r="AW225" s="225"/>
      <c r="AX225" s="225"/>
      <c r="AY225" s="225"/>
      <c r="AZ225" s="225"/>
      <c r="BA225" s="225"/>
      <c r="BB225" s="225"/>
      <c r="BC225" s="225"/>
      <c r="BD225" s="225"/>
      <c r="BE225" s="225"/>
      <c r="BF225" s="225"/>
      <c r="BG225" s="225"/>
      <c r="BH225" s="225"/>
      <c r="BI225" s="225"/>
      <c r="BJ225" s="225"/>
      <c r="BK225" s="225"/>
    </row>
    <row r="226" spans="48:63" ht="15.75" customHeight="1" x14ac:dyDescent="0.2">
      <c r="AV226" s="225"/>
      <c r="AW226" s="225"/>
      <c r="AX226" s="225"/>
      <c r="AY226" s="225"/>
      <c r="AZ226" s="225"/>
      <c r="BA226" s="225"/>
      <c r="BB226" s="225"/>
      <c r="BC226" s="225"/>
      <c r="BD226" s="225"/>
      <c r="BE226" s="225"/>
      <c r="BF226" s="225"/>
      <c r="BG226" s="225"/>
      <c r="BH226" s="225"/>
      <c r="BI226" s="225"/>
      <c r="BJ226" s="225"/>
      <c r="BK226" s="225"/>
    </row>
    <row r="227" spans="48:63" ht="15.75" customHeight="1" x14ac:dyDescent="0.2">
      <c r="AV227" s="225"/>
      <c r="AW227" s="225"/>
      <c r="AX227" s="225"/>
      <c r="AY227" s="225"/>
      <c r="AZ227" s="225"/>
      <c r="BA227" s="225"/>
      <c r="BB227" s="225"/>
      <c r="BC227" s="225"/>
      <c r="BD227" s="225"/>
      <c r="BE227" s="225"/>
      <c r="BF227" s="225"/>
      <c r="BG227" s="225"/>
      <c r="BH227" s="225"/>
      <c r="BI227" s="225"/>
      <c r="BJ227" s="225"/>
      <c r="BK227" s="225"/>
    </row>
    <row r="228" spans="48:63" ht="15.75" customHeight="1" x14ac:dyDescent="0.2">
      <c r="AV228" s="225"/>
      <c r="AW228" s="225"/>
      <c r="AX228" s="225"/>
      <c r="AY228" s="225"/>
      <c r="AZ228" s="225"/>
      <c r="BA228" s="225"/>
      <c r="BB228" s="225"/>
      <c r="BC228" s="225"/>
      <c r="BD228" s="225"/>
      <c r="BE228" s="225"/>
      <c r="BF228" s="225"/>
      <c r="BG228" s="225"/>
      <c r="BH228" s="225"/>
      <c r="BI228" s="225"/>
      <c r="BJ228" s="225"/>
      <c r="BK228" s="225"/>
    </row>
    <row r="229" spans="48:63" ht="15.75" customHeight="1" x14ac:dyDescent="0.2">
      <c r="AV229" s="225"/>
      <c r="AW229" s="225"/>
      <c r="AX229" s="225"/>
      <c r="AY229" s="225"/>
      <c r="AZ229" s="225"/>
      <c r="BA229" s="225"/>
      <c r="BB229" s="225"/>
      <c r="BC229" s="225"/>
      <c r="BD229" s="225"/>
      <c r="BE229" s="225"/>
      <c r="BF229" s="225"/>
      <c r="BG229" s="225"/>
      <c r="BH229" s="225"/>
      <c r="BI229" s="225"/>
      <c r="BJ229" s="225"/>
      <c r="BK229" s="225"/>
    </row>
    <row r="230" spans="48:63" ht="15.75" customHeight="1" x14ac:dyDescent="0.2">
      <c r="AV230" s="225"/>
      <c r="AW230" s="225"/>
      <c r="AX230" s="225"/>
      <c r="AY230" s="225"/>
      <c r="AZ230" s="225"/>
      <c r="BA230" s="225"/>
      <c r="BB230" s="225"/>
      <c r="BC230" s="225"/>
      <c r="BD230" s="225"/>
      <c r="BE230" s="225"/>
      <c r="BF230" s="225"/>
      <c r="BG230" s="225"/>
      <c r="BH230" s="225"/>
      <c r="BI230" s="225"/>
      <c r="BJ230" s="225"/>
      <c r="BK230" s="225"/>
    </row>
    <row r="231" spans="48:63" ht="15.75" customHeight="1" x14ac:dyDescent="0.2">
      <c r="AV231" s="225"/>
      <c r="AW231" s="225"/>
      <c r="AX231" s="225"/>
      <c r="AY231" s="225"/>
      <c r="AZ231" s="225"/>
      <c r="BA231" s="225"/>
      <c r="BB231" s="225"/>
      <c r="BC231" s="225"/>
      <c r="BD231" s="225"/>
      <c r="BE231" s="225"/>
      <c r="BF231" s="225"/>
      <c r="BG231" s="225"/>
      <c r="BH231" s="225"/>
      <c r="BI231" s="225"/>
      <c r="BJ231" s="225"/>
      <c r="BK231" s="225"/>
    </row>
    <row r="232" spans="48:63" ht="15.75" customHeight="1" x14ac:dyDescent="0.2">
      <c r="AV232" s="225"/>
      <c r="AW232" s="225"/>
      <c r="AX232" s="225"/>
      <c r="AY232" s="225"/>
      <c r="AZ232" s="225"/>
      <c r="BA232" s="225"/>
      <c r="BB232" s="225"/>
      <c r="BC232" s="225"/>
      <c r="BD232" s="225"/>
      <c r="BE232" s="225"/>
      <c r="BF232" s="225"/>
      <c r="BG232" s="225"/>
      <c r="BH232" s="225"/>
      <c r="BI232" s="225"/>
      <c r="BJ232" s="225"/>
      <c r="BK232" s="225"/>
    </row>
    <row r="233" spans="48:63" ht="15.75" customHeight="1" x14ac:dyDescent="0.2">
      <c r="AV233" s="225"/>
      <c r="AW233" s="225"/>
      <c r="AX233" s="225"/>
      <c r="AY233" s="225"/>
      <c r="AZ233" s="225"/>
      <c r="BA233" s="225"/>
      <c r="BB233" s="225"/>
      <c r="BC233" s="225"/>
      <c r="BD233" s="225"/>
      <c r="BE233" s="225"/>
      <c r="BF233" s="225"/>
      <c r="BG233" s="225"/>
      <c r="BH233" s="225"/>
      <c r="BI233" s="225"/>
      <c r="BJ233" s="225"/>
      <c r="BK233" s="225"/>
    </row>
    <row r="234" spans="48:63" ht="15.75" customHeight="1" x14ac:dyDescent="0.2">
      <c r="AV234" s="225"/>
      <c r="AW234" s="225"/>
      <c r="AX234" s="225"/>
      <c r="AY234" s="225"/>
      <c r="AZ234" s="225"/>
      <c r="BA234" s="225"/>
      <c r="BB234" s="225"/>
      <c r="BC234" s="225"/>
      <c r="BD234" s="225"/>
      <c r="BE234" s="225"/>
      <c r="BF234" s="225"/>
      <c r="BG234" s="225"/>
      <c r="BH234" s="225"/>
      <c r="BI234" s="225"/>
      <c r="BJ234" s="225"/>
      <c r="BK234" s="225"/>
    </row>
    <row r="235" spans="48:63" ht="15.75" customHeight="1" x14ac:dyDescent="0.2">
      <c r="AV235" s="225"/>
      <c r="AW235" s="225"/>
      <c r="AX235" s="225"/>
      <c r="AY235" s="225"/>
      <c r="AZ235" s="225"/>
      <c r="BA235" s="225"/>
      <c r="BB235" s="225"/>
      <c r="BC235" s="225"/>
      <c r="BD235" s="225"/>
      <c r="BE235" s="225"/>
      <c r="BF235" s="225"/>
      <c r="BG235" s="225"/>
      <c r="BH235" s="225"/>
      <c r="BI235" s="225"/>
      <c r="BJ235" s="225"/>
      <c r="BK235" s="225"/>
    </row>
    <row r="236" spans="48:63" ht="15.75" customHeight="1" x14ac:dyDescent="0.2">
      <c r="AV236" s="225"/>
      <c r="AW236" s="225"/>
      <c r="AX236" s="225"/>
      <c r="AY236" s="225"/>
      <c r="AZ236" s="225"/>
      <c r="BA236" s="225"/>
      <c r="BB236" s="225"/>
      <c r="BC236" s="225"/>
      <c r="BD236" s="225"/>
      <c r="BE236" s="225"/>
      <c r="BF236" s="225"/>
      <c r="BG236" s="225"/>
      <c r="BH236" s="225"/>
      <c r="BI236" s="225"/>
      <c r="BJ236" s="225"/>
      <c r="BK236" s="225"/>
    </row>
    <row r="237" spans="48:63" ht="15.75" customHeight="1" x14ac:dyDescent="0.2">
      <c r="AV237" s="225"/>
      <c r="AW237" s="225"/>
      <c r="AX237" s="225"/>
      <c r="AY237" s="225"/>
      <c r="AZ237" s="225"/>
      <c r="BA237" s="225"/>
      <c r="BB237" s="225"/>
      <c r="BC237" s="225"/>
      <c r="BD237" s="225"/>
      <c r="BE237" s="225"/>
      <c r="BF237" s="225"/>
      <c r="BG237" s="225"/>
      <c r="BH237" s="225"/>
      <c r="BI237" s="225"/>
      <c r="BJ237" s="225"/>
      <c r="BK237" s="225"/>
    </row>
    <row r="238" spans="48:63" ht="15.75" customHeight="1" x14ac:dyDescent="0.2">
      <c r="AV238" s="225"/>
      <c r="AW238" s="225"/>
      <c r="AX238" s="225"/>
      <c r="AY238" s="225"/>
      <c r="AZ238" s="225"/>
      <c r="BA238" s="225"/>
      <c r="BB238" s="225"/>
      <c r="BC238" s="225"/>
      <c r="BD238" s="225"/>
      <c r="BE238" s="225"/>
      <c r="BF238" s="225"/>
      <c r="BG238" s="225"/>
      <c r="BH238" s="225"/>
      <c r="BI238" s="225"/>
      <c r="BJ238" s="225"/>
      <c r="BK238" s="225"/>
    </row>
    <row r="239" spans="48:63" ht="15.75" customHeight="1" x14ac:dyDescent="0.2">
      <c r="AV239" s="225"/>
      <c r="AW239" s="225"/>
      <c r="AX239" s="225"/>
      <c r="AY239" s="225"/>
      <c r="AZ239" s="225"/>
      <c r="BA239" s="225"/>
      <c r="BB239" s="225"/>
      <c r="BC239" s="225"/>
      <c r="BD239" s="225"/>
      <c r="BE239" s="225"/>
      <c r="BF239" s="225"/>
      <c r="BG239" s="225"/>
      <c r="BH239" s="225"/>
      <c r="BI239" s="225"/>
      <c r="BJ239" s="225"/>
      <c r="BK239" s="225"/>
    </row>
    <row r="240" spans="48:63" ht="15.75" customHeight="1" x14ac:dyDescent="0.2">
      <c r="AV240" s="225"/>
      <c r="AW240" s="225"/>
      <c r="AX240" s="225"/>
      <c r="AY240" s="225"/>
      <c r="AZ240" s="225"/>
      <c r="BA240" s="225"/>
      <c r="BB240" s="225"/>
      <c r="BC240" s="225"/>
      <c r="BD240" s="225"/>
      <c r="BE240" s="225"/>
      <c r="BF240" s="225"/>
      <c r="BG240" s="225"/>
      <c r="BH240" s="225"/>
      <c r="BI240" s="225"/>
      <c r="BJ240" s="225"/>
      <c r="BK240" s="225"/>
    </row>
    <row r="241" spans="48:63" ht="15.75" customHeight="1" x14ac:dyDescent="0.2">
      <c r="AV241" s="225"/>
      <c r="AW241" s="225"/>
      <c r="AX241" s="225"/>
      <c r="AY241" s="225"/>
      <c r="AZ241" s="225"/>
      <c r="BA241" s="225"/>
      <c r="BB241" s="225"/>
      <c r="BC241" s="225"/>
      <c r="BD241" s="225"/>
      <c r="BE241" s="225"/>
      <c r="BF241" s="225"/>
      <c r="BG241" s="225"/>
      <c r="BH241" s="225"/>
      <c r="BI241" s="225"/>
      <c r="BJ241" s="225"/>
      <c r="BK241" s="225"/>
    </row>
    <row r="242" spans="48:63" ht="15.75" customHeight="1" x14ac:dyDescent="0.2">
      <c r="AV242" s="225"/>
      <c r="AW242" s="225"/>
      <c r="AX242" s="225"/>
      <c r="AY242" s="225"/>
      <c r="AZ242" s="225"/>
      <c r="BA242" s="225"/>
      <c r="BB242" s="225"/>
      <c r="BC242" s="225"/>
      <c r="BD242" s="225"/>
      <c r="BE242" s="225"/>
      <c r="BF242" s="225"/>
      <c r="BG242" s="225"/>
      <c r="BH242" s="225"/>
      <c r="BI242" s="225"/>
      <c r="BJ242" s="225"/>
      <c r="BK242" s="225"/>
    </row>
    <row r="243" spans="48:63" ht="15.75" customHeight="1" x14ac:dyDescent="0.2">
      <c r="AV243" s="225"/>
      <c r="AW243" s="225"/>
      <c r="AX243" s="225"/>
      <c r="AY243" s="225"/>
      <c r="AZ243" s="225"/>
      <c r="BA243" s="225"/>
      <c r="BB243" s="225"/>
      <c r="BC243" s="225"/>
      <c r="BD243" s="225"/>
      <c r="BE243" s="225"/>
      <c r="BF243" s="225"/>
      <c r="BG243" s="225"/>
      <c r="BH243" s="225"/>
      <c r="BI243" s="225"/>
      <c r="BJ243" s="225"/>
      <c r="BK243" s="225"/>
    </row>
    <row r="244" spans="48:63" ht="15.75" customHeight="1" x14ac:dyDescent="0.2">
      <c r="AV244" s="225"/>
      <c r="AW244" s="225"/>
      <c r="AX244" s="225"/>
      <c r="AY244" s="225"/>
      <c r="AZ244" s="225"/>
      <c r="BA244" s="225"/>
      <c r="BB244" s="225"/>
      <c r="BC244" s="225"/>
      <c r="BD244" s="225"/>
      <c r="BE244" s="225"/>
      <c r="BF244" s="225"/>
      <c r="BG244" s="225"/>
      <c r="BH244" s="225"/>
      <c r="BI244" s="225"/>
      <c r="BJ244" s="225"/>
      <c r="BK244" s="225"/>
    </row>
    <row r="245" spans="48:63" ht="15.75" customHeight="1" x14ac:dyDescent="0.2">
      <c r="AV245" s="225"/>
      <c r="AW245" s="225"/>
      <c r="AX245" s="225"/>
      <c r="AY245" s="225"/>
      <c r="AZ245" s="225"/>
      <c r="BA245" s="225"/>
      <c r="BB245" s="225"/>
      <c r="BC245" s="225"/>
      <c r="BD245" s="225"/>
      <c r="BE245" s="225"/>
      <c r="BF245" s="225"/>
      <c r="BG245" s="225"/>
      <c r="BH245" s="225"/>
      <c r="BI245" s="225"/>
      <c r="BJ245" s="225"/>
      <c r="BK245" s="225"/>
    </row>
    <row r="246" spans="48:63" ht="15.75" customHeight="1" x14ac:dyDescent="0.2">
      <c r="AV246" s="225"/>
      <c r="AW246" s="225"/>
      <c r="AX246" s="225"/>
      <c r="AY246" s="225"/>
      <c r="AZ246" s="225"/>
      <c r="BA246" s="225"/>
      <c r="BB246" s="225"/>
      <c r="BC246" s="225"/>
      <c r="BD246" s="225"/>
      <c r="BE246" s="225"/>
      <c r="BF246" s="225"/>
      <c r="BG246" s="225"/>
      <c r="BH246" s="225"/>
      <c r="BI246" s="225"/>
      <c r="BJ246" s="225"/>
      <c r="BK246" s="225"/>
    </row>
    <row r="247" spans="48:63" ht="15.75" customHeight="1" x14ac:dyDescent="0.2">
      <c r="AV247" s="225"/>
      <c r="AW247" s="225"/>
      <c r="AX247" s="225"/>
      <c r="AY247" s="225"/>
      <c r="AZ247" s="225"/>
      <c r="BA247" s="225"/>
      <c r="BB247" s="225"/>
      <c r="BC247" s="225"/>
      <c r="BD247" s="225"/>
      <c r="BE247" s="225"/>
      <c r="BF247" s="225"/>
      <c r="BG247" s="225"/>
      <c r="BH247" s="225"/>
      <c r="BI247" s="225"/>
      <c r="BJ247" s="225"/>
      <c r="BK247" s="225"/>
    </row>
    <row r="248" spans="48:63" ht="15.75" customHeight="1" x14ac:dyDescent="0.2">
      <c r="AV248" s="225"/>
      <c r="AW248" s="225"/>
      <c r="AX248" s="225"/>
      <c r="AY248" s="225"/>
      <c r="AZ248" s="225"/>
      <c r="BA248" s="225"/>
      <c r="BB248" s="225"/>
      <c r="BC248" s="225"/>
      <c r="BD248" s="225"/>
      <c r="BE248" s="225"/>
      <c r="BF248" s="225"/>
      <c r="BG248" s="225"/>
      <c r="BH248" s="225"/>
      <c r="BI248" s="225"/>
      <c r="BJ248" s="225"/>
      <c r="BK248" s="225"/>
    </row>
    <row r="249" spans="48:63" ht="15.75" customHeight="1" x14ac:dyDescent="0.2">
      <c r="AV249" s="225"/>
      <c r="AW249" s="225"/>
      <c r="AX249" s="225"/>
      <c r="AY249" s="225"/>
      <c r="AZ249" s="225"/>
      <c r="BA249" s="225"/>
      <c r="BB249" s="225"/>
      <c r="BC249" s="225"/>
      <c r="BD249" s="225"/>
      <c r="BE249" s="225"/>
      <c r="BF249" s="225"/>
      <c r="BG249" s="225"/>
      <c r="BH249" s="225"/>
      <c r="BI249" s="225"/>
      <c r="BJ249" s="225"/>
      <c r="BK249" s="225"/>
    </row>
    <row r="250" spans="48:63" ht="15.75" customHeight="1" x14ac:dyDescent="0.2">
      <c r="AV250" s="225"/>
      <c r="AW250" s="225"/>
      <c r="AX250" s="225"/>
      <c r="AY250" s="225"/>
      <c r="AZ250" s="225"/>
      <c r="BA250" s="225"/>
      <c r="BB250" s="225"/>
      <c r="BC250" s="225"/>
      <c r="BD250" s="225"/>
      <c r="BE250" s="225"/>
      <c r="BF250" s="225"/>
      <c r="BG250" s="225"/>
      <c r="BH250" s="225"/>
      <c r="BI250" s="225"/>
      <c r="BJ250" s="225"/>
      <c r="BK250" s="225"/>
    </row>
    <row r="251" spans="48:63" ht="15.75" customHeight="1" x14ac:dyDescent="0.2">
      <c r="AV251" s="225"/>
      <c r="AW251" s="225"/>
      <c r="AX251" s="225"/>
      <c r="AY251" s="225"/>
      <c r="AZ251" s="225"/>
      <c r="BA251" s="225"/>
      <c r="BB251" s="225"/>
      <c r="BC251" s="225"/>
      <c r="BD251" s="225"/>
      <c r="BE251" s="225"/>
      <c r="BF251" s="225"/>
      <c r="BG251" s="225"/>
      <c r="BH251" s="225"/>
      <c r="BI251" s="225"/>
      <c r="BJ251" s="225"/>
      <c r="BK251" s="225"/>
    </row>
    <row r="252" spans="48:63" ht="15.75" customHeight="1" x14ac:dyDescent="0.2">
      <c r="AV252" s="225"/>
      <c r="AW252" s="225"/>
      <c r="AX252" s="225"/>
      <c r="AY252" s="225"/>
      <c r="AZ252" s="225"/>
      <c r="BA252" s="225"/>
      <c r="BB252" s="225"/>
      <c r="BC252" s="225"/>
      <c r="BD252" s="225"/>
      <c r="BE252" s="225"/>
      <c r="BF252" s="225"/>
      <c r="BG252" s="225"/>
      <c r="BH252" s="225"/>
      <c r="BI252" s="225"/>
      <c r="BJ252" s="225"/>
      <c r="BK252" s="225"/>
    </row>
    <row r="253" spans="48:63" ht="15.75" customHeight="1" x14ac:dyDescent="0.2">
      <c r="AV253" s="225"/>
      <c r="AW253" s="225"/>
      <c r="AX253" s="225"/>
      <c r="AY253" s="225"/>
      <c r="AZ253" s="225"/>
      <c r="BA253" s="225"/>
      <c r="BB253" s="225"/>
      <c r="BC253" s="225"/>
      <c r="BD253" s="225"/>
      <c r="BE253" s="225"/>
      <c r="BF253" s="225"/>
      <c r="BG253" s="225"/>
      <c r="BH253" s="225"/>
      <c r="BI253" s="225"/>
      <c r="BJ253" s="225"/>
      <c r="BK253" s="225"/>
    </row>
    <row r="254" spans="48:63" ht="15.75" customHeight="1" x14ac:dyDescent="0.2">
      <c r="AV254" s="225"/>
      <c r="AW254" s="225"/>
      <c r="AX254" s="225"/>
      <c r="AY254" s="225"/>
      <c r="AZ254" s="225"/>
      <c r="BA254" s="225"/>
      <c r="BB254" s="225"/>
      <c r="BC254" s="225"/>
      <c r="BD254" s="225"/>
      <c r="BE254" s="225"/>
      <c r="BF254" s="225"/>
      <c r="BG254" s="225"/>
      <c r="BH254" s="225"/>
      <c r="BI254" s="225"/>
      <c r="BJ254" s="225"/>
      <c r="BK254" s="225"/>
    </row>
    <row r="255" spans="48:63" ht="15.75" customHeight="1" x14ac:dyDescent="0.2">
      <c r="AV255" s="225"/>
      <c r="AW255" s="225"/>
      <c r="AX255" s="225"/>
      <c r="AY255" s="225"/>
      <c r="AZ255" s="225"/>
      <c r="BA255" s="225"/>
      <c r="BB255" s="225"/>
      <c r="BC255" s="225"/>
      <c r="BD255" s="225"/>
      <c r="BE255" s="225"/>
      <c r="BF255" s="225"/>
      <c r="BG255" s="225"/>
      <c r="BH255" s="225"/>
      <c r="BI255" s="225"/>
      <c r="BJ255" s="225"/>
      <c r="BK255" s="225"/>
    </row>
    <row r="256" spans="48:63" ht="15.75" customHeight="1" x14ac:dyDescent="0.2">
      <c r="AV256" s="225"/>
      <c r="AW256" s="225"/>
      <c r="AX256" s="225"/>
      <c r="AY256" s="225"/>
      <c r="AZ256" s="225"/>
      <c r="BA256" s="225"/>
      <c r="BB256" s="225"/>
      <c r="BC256" s="225"/>
      <c r="BD256" s="225"/>
      <c r="BE256" s="225"/>
      <c r="BF256" s="225"/>
      <c r="BG256" s="225"/>
      <c r="BH256" s="225"/>
      <c r="BI256" s="225"/>
      <c r="BJ256" s="225"/>
      <c r="BK256" s="225"/>
    </row>
    <row r="257" spans="48:63" ht="15.75" customHeight="1" x14ac:dyDescent="0.2">
      <c r="AV257" s="225"/>
      <c r="AW257" s="225"/>
      <c r="AX257" s="225"/>
      <c r="AY257" s="225"/>
      <c r="AZ257" s="225"/>
      <c r="BA257" s="225"/>
      <c r="BB257" s="225"/>
      <c r="BC257" s="225"/>
      <c r="BD257" s="225"/>
      <c r="BE257" s="225"/>
      <c r="BF257" s="225"/>
      <c r="BG257" s="225"/>
      <c r="BH257" s="225"/>
      <c r="BI257" s="225"/>
      <c r="BJ257" s="225"/>
      <c r="BK257" s="225"/>
    </row>
    <row r="258" spans="48:63" ht="15.75" customHeight="1" x14ac:dyDescent="0.2">
      <c r="AV258" s="225"/>
      <c r="AW258" s="225"/>
      <c r="AX258" s="225"/>
      <c r="AY258" s="225"/>
      <c r="AZ258" s="225"/>
      <c r="BA258" s="225"/>
      <c r="BB258" s="225"/>
      <c r="BC258" s="225"/>
      <c r="BD258" s="225"/>
      <c r="BE258" s="225"/>
      <c r="BF258" s="225"/>
      <c r="BG258" s="225"/>
      <c r="BH258" s="225"/>
      <c r="BI258" s="225"/>
      <c r="BJ258" s="225"/>
      <c r="BK258" s="225"/>
    </row>
    <row r="259" spans="48:63" ht="15.75" customHeight="1" x14ac:dyDescent="0.2">
      <c r="AV259" s="225"/>
      <c r="AW259" s="225"/>
      <c r="AX259" s="225"/>
      <c r="AY259" s="225"/>
      <c r="AZ259" s="225"/>
      <c r="BA259" s="225"/>
      <c r="BB259" s="225"/>
      <c r="BC259" s="225"/>
      <c r="BD259" s="225"/>
      <c r="BE259" s="225"/>
      <c r="BF259" s="225"/>
      <c r="BG259" s="225"/>
      <c r="BH259" s="225"/>
      <c r="BI259" s="225"/>
      <c r="BJ259" s="225"/>
      <c r="BK259" s="225"/>
    </row>
    <row r="260" spans="48:63" ht="15.75" customHeight="1" x14ac:dyDescent="0.2">
      <c r="AV260" s="225"/>
      <c r="AW260" s="225"/>
      <c r="AX260" s="225"/>
      <c r="AY260" s="225"/>
      <c r="AZ260" s="225"/>
      <c r="BA260" s="225"/>
      <c r="BB260" s="225"/>
      <c r="BC260" s="225"/>
      <c r="BD260" s="225"/>
      <c r="BE260" s="225"/>
      <c r="BF260" s="225"/>
      <c r="BG260" s="225"/>
      <c r="BH260" s="225"/>
      <c r="BI260" s="225"/>
      <c r="BJ260" s="225"/>
      <c r="BK260" s="225"/>
    </row>
    <row r="261" spans="48:63" ht="15.75" customHeight="1" x14ac:dyDescent="0.2">
      <c r="AV261" s="225"/>
      <c r="AW261" s="225"/>
      <c r="AX261" s="225"/>
      <c r="AY261" s="225"/>
      <c r="AZ261" s="225"/>
      <c r="BA261" s="225"/>
      <c r="BB261" s="225"/>
      <c r="BC261" s="225"/>
      <c r="BD261" s="225"/>
      <c r="BE261" s="225"/>
      <c r="BF261" s="225"/>
      <c r="BG261" s="225"/>
      <c r="BH261" s="225"/>
      <c r="BI261" s="225"/>
      <c r="BJ261" s="225"/>
      <c r="BK261" s="225"/>
    </row>
    <row r="262" spans="48:63" ht="15.75" customHeight="1" x14ac:dyDescent="0.2">
      <c r="AV262" s="225"/>
      <c r="AW262" s="225"/>
      <c r="AX262" s="225"/>
      <c r="AY262" s="225"/>
      <c r="AZ262" s="225"/>
      <c r="BA262" s="225"/>
      <c r="BB262" s="225"/>
      <c r="BC262" s="225"/>
      <c r="BD262" s="225"/>
      <c r="BE262" s="225"/>
      <c r="BF262" s="225"/>
      <c r="BG262" s="225"/>
      <c r="BH262" s="225"/>
      <c r="BI262" s="225"/>
      <c r="BJ262" s="225"/>
      <c r="BK262" s="225"/>
    </row>
    <row r="263" spans="48:63" ht="15.75" customHeight="1" x14ac:dyDescent="0.2">
      <c r="AV263" s="225"/>
      <c r="AW263" s="225"/>
      <c r="AX263" s="225"/>
      <c r="AY263" s="225"/>
      <c r="AZ263" s="225"/>
      <c r="BA263" s="225"/>
      <c r="BB263" s="225"/>
      <c r="BC263" s="225"/>
      <c r="BD263" s="225"/>
      <c r="BE263" s="225"/>
      <c r="BF263" s="225"/>
      <c r="BG263" s="225"/>
      <c r="BH263" s="225"/>
      <c r="BI263" s="225"/>
      <c r="BJ263" s="225"/>
      <c r="BK263" s="225"/>
    </row>
    <row r="264" spans="48:63" ht="15.75" customHeight="1" x14ac:dyDescent="0.2">
      <c r="AV264" s="225"/>
      <c r="AW264" s="225"/>
      <c r="AX264" s="225"/>
      <c r="AY264" s="225"/>
      <c r="AZ264" s="225"/>
      <c r="BA264" s="225"/>
      <c r="BB264" s="225"/>
      <c r="BC264" s="225"/>
      <c r="BD264" s="225"/>
      <c r="BE264" s="225"/>
      <c r="BF264" s="225"/>
      <c r="BG264" s="225"/>
      <c r="BH264" s="225"/>
      <c r="BI264" s="225"/>
      <c r="BJ264" s="225"/>
      <c r="BK264" s="225"/>
    </row>
    <row r="265" spans="48:63" ht="15.75" customHeight="1" x14ac:dyDescent="0.2">
      <c r="AV265" s="225"/>
      <c r="AW265" s="225"/>
      <c r="AX265" s="225"/>
      <c r="AY265" s="225"/>
      <c r="AZ265" s="225"/>
      <c r="BA265" s="225"/>
      <c r="BB265" s="225"/>
      <c r="BC265" s="225"/>
      <c r="BD265" s="225"/>
      <c r="BE265" s="225"/>
      <c r="BF265" s="225"/>
      <c r="BG265" s="225"/>
      <c r="BH265" s="225"/>
      <c r="BI265" s="225"/>
      <c r="BJ265" s="225"/>
      <c r="BK265" s="225"/>
    </row>
    <row r="266" spans="48:63" ht="15.75" customHeight="1" x14ac:dyDescent="0.2">
      <c r="AV266" s="225"/>
      <c r="AW266" s="225"/>
      <c r="AX266" s="225"/>
      <c r="AY266" s="225"/>
      <c r="AZ266" s="225"/>
      <c r="BA266" s="225"/>
      <c r="BB266" s="225"/>
      <c r="BC266" s="225"/>
      <c r="BD266" s="225"/>
      <c r="BE266" s="225"/>
      <c r="BF266" s="225"/>
      <c r="BG266" s="225"/>
      <c r="BH266" s="225"/>
      <c r="BI266" s="225"/>
      <c r="BJ266" s="225"/>
      <c r="BK266" s="225"/>
    </row>
    <row r="267" spans="48:63" ht="15.75" customHeight="1" x14ac:dyDescent="0.2">
      <c r="AV267" s="225"/>
      <c r="AW267" s="225"/>
      <c r="AX267" s="225"/>
      <c r="AY267" s="225"/>
      <c r="AZ267" s="225"/>
      <c r="BA267" s="225"/>
      <c r="BB267" s="225"/>
      <c r="BC267" s="225"/>
      <c r="BD267" s="225"/>
      <c r="BE267" s="225"/>
      <c r="BF267" s="225"/>
      <c r="BG267" s="225"/>
      <c r="BH267" s="225"/>
      <c r="BI267" s="225"/>
      <c r="BJ267" s="225"/>
      <c r="BK267" s="225"/>
    </row>
    <row r="268" spans="48:63" ht="15.75" customHeight="1" x14ac:dyDescent="0.2">
      <c r="AV268" s="225"/>
      <c r="AW268" s="225"/>
      <c r="AX268" s="225"/>
      <c r="AY268" s="225"/>
      <c r="AZ268" s="225"/>
      <c r="BA268" s="225"/>
      <c r="BB268" s="225"/>
      <c r="BC268" s="225"/>
      <c r="BD268" s="225"/>
      <c r="BE268" s="225"/>
      <c r="BF268" s="225"/>
      <c r="BG268" s="225"/>
      <c r="BH268" s="225"/>
      <c r="BI268" s="225"/>
      <c r="BJ268" s="225"/>
      <c r="BK268" s="225"/>
    </row>
    <row r="269" spans="48:63" ht="15.75" customHeight="1" x14ac:dyDescent="0.2">
      <c r="AV269" s="225"/>
      <c r="AW269" s="225"/>
      <c r="AX269" s="225"/>
      <c r="AY269" s="225"/>
      <c r="AZ269" s="225"/>
      <c r="BA269" s="225"/>
      <c r="BB269" s="225"/>
      <c r="BC269" s="225"/>
      <c r="BD269" s="225"/>
      <c r="BE269" s="225"/>
      <c r="BF269" s="225"/>
      <c r="BG269" s="225"/>
      <c r="BH269" s="225"/>
      <c r="BI269" s="225"/>
      <c r="BJ269" s="225"/>
      <c r="BK269" s="225"/>
    </row>
    <row r="270" spans="48:63" ht="15.75" customHeight="1" x14ac:dyDescent="0.2">
      <c r="AV270" s="225"/>
      <c r="AW270" s="225"/>
      <c r="AX270" s="225"/>
      <c r="AY270" s="225"/>
      <c r="AZ270" s="225"/>
      <c r="BA270" s="225"/>
      <c r="BB270" s="225"/>
      <c r="BC270" s="225"/>
      <c r="BD270" s="225"/>
      <c r="BE270" s="225"/>
      <c r="BF270" s="225"/>
      <c r="BG270" s="225"/>
      <c r="BH270" s="225"/>
      <c r="BI270" s="225"/>
      <c r="BJ270" s="225"/>
      <c r="BK270" s="225"/>
    </row>
    <row r="271" spans="48:63" ht="15.75" customHeight="1" x14ac:dyDescent="0.2">
      <c r="AV271" s="225"/>
      <c r="AW271" s="225"/>
      <c r="AX271" s="225"/>
      <c r="AY271" s="225"/>
      <c r="AZ271" s="225"/>
      <c r="BA271" s="225"/>
      <c r="BB271" s="225"/>
      <c r="BC271" s="225"/>
      <c r="BD271" s="225"/>
      <c r="BE271" s="225"/>
      <c r="BF271" s="225"/>
      <c r="BG271" s="225"/>
      <c r="BH271" s="225"/>
      <c r="BI271" s="225"/>
      <c r="BJ271" s="225"/>
      <c r="BK271" s="225"/>
    </row>
    <row r="272" spans="48:63" ht="15.75" customHeight="1" x14ac:dyDescent="0.2">
      <c r="AV272" s="225"/>
      <c r="AW272" s="225"/>
      <c r="AX272" s="225"/>
      <c r="AY272" s="225"/>
      <c r="AZ272" s="225"/>
      <c r="BA272" s="225"/>
      <c r="BB272" s="225"/>
      <c r="BC272" s="225"/>
      <c r="BD272" s="225"/>
      <c r="BE272" s="225"/>
      <c r="BF272" s="225"/>
      <c r="BG272" s="225"/>
      <c r="BH272" s="225"/>
      <c r="BI272" s="225"/>
      <c r="BJ272" s="225"/>
      <c r="BK272" s="225"/>
    </row>
    <row r="273" spans="48:63" ht="15.75" customHeight="1" x14ac:dyDescent="0.2">
      <c r="AV273" s="225"/>
      <c r="AW273" s="225"/>
      <c r="AX273" s="225"/>
      <c r="AY273" s="225"/>
      <c r="AZ273" s="225"/>
      <c r="BA273" s="225"/>
      <c r="BB273" s="225"/>
      <c r="BC273" s="225"/>
      <c r="BD273" s="225"/>
      <c r="BE273" s="225"/>
      <c r="BF273" s="225"/>
      <c r="BG273" s="225"/>
      <c r="BH273" s="225"/>
      <c r="BI273" s="225"/>
      <c r="BJ273" s="225"/>
      <c r="BK273" s="225"/>
    </row>
    <row r="274" spans="48:63" ht="15.75" customHeight="1" x14ac:dyDescent="0.2">
      <c r="AV274" s="225"/>
      <c r="AW274" s="225"/>
      <c r="AX274" s="225"/>
      <c r="AY274" s="225"/>
      <c r="AZ274" s="225"/>
      <c r="BA274" s="225"/>
      <c r="BB274" s="225"/>
      <c r="BC274" s="225"/>
      <c r="BD274" s="225"/>
      <c r="BE274" s="225"/>
      <c r="BF274" s="225"/>
      <c r="BG274" s="225"/>
      <c r="BH274" s="225"/>
      <c r="BI274" s="225"/>
      <c r="BJ274" s="225"/>
      <c r="BK274" s="225"/>
    </row>
    <row r="275" spans="48:63" ht="15.75" customHeight="1" x14ac:dyDescent="0.2">
      <c r="AV275" s="225"/>
      <c r="AW275" s="225"/>
      <c r="AX275" s="225"/>
      <c r="AY275" s="225"/>
      <c r="AZ275" s="225"/>
      <c r="BA275" s="225"/>
      <c r="BB275" s="225"/>
      <c r="BC275" s="225"/>
      <c r="BD275" s="225"/>
      <c r="BE275" s="225"/>
      <c r="BF275" s="225"/>
      <c r="BG275" s="225"/>
      <c r="BH275" s="225"/>
      <c r="BI275" s="225"/>
      <c r="BJ275" s="225"/>
      <c r="BK275" s="225"/>
    </row>
    <row r="276" spans="48:63" ht="15.75" customHeight="1" x14ac:dyDescent="0.2">
      <c r="AV276" s="225"/>
      <c r="AW276" s="225"/>
      <c r="AX276" s="225"/>
      <c r="AY276" s="225"/>
      <c r="AZ276" s="225"/>
      <c r="BA276" s="225"/>
      <c r="BB276" s="225"/>
      <c r="BC276" s="225"/>
      <c r="BD276" s="225"/>
      <c r="BE276" s="225"/>
      <c r="BF276" s="225"/>
      <c r="BG276" s="225"/>
      <c r="BH276" s="225"/>
      <c r="BI276" s="225"/>
      <c r="BJ276" s="225"/>
      <c r="BK276" s="225"/>
    </row>
    <row r="277" spans="48:63" ht="15.75" customHeight="1" x14ac:dyDescent="0.2">
      <c r="AV277" s="225"/>
      <c r="AW277" s="225"/>
      <c r="AX277" s="225"/>
      <c r="AY277" s="225"/>
      <c r="AZ277" s="225"/>
      <c r="BA277" s="225"/>
      <c r="BB277" s="225"/>
      <c r="BC277" s="225"/>
      <c r="BD277" s="225"/>
      <c r="BE277" s="225"/>
      <c r="BF277" s="225"/>
      <c r="BG277" s="225"/>
      <c r="BH277" s="225"/>
      <c r="BI277" s="225"/>
      <c r="BJ277" s="225"/>
      <c r="BK277" s="225"/>
    </row>
    <row r="278" spans="48:63" ht="15.75" customHeight="1" x14ac:dyDescent="0.2">
      <c r="AV278" s="225"/>
      <c r="AW278" s="225"/>
      <c r="AX278" s="225"/>
      <c r="AY278" s="225"/>
      <c r="AZ278" s="225"/>
      <c r="BA278" s="225"/>
      <c r="BB278" s="225"/>
      <c r="BC278" s="225"/>
      <c r="BD278" s="225"/>
      <c r="BE278" s="225"/>
      <c r="BF278" s="225"/>
      <c r="BG278" s="225"/>
      <c r="BH278" s="225"/>
      <c r="BI278" s="225"/>
      <c r="BJ278" s="225"/>
      <c r="BK278" s="225"/>
    </row>
    <row r="279" spans="48:63" ht="15.75" customHeight="1" x14ac:dyDescent="0.2">
      <c r="AV279" s="225"/>
      <c r="AW279" s="225"/>
      <c r="AX279" s="225"/>
      <c r="AY279" s="225"/>
      <c r="AZ279" s="225"/>
      <c r="BA279" s="225"/>
      <c r="BB279" s="225"/>
      <c r="BC279" s="225"/>
      <c r="BD279" s="225"/>
      <c r="BE279" s="225"/>
      <c r="BF279" s="225"/>
      <c r="BG279" s="225"/>
      <c r="BH279" s="225"/>
      <c r="BI279" s="225"/>
      <c r="BJ279" s="225"/>
      <c r="BK279" s="225"/>
    </row>
    <row r="280" spans="48:63" ht="15.75" customHeight="1" x14ac:dyDescent="0.2">
      <c r="AV280" s="225"/>
      <c r="AW280" s="225"/>
      <c r="AX280" s="225"/>
      <c r="AY280" s="225"/>
      <c r="AZ280" s="225"/>
      <c r="BA280" s="225"/>
      <c r="BB280" s="225"/>
      <c r="BC280" s="225"/>
      <c r="BD280" s="225"/>
      <c r="BE280" s="225"/>
      <c r="BF280" s="225"/>
      <c r="BG280" s="225"/>
      <c r="BH280" s="225"/>
      <c r="BI280" s="225"/>
      <c r="BJ280" s="225"/>
      <c r="BK280" s="225"/>
    </row>
    <row r="281" spans="48:63" ht="15.75" customHeight="1" x14ac:dyDescent="0.2">
      <c r="AV281" s="225"/>
      <c r="AW281" s="225"/>
      <c r="AX281" s="225"/>
      <c r="AY281" s="225"/>
      <c r="AZ281" s="225"/>
      <c r="BA281" s="225"/>
      <c r="BB281" s="225"/>
      <c r="BC281" s="225"/>
      <c r="BD281" s="225"/>
      <c r="BE281" s="225"/>
      <c r="BF281" s="225"/>
      <c r="BG281" s="225"/>
      <c r="BH281" s="225"/>
      <c r="BI281" s="225"/>
      <c r="BJ281" s="225"/>
      <c r="BK281" s="225"/>
    </row>
    <row r="282" spans="48:63" ht="15.75" customHeight="1" x14ac:dyDescent="0.2">
      <c r="AV282" s="225"/>
      <c r="AW282" s="225"/>
      <c r="AX282" s="225"/>
      <c r="AY282" s="225"/>
      <c r="AZ282" s="225"/>
      <c r="BA282" s="225"/>
      <c r="BB282" s="225"/>
      <c r="BC282" s="225"/>
      <c r="BD282" s="225"/>
      <c r="BE282" s="225"/>
      <c r="BF282" s="225"/>
      <c r="BG282" s="225"/>
      <c r="BH282" s="225"/>
      <c r="BI282" s="225"/>
      <c r="BJ282" s="225"/>
      <c r="BK282" s="225"/>
    </row>
    <row r="283" spans="48:63" ht="15.75" customHeight="1" x14ac:dyDescent="0.2">
      <c r="AV283" s="225"/>
      <c r="AW283" s="225"/>
      <c r="AX283" s="225"/>
      <c r="AY283" s="225"/>
      <c r="AZ283" s="225"/>
      <c r="BA283" s="225"/>
      <c r="BB283" s="225"/>
      <c r="BC283" s="225"/>
      <c r="BD283" s="225"/>
      <c r="BE283" s="225"/>
      <c r="BF283" s="225"/>
      <c r="BG283" s="225"/>
      <c r="BH283" s="225"/>
      <c r="BI283" s="225"/>
      <c r="BJ283" s="225"/>
      <c r="BK283" s="225"/>
    </row>
    <row r="284" spans="48:63" ht="15.75" customHeight="1" x14ac:dyDescent="0.2">
      <c r="AV284" s="225"/>
      <c r="AW284" s="225"/>
      <c r="AX284" s="225"/>
      <c r="AY284" s="225"/>
      <c r="AZ284" s="225"/>
      <c r="BA284" s="225"/>
      <c r="BB284" s="225"/>
      <c r="BC284" s="225"/>
      <c r="BD284" s="225"/>
      <c r="BE284" s="225"/>
      <c r="BF284" s="225"/>
      <c r="BG284" s="225"/>
      <c r="BH284" s="225"/>
      <c r="BI284" s="225"/>
      <c r="BJ284" s="225"/>
      <c r="BK284" s="225"/>
    </row>
    <row r="285" spans="48:63" ht="15.75" customHeight="1" x14ac:dyDescent="0.2">
      <c r="AV285" s="225"/>
      <c r="AW285" s="225"/>
      <c r="AX285" s="225"/>
      <c r="AY285" s="225"/>
      <c r="AZ285" s="225"/>
      <c r="BA285" s="225"/>
      <c r="BB285" s="225"/>
      <c r="BC285" s="225"/>
      <c r="BD285" s="225"/>
      <c r="BE285" s="225"/>
      <c r="BF285" s="225"/>
      <c r="BG285" s="225"/>
      <c r="BH285" s="225"/>
      <c r="BI285" s="225"/>
      <c r="BJ285" s="225"/>
      <c r="BK285" s="225"/>
    </row>
    <row r="286" spans="48:63" ht="15.75" customHeight="1" x14ac:dyDescent="0.2">
      <c r="AV286" s="225"/>
      <c r="AW286" s="225"/>
      <c r="AX286" s="225"/>
      <c r="AY286" s="225"/>
      <c r="AZ286" s="225"/>
      <c r="BA286" s="225"/>
      <c r="BB286" s="225"/>
      <c r="BC286" s="225"/>
      <c r="BD286" s="225"/>
      <c r="BE286" s="225"/>
      <c r="BF286" s="225"/>
      <c r="BG286" s="225"/>
      <c r="BH286" s="225"/>
      <c r="BI286" s="225"/>
      <c r="BJ286" s="225"/>
      <c r="BK286" s="225"/>
    </row>
    <row r="287" spans="48:63" ht="15.75" customHeight="1" x14ac:dyDescent="0.2">
      <c r="AV287" s="225"/>
      <c r="AW287" s="225"/>
      <c r="AX287" s="225"/>
      <c r="AY287" s="225"/>
      <c r="AZ287" s="225"/>
      <c r="BA287" s="225"/>
      <c r="BB287" s="225"/>
      <c r="BC287" s="225"/>
      <c r="BD287" s="225"/>
      <c r="BE287" s="225"/>
      <c r="BF287" s="225"/>
      <c r="BG287" s="225"/>
      <c r="BH287" s="225"/>
      <c r="BI287" s="225"/>
      <c r="BJ287" s="225"/>
      <c r="BK287" s="225"/>
    </row>
    <row r="288" spans="48:63" ht="15.75" customHeight="1" x14ac:dyDescent="0.2">
      <c r="AV288" s="225"/>
      <c r="AW288" s="225"/>
      <c r="AX288" s="225"/>
      <c r="AY288" s="225"/>
      <c r="AZ288" s="225"/>
      <c r="BA288" s="225"/>
      <c r="BB288" s="225"/>
      <c r="BC288" s="225"/>
      <c r="BD288" s="225"/>
      <c r="BE288" s="225"/>
      <c r="BF288" s="225"/>
      <c r="BG288" s="225"/>
      <c r="BH288" s="225"/>
      <c r="BI288" s="225"/>
      <c r="BJ288" s="225"/>
      <c r="BK288" s="225"/>
    </row>
    <row r="289" spans="48:63" ht="15.75" customHeight="1" x14ac:dyDescent="0.2">
      <c r="AV289" s="225"/>
      <c r="AW289" s="225"/>
      <c r="AX289" s="225"/>
      <c r="AY289" s="225"/>
      <c r="AZ289" s="225"/>
      <c r="BA289" s="225"/>
      <c r="BB289" s="225"/>
      <c r="BC289" s="225"/>
      <c r="BD289" s="225"/>
      <c r="BE289" s="225"/>
      <c r="BF289" s="225"/>
      <c r="BG289" s="225"/>
      <c r="BH289" s="225"/>
      <c r="BI289" s="225"/>
      <c r="BJ289" s="225"/>
      <c r="BK289" s="225"/>
    </row>
    <row r="290" spans="48:63" ht="15.75" customHeight="1" x14ac:dyDescent="0.2">
      <c r="AV290" s="225"/>
      <c r="AW290" s="225"/>
      <c r="AX290" s="225"/>
      <c r="AY290" s="225"/>
      <c r="AZ290" s="225"/>
      <c r="BA290" s="225"/>
      <c r="BB290" s="225"/>
      <c r="BC290" s="225"/>
      <c r="BD290" s="225"/>
      <c r="BE290" s="225"/>
      <c r="BF290" s="225"/>
      <c r="BG290" s="225"/>
      <c r="BH290" s="225"/>
      <c r="BI290" s="225"/>
      <c r="BJ290" s="225"/>
      <c r="BK290" s="225"/>
    </row>
    <row r="291" spans="48:63" ht="15.75" customHeight="1" x14ac:dyDescent="0.2">
      <c r="AV291" s="225"/>
      <c r="AW291" s="225"/>
      <c r="AX291" s="225"/>
      <c r="AY291" s="225"/>
      <c r="AZ291" s="225"/>
      <c r="BA291" s="225"/>
      <c r="BB291" s="225"/>
      <c r="BC291" s="225"/>
      <c r="BD291" s="225"/>
      <c r="BE291" s="225"/>
      <c r="BF291" s="225"/>
      <c r="BG291" s="225"/>
      <c r="BH291" s="225"/>
      <c r="BI291" s="225"/>
      <c r="BJ291" s="225"/>
      <c r="BK291" s="225"/>
    </row>
    <row r="292" spans="48:63" ht="15.75" customHeight="1" x14ac:dyDescent="0.2">
      <c r="AV292" s="225"/>
      <c r="AW292" s="225"/>
      <c r="AX292" s="225"/>
      <c r="AY292" s="225"/>
      <c r="AZ292" s="225"/>
      <c r="BA292" s="225"/>
      <c r="BB292" s="225"/>
      <c r="BC292" s="225"/>
      <c r="BD292" s="225"/>
      <c r="BE292" s="225"/>
      <c r="BF292" s="225"/>
      <c r="BG292" s="225"/>
      <c r="BH292" s="225"/>
      <c r="BI292" s="225"/>
      <c r="BJ292" s="225"/>
      <c r="BK292" s="225"/>
    </row>
    <row r="293" spans="48:63" ht="15.75" customHeight="1" x14ac:dyDescent="0.2">
      <c r="AV293" s="225"/>
      <c r="AW293" s="225"/>
      <c r="AX293" s="225"/>
      <c r="AY293" s="225"/>
      <c r="AZ293" s="225"/>
      <c r="BA293" s="225"/>
      <c r="BB293" s="225"/>
      <c r="BC293" s="225"/>
      <c r="BD293" s="225"/>
      <c r="BE293" s="225"/>
      <c r="BF293" s="225"/>
      <c r="BG293" s="225"/>
      <c r="BH293" s="225"/>
      <c r="BI293" s="225"/>
      <c r="BJ293" s="225"/>
      <c r="BK293" s="225"/>
    </row>
    <row r="294" spans="48:63" ht="15.75" customHeight="1" x14ac:dyDescent="0.2">
      <c r="AV294" s="225"/>
      <c r="AW294" s="225"/>
      <c r="AX294" s="225"/>
      <c r="AY294" s="225"/>
      <c r="AZ294" s="225"/>
      <c r="BA294" s="225"/>
      <c r="BB294" s="225"/>
      <c r="BC294" s="225"/>
      <c r="BD294" s="225"/>
      <c r="BE294" s="225"/>
      <c r="BF294" s="225"/>
      <c r="BG294" s="225"/>
      <c r="BH294" s="225"/>
      <c r="BI294" s="225"/>
      <c r="BJ294" s="225"/>
      <c r="BK294" s="225"/>
    </row>
    <row r="295" spans="48:63" ht="15.75" customHeight="1" x14ac:dyDescent="0.2">
      <c r="AV295" s="225"/>
      <c r="AW295" s="225"/>
      <c r="AX295" s="225"/>
      <c r="AY295" s="225"/>
      <c r="AZ295" s="225"/>
      <c r="BA295" s="225"/>
      <c r="BB295" s="225"/>
      <c r="BC295" s="225"/>
      <c r="BD295" s="225"/>
      <c r="BE295" s="225"/>
      <c r="BF295" s="225"/>
      <c r="BG295" s="225"/>
      <c r="BH295" s="225"/>
      <c r="BI295" s="225"/>
      <c r="BJ295" s="225"/>
      <c r="BK295" s="225"/>
    </row>
    <row r="296" spans="48:63" ht="15.75" customHeight="1" x14ac:dyDescent="0.2">
      <c r="AV296" s="225"/>
      <c r="AW296" s="225"/>
      <c r="AX296" s="225"/>
      <c r="AY296" s="225"/>
      <c r="AZ296" s="225"/>
      <c r="BA296" s="225"/>
      <c r="BB296" s="225"/>
      <c r="BC296" s="225"/>
      <c r="BD296" s="225"/>
      <c r="BE296" s="225"/>
      <c r="BF296" s="225"/>
      <c r="BG296" s="225"/>
      <c r="BH296" s="225"/>
      <c r="BI296" s="225"/>
      <c r="BJ296" s="225"/>
      <c r="BK296" s="225"/>
    </row>
    <row r="297" spans="48:63" ht="15.75" customHeight="1" x14ac:dyDescent="0.2">
      <c r="AV297" s="225"/>
      <c r="AW297" s="225"/>
      <c r="AX297" s="225"/>
      <c r="AY297" s="225"/>
      <c r="AZ297" s="225"/>
      <c r="BA297" s="225"/>
      <c r="BB297" s="225"/>
      <c r="BC297" s="225"/>
      <c r="BD297" s="225"/>
      <c r="BE297" s="225"/>
      <c r="BF297" s="225"/>
      <c r="BG297" s="225"/>
      <c r="BH297" s="225"/>
      <c r="BI297" s="225"/>
      <c r="BJ297" s="225"/>
      <c r="BK297" s="225"/>
    </row>
    <row r="298" spans="48:63" ht="15.75" customHeight="1" x14ac:dyDescent="0.2">
      <c r="AV298" s="225"/>
      <c r="AW298" s="225"/>
      <c r="AX298" s="225"/>
      <c r="AY298" s="225"/>
      <c r="AZ298" s="225"/>
      <c r="BA298" s="225"/>
      <c r="BB298" s="225"/>
      <c r="BC298" s="225"/>
      <c r="BD298" s="225"/>
      <c r="BE298" s="225"/>
      <c r="BF298" s="225"/>
      <c r="BG298" s="225"/>
      <c r="BH298" s="225"/>
      <c r="BI298" s="225"/>
      <c r="BJ298" s="225"/>
      <c r="BK298" s="225"/>
    </row>
    <row r="299" spans="48:63" ht="15.75" customHeight="1" x14ac:dyDescent="0.2">
      <c r="AV299" s="225"/>
      <c r="AW299" s="225"/>
      <c r="AX299" s="225"/>
      <c r="AY299" s="225"/>
      <c r="AZ299" s="225"/>
      <c r="BA299" s="225"/>
      <c r="BB299" s="225"/>
      <c r="BC299" s="225"/>
      <c r="BD299" s="225"/>
      <c r="BE299" s="225"/>
      <c r="BF299" s="225"/>
      <c r="BG299" s="225"/>
      <c r="BH299" s="225"/>
      <c r="BI299" s="225"/>
      <c r="BJ299" s="225"/>
      <c r="BK299" s="225"/>
    </row>
    <row r="300" spans="48:63" ht="15.75" customHeight="1" x14ac:dyDescent="0.2">
      <c r="AV300" s="225"/>
      <c r="AW300" s="225"/>
      <c r="AX300" s="225"/>
      <c r="AY300" s="225"/>
      <c r="AZ300" s="225"/>
      <c r="BA300" s="225"/>
      <c r="BB300" s="225"/>
      <c r="BC300" s="225"/>
      <c r="BD300" s="225"/>
      <c r="BE300" s="225"/>
      <c r="BF300" s="225"/>
      <c r="BG300" s="225"/>
      <c r="BH300" s="225"/>
      <c r="BI300" s="225"/>
      <c r="BJ300" s="225"/>
      <c r="BK300" s="225"/>
    </row>
    <row r="301" spans="48:63" ht="15.75" customHeight="1" x14ac:dyDescent="0.2">
      <c r="AV301" s="225"/>
      <c r="AW301" s="225"/>
      <c r="AX301" s="225"/>
      <c r="AY301" s="225"/>
      <c r="AZ301" s="225"/>
      <c r="BA301" s="225"/>
      <c r="BB301" s="225"/>
      <c r="BC301" s="225"/>
      <c r="BD301" s="225"/>
      <c r="BE301" s="225"/>
      <c r="BF301" s="225"/>
      <c r="BG301" s="225"/>
      <c r="BH301" s="225"/>
      <c r="BI301" s="225"/>
      <c r="BJ301" s="225"/>
      <c r="BK301" s="225"/>
    </row>
    <row r="302" spans="48:63" ht="15.75" customHeight="1" x14ac:dyDescent="0.2">
      <c r="AV302" s="225"/>
      <c r="AW302" s="225"/>
      <c r="AX302" s="225"/>
      <c r="AY302" s="225"/>
      <c r="AZ302" s="225"/>
      <c r="BA302" s="225"/>
      <c r="BB302" s="225"/>
      <c r="BC302" s="225"/>
      <c r="BD302" s="225"/>
      <c r="BE302" s="225"/>
      <c r="BF302" s="225"/>
      <c r="BG302" s="225"/>
      <c r="BH302" s="225"/>
      <c r="BI302" s="225"/>
      <c r="BJ302" s="225"/>
      <c r="BK302" s="225"/>
    </row>
    <row r="303" spans="48:63" ht="15.75" customHeight="1" x14ac:dyDescent="0.2">
      <c r="AV303" s="225"/>
      <c r="AW303" s="225"/>
      <c r="AX303" s="225"/>
      <c r="AY303" s="225"/>
      <c r="AZ303" s="225"/>
      <c r="BA303" s="225"/>
      <c r="BB303" s="225"/>
      <c r="BC303" s="225"/>
      <c r="BD303" s="225"/>
      <c r="BE303" s="225"/>
      <c r="BF303" s="225"/>
      <c r="BG303" s="225"/>
      <c r="BH303" s="225"/>
      <c r="BI303" s="225"/>
      <c r="BJ303" s="225"/>
      <c r="BK303" s="225"/>
    </row>
    <row r="304" spans="48:63" ht="15.75" customHeight="1" x14ac:dyDescent="0.2">
      <c r="AV304" s="225"/>
      <c r="AW304" s="225"/>
      <c r="AX304" s="225"/>
      <c r="AY304" s="225"/>
      <c r="AZ304" s="225"/>
      <c r="BA304" s="225"/>
      <c r="BB304" s="225"/>
      <c r="BC304" s="225"/>
      <c r="BD304" s="225"/>
      <c r="BE304" s="225"/>
      <c r="BF304" s="225"/>
      <c r="BG304" s="225"/>
      <c r="BH304" s="225"/>
      <c r="BI304" s="225"/>
      <c r="BJ304" s="225"/>
      <c r="BK304" s="225"/>
    </row>
    <row r="305" spans="48:63" ht="15.75" customHeight="1" x14ac:dyDescent="0.2">
      <c r="AV305" s="225"/>
      <c r="AW305" s="225"/>
      <c r="AX305" s="225"/>
      <c r="AY305" s="225"/>
      <c r="AZ305" s="225"/>
      <c r="BA305" s="225"/>
      <c r="BB305" s="225"/>
      <c r="BC305" s="225"/>
      <c r="BD305" s="225"/>
      <c r="BE305" s="225"/>
      <c r="BF305" s="225"/>
      <c r="BG305" s="225"/>
      <c r="BH305" s="225"/>
      <c r="BI305" s="225"/>
      <c r="BJ305" s="225"/>
      <c r="BK305" s="225"/>
    </row>
    <row r="306" spans="48:63" ht="15.75" customHeight="1" x14ac:dyDescent="0.2">
      <c r="AV306" s="225"/>
      <c r="AW306" s="225"/>
      <c r="AX306" s="225"/>
      <c r="AY306" s="225"/>
      <c r="AZ306" s="225"/>
      <c r="BA306" s="225"/>
      <c r="BB306" s="225"/>
      <c r="BC306" s="225"/>
      <c r="BD306" s="225"/>
      <c r="BE306" s="225"/>
      <c r="BF306" s="225"/>
      <c r="BG306" s="225"/>
      <c r="BH306" s="225"/>
      <c r="BI306" s="225"/>
      <c r="BJ306" s="225"/>
      <c r="BK306" s="225"/>
    </row>
    <row r="307" spans="48:63" ht="15.75" customHeight="1" x14ac:dyDescent="0.2">
      <c r="AV307" s="225"/>
      <c r="AW307" s="225"/>
      <c r="AX307" s="225"/>
      <c r="AY307" s="225"/>
      <c r="AZ307" s="225"/>
      <c r="BA307" s="225"/>
      <c r="BB307" s="225"/>
      <c r="BC307" s="225"/>
      <c r="BD307" s="225"/>
      <c r="BE307" s="225"/>
      <c r="BF307" s="225"/>
      <c r="BG307" s="225"/>
      <c r="BH307" s="225"/>
      <c r="BI307" s="225"/>
      <c r="BJ307" s="225"/>
      <c r="BK307" s="225"/>
    </row>
    <row r="308" spans="48:63" ht="15.75" customHeight="1" x14ac:dyDescent="0.2">
      <c r="AV308" s="225"/>
      <c r="AW308" s="225"/>
      <c r="AX308" s="225"/>
      <c r="AY308" s="225"/>
      <c r="AZ308" s="225"/>
      <c r="BA308" s="225"/>
      <c r="BB308" s="225"/>
      <c r="BC308" s="225"/>
      <c r="BD308" s="225"/>
      <c r="BE308" s="225"/>
      <c r="BF308" s="225"/>
      <c r="BG308" s="225"/>
      <c r="BH308" s="225"/>
      <c r="BI308" s="225"/>
      <c r="BJ308" s="225"/>
      <c r="BK308" s="225"/>
    </row>
    <row r="309" spans="48:63" ht="15.75" customHeight="1" x14ac:dyDescent="0.2">
      <c r="AV309" s="225"/>
      <c r="AW309" s="225"/>
      <c r="AX309" s="225"/>
      <c r="AY309" s="225"/>
      <c r="AZ309" s="225"/>
      <c r="BA309" s="225"/>
      <c r="BB309" s="225"/>
      <c r="BC309" s="225"/>
      <c r="BD309" s="225"/>
      <c r="BE309" s="225"/>
      <c r="BF309" s="225"/>
      <c r="BG309" s="225"/>
      <c r="BH309" s="225"/>
      <c r="BI309" s="225"/>
      <c r="BJ309" s="225"/>
      <c r="BK309" s="225"/>
    </row>
    <row r="310" spans="48:63" ht="15.75" customHeight="1" x14ac:dyDescent="0.2">
      <c r="AV310" s="225"/>
      <c r="AW310" s="225"/>
      <c r="AX310" s="225"/>
      <c r="AY310" s="225"/>
      <c r="AZ310" s="225"/>
      <c r="BA310" s="225"/>
      <c r="BB310" s="225"/>
      <c r="BC310" s="225"/>
      <c r="BD310" s="225"/>
      <c r="BE310" s="225"/>
      <c r="BF310" s="225"/>
      <c r="BG310" s="225"/>
      <c r="BH310" s="225"/>
      <c r="BI310" s="225"/>
      <c r="BJ310" s="225"/>
      <c r="BK310" s="225"/>
    </row>
    <row r="311" spans="48:63" ht="15.75" customHeight="1" x14ac:dyDescent="0.2">
      <c r="AV311" s="225"/>
      <c r="AW311" s="225"/>
      <c r="AX311" s="225"/>
      <c r="AY311" s="225"/>
      <c r="AZ311" s="225"/>
      <c r="BA311" s="225"/>
      <c r="BB311" s="225"/>
      <c r="BC311" s="225"/>
      <c r="BD311" s="225"/>
      <c r="BE311" s="225"/>
      <c r="BF311" s="225"/>
      <c r="BG311" s="225"/>
      <c r="BH311" s="225"/>
      <c r="BI311" s="225"/>
      <c r="BJ311" s="225"/>
      <c r="BK311" s="225"/>
    </row>
    <row r="312" spans="48:63" ht="15.75" customHeight="1" x14ac:dyDescent="0.2">
      <c r="AV312" s="225"/>
      <c r="AW312" s="225"/>
      <c r="AX312" s="225"/>
      <c r="AY312" s="225"/>
      <c r="AZ312" s="225"/>
      <c r="BA312" s="225"/>
      <c r="BB312" s="225"/>
      <c r="BC312" s="225"/>
      <c r="BD312" s="225"/>
      <c r="BE312" s="225"/>
      <c r="BF312" s="225"/>
      <c r="BG312" s="225"/>
      <c r="BH312" s="225"/>
      <c r="BI312" s="225"/>
      <c r="BJ312" s="225"/>
      <c r="BK312" s="225"/>
    </row>
    <row r="313" spans="48:63" ht="15.75" customHeight="1" x14ac:dyDescent="0.2">
      <c r="AV313" s="225"/>
      <c r="AW313" s="225"/>
      <c r="AX313" s="225"/>
      <c r="AY313" s="225"/>
      <c r="AZ313" s="225"/>
      <c r="BA313" s="225"/>
      <c r="BB313" s="225"/>
      <c r="BC313" s="225"/>
      <c r="BD313" s="225"/>
      <c r="BE313" s="225"/>
      <c r="BF313" s="225"/>
      <c r="BG313" s="225"/>
      <c r="BH313" s="225"/>
      <c r="BI313" s="225"/>
      <c r="BJ313" s="225"/>
      <c r="BK313" s="225"/>
    </row>
    <row r="314" spans="48:63" ht="15.75" customHeight="1" x14ac:dyDescent="0.2">
      <c r="AV314" s="225"/>
      <c r="AW314" s="225"/>
      <c r="AX314" s="225"/>
      <c r="AY314" s="225"/>
      <c r="AZ314" s="225"/>
      <c r="BA314" s="225"/>
      <c r="BB314" s="225"/>
      <c r="BC314" s="225"/>
      <c r="BD314" s="225"/>
      <c r="BE314" s="225"/>
      <c r="BF314" s="225"/>
      <c r="BG314" s="225"/>
      <c r="BH314" s="225"/>
      <c r="BI314" s="225"/>
      <c r="BJ314" s="225"/>
      <c r="BK314" s="225"/>
    </row>
    <row r="315" spans="48:63" ht="15.75" customHeight="1" x14ac:dyDescent="0.2">
      <c r="AV315" s="225"/>
      <c r="AW315" s="225"/>
      <c r="AX315" s="225"/>
      <c r="AY315" s="225"/>
      <c r="AZ315" s="225"/>
      <c r="BA315" s="225"/>
      <c r="BB315" s="225"/>
      <c r="BC315" s="225"/>
      <c r="BD315" s="225"/>
      <c r="BE315" s="225"/>
      <c r="BF315" s="225"/>
      <c r="BG315" s="225"/>
      <c r="BH315" s="225"/>
      <c r="BI315" s="225"/>
      <c r="BJ315" s="225"/>
      <c r="BK315" s="225"/>
    </row>
    <row r="316" spans="48:63" ht="15.75" customHeight="1" x14ac:dyDescent="0.2">
      <c r="AV316" s="225"/>
      <c r="AW316" s="225"/>
      <c r="AX316" s="225"/>
      <c r="AY316" s="225"/>
      <c r="AZ316" s="225"/>
      <c r="BA316" s="225"/>
      <c r="BB316" s="225"/>
      <c r="BC316" s="225"/>
      <c r="BD316" s="225"/>
      <c r="BE316" s="225"/>
      <c r="BF316" s="225"/>
      <c r="BG316" s="225"/>
      <c r="BH316" s="225"/>
      <c r="BI316" s="225"/>
      <c r="BJ316" s="225"/>
      <c r="BK316" s="225"/>
    </row>
    <row r="317" spans="48:63" ht="15.75" customHeight="1" x14ac:dyDescent="0.2">
      <c r="AV317" s="225"/>
      <c r="AW317" s="225"/>
      <c r="AX317" s="225"/>
      <c r="AY317" s="225"/>
      <c r="AZ317" s="225"/>
      <c r="BA317" s="225"/>
      <c r="BB317" s="225"/>
      <c r="BC317" s="225"/>
      <c r="BD317" s="225"/>
      <c r="BE317" s="225"/>
      <c r="BF317" s="225"/>
      <c r="BG317" s="225"/>
      <c r="BH317" s="225"/>
      <c r="BI317" s="225"/>
      <c r="BJ317" s="225"/>
      <c r="BK317" s="225"/>
    </row>
    <row r="318" spans="48:63" ht="15.75" customHeight="1" x14ac:dyDescent="0.2">
      <c r="AV318" s="225"/>
      <c r="AW318" s="225"/>
      <c r="AX318" s="225"/>
      <c r="AY318" s="225"/>
      <c r="AZ318" s="225"/>
      <c r="BA318" s="225"/>
      <c r="BB318" s="225"/>
      <c r="BC318" s="225"/>
      <c r="BD318" s="225"/>
      <c r="BE318" s="225"/>
      <c r="BF318" s="225"/>
      <c r="BG318" s="225"/>
      <c r="BH318" s="225"/>
      <c r="BI318" s="225"/>
      <c r="BJ318" s="225"/>
      <c r="BK318" s="225"/>
    </row>
    <row r="319" spans="48:63" ht="15.75" customHeight="1" x14ac:dyDescent="0.2">
      <c r="AV319" s="225"/>
      <c r="AW319" s="225"/>
      <c r="AX319" s="225"/>
      <c r="AY319" s="225"/>
      <c r="AZ319" s="225"/>
      <c r="BA319" s="225"/>
      <c r="BB319" s="225"/>
      <c r="BC319" s="225"/>
      <c r="BD319" s="225"/>
      <c r="BE319" s="225"/>
      <c r="BF319" s="225"/>
      <c r="BG319" s="225"/>
      <c r="BH319" s="225"/>
      <c r="BI319" s="225"/>
      <c r="BJ319" s="225"/>
      <c r="BK319" s="225"/>
    </row>
    <row r="320" spans="48:63" ht="15.75" customHeight="1" x14ac:dyDescent="0.2">
      <c r="AV320" s="225"/>
      <c r="AW320" s="225"/>
      <c r="AX320" s="225"/>
      <c r="AY320" s="225"/>
      <c r="AZ320" s="225"/>
      <c r="BA320" s="225"/>
      <c r="BB320" s="225"/>
      <c r="BC320" s="225"/>
      <c r="BD320" s="225"/>
      <c r="BE320" s="225"/>
      <c r="BF320" s="225"/>
      <c r="BG320" s="225"/>
      <c r="BH320" s="225"/>
      <c r="BI320" s="225"/>
      <c r="BJ320" s="225"/>
      <c r="BK320" s="225"/>
    </row>
    <row r="321" spans="48:63" ht="15.75" customHeight="1" x14ac:dyDescent="0.2">
      <c r="AV321" s="225"/>
      <c r="AW321" s="225"/>
      <c r="AX321" s="225"/>
      <c r="AY321" s="225"/>
      <c r="AZ321" s="225"/>
      <c r="BA321" s="225"/>
      <c r="BB321" s="225"/>
      <c r="BC321" s="225"/>
      <c r="BD321" s="225"/>
      <c r="BE321" s="225"/>
      <c r="BF321" s="225"/>
      <c r="BG321" s="225"/>
      <c r="BH321" s="225"/>
      <c r="BI321" s="225"/>
      <c r="BJ321" s="225"/>
      <c r="BK321" s="225"/>
    </row>
    <row r="322" spans="48:63" ht="15.75" customHeight="1" x14ac:dyDescent="0.2">
      <c r="AV322" s="225"/>
      <c r="AW322" s="225"/>
      <c r="AX322" s="225"/>
      <c r="AY322" s="225"/>
      <c r="AZ322" s="225"/>
      <c r="BA322" s="225"/>
      <c r="BB322" s="225"/>
      <c r="BC322" s="225"/>
      <c r="BD322" s="225"/>
      <c r="BE322" s="225"/>
      <c r="BF322" s="225"/>
      <c r="BG322" s="225"/>
      <c r="BH322" s="225"/>
      <c r="BI322" s="225"/>
      <c r="BJ322" s="225"/>
      <c r="BK322" s="225"/>
    </row>
    <row r="323" spans="48:63" ht="15.75" customHeight="1" x14ac:dyDescent="0.2">
      <c r="AV323" s="225"/>
      <c r="AW323" s="225"/>
      <c r="AX323" s="225"/>
      <c r="AY323" s="225"/>
      <c r="AZ323" s="225"/>
      <c r="BA323" s="225"/>
      <c r="BB323" s="225"/>
      <c r="BC323" s="225"/>
      <c r="BD323" s="225"/>
      <c r="BE323" s="225"/>
      <c r="BF323" s="225"/>
      <c r="BG323" s="225"/>
      <c r="BH323" s="225"/>
      <c r="BI323" s="225"/>
      <c r="BJ323" s="225"/>
      <c r="BK323" s="225"/>
    </row>
    <row r="324" spans="48:63" ht="15.75" customHeight="1" x14ac:dyDescent="0.2">
      <c r="AV324" s="225"/>
      <c r="AW324" s="225"/>
      <c r="AX324" s="225"/>
      <c r="AY324" s="225"/>
      <c r="AZ324" s="225"/>
      <c r="BA324" s="225"/>
      <c r="BB324" s="225"/>
      <c r="BC324" s="225"/>
      <c r="BD324" s="225"/>
      <c r="BE324" s="225"/>
      <c r="BF324" s="225"/>
      <c r="BG324" s="225"/>
      <c r="BH324" s="225"/>
      <c r="BI324" s="225"/>
      <c r="BJ324" s="225"/>
      <c r="BK324" s="225"/>
    </row>
    <row r="325" spans="48:63" ht="15.75" customHeight="1" x14ac:dyDescent="0.2">
      <c r="AV325" s="225"/>
      <c r="AW325" s="225"/>
      <c r="AX325" s="225"/>
      <c r="AY325" s="225"/>
      <c r="AZ325" s="225"/>
      <c r="BA325" s="225"/>
      <c r="BB325" s="225"/>
      <c r="BC325" s="225"/>
      <c r="BD325" s="225"/>
      <c r="BE325" s="225"/>
      <c r="BF325" s="225"/>
      <c r="BG325" s="225"/>
      <c r="BH325" s="225"/>
      <c r="BI325" s="225"/>
      <c r="BJ325" s="225"/>
      <c r="BK325" s="225"/>
    </row>
    <row r="326" spans="48:63" ht="15.75" customHeight="1" x14ac:dyDescent="0.2">
      <c r="AV326" s="225"/>
      <c r="AW326" s="225"/>
      <c r="AX326" s="225"/>
      <c r="AY326" s="225"/>
      <c r="AZ326" s="225"/>
      <c r="BA326" s="225"/>
      <c r="BB326" s="225"/>
      <c r="BC326" s="225"/>
      <c r="BD326" s="225"/>
      <c r="BE326" s="225"/>
      <c r="BF326" s="225"/>
      <c r="BG326" s="225"/>
      <c r="BH326" s="225"/>
      <c r="BI326" s="225"/>
      <c r="BJ326" s="225"/>
      <c r="BK326" s="225"/>
    </row>
    <row r="327" spans="48:63" ht="15.75" customHeight="1" x14ac:dyDescent="0.2">
      <c r="AV327" s="225"/>
      <c r="AW327" s="225"/>
      <c r="AX327" s="225"/>
      <c r="AY327" s="225"/>
      <c r="AZ327" s="225"/>
      <c r="BA327" s="225"/>
      <c r="BB327" s="225"/>
      <c r="BC327" s="225"/>
      <c r="BD327" s="225"/>
      <c r="BE327" s="225"/>
      <c r="BF327" s="225"/>
      <c r="BG327" s="225"/>
      <c r="BH327" s="225"/>
      <c r="BI327" s="225"/>
      <c r="BJ327" s="225"/>
      <c r="BK327" s="225"/>
    </row>
    <row r="328" spans="48:63" ht="15.75" customHeight="1" x14ac:dyDescent="0.2">
      <c r="AV328" s="225"/>
      <c r="AW328" s="225"/>
      <c r="AX328" s="225"/>
      <c r="AY328" s="225"/>
      <c r="AZ328" s="225"/>
      <c r="BA328" s="225"/>
      <c r="BB328" s="225"/>
      <c r="BC328" s="225"/>
      <c r="BD328" s="225"/>
      <c r="BE328" s="225"/>
      <c r="BF328" s="225"/>
      <c r="BG328" s="225"/>
      <c r="BH328" s="225"/>
      <c r="BI328" s="225"/>
      <c r="BJ328" s="225"/>
      <c r="BK328" s="225"/>
    </row>
    <row r="329" spans="48:63" ht="15.75" customHeight="1" x14ac:dyDescent="0.2">
      <c r="AV329" s="225"/>
      <c r="AW329" s="225"/>
      <c r="AX329" s="225"/>
      <c r="AY329" s="225"/>
      <c r="AZ329" s="225"/>
      <c r="BA329" s="225"/>
      <c r="BB329" s="225"/>
      <c r="BC329" s="225"/>
      <c r="BD329" s="225"/>
      <c r="BE329" s="225"/>
      <c r="BF329" s="225"/>
      <c r="BG329" s="225"/>
      <c r="BH329" s="225"/>
      <c r="BI329" s="225"/>
      <c r="BJ329" s="225"/>
      <c r="BK329" s="225"/>
    </row>
    <row r="330" spans="48:63" ht="15.75" customHeight="1" x14ac:dyDescent="0.2">
      <c r="AV330" s="225"/>
      <c r="AW330" s="225"/>
      <c r="AX330" s="225"/>
      <c r="AY330" s="225"/>
      <c r="AZ330" s="225"/>
      <c r="BA330" s="225"/>
      <c r="BB330" s="225"/>
      <c r="BC330" s="225"/>
      <c r="BD330" s="225"/>
      <c r="BE330" s="225"/>
      <c r="BF330" s="225"/>
      <c r="BG330" s="225"/>
      <c r="BH330" s="225"/>
      <c r="BI330" s="225"/>
      <c r="BJ330" s="225"/>
      <c r="BK330" s="225"/>
    </row>
    <row r="331" spans="48:63" ht="15.75" customHeight="1" x14ac:dyDescent="0.2">
      <c r="AV331" s="225"/>
      <c r="AW331" s="225"/>
      <c r="AX331" s="225"/>
      <c r="AY331" s="225"/>
      <c r="AZ331" s="225"/>
      <c r="BA331" s="225"/>
      <c r="BB331" s="225"/>
      <c r="BC331" s="225"/>
      <c r="BD331" s="225"/>
      <c r="BE331" s="225"/>
      <c r="BF331" s="225"/>
      <c r="BG331" s="225"/>
      <c r="BH331" s="225"/>
      <c r="BI331" s="225"/>
      <c r="BJ331" s="225"/>
      <c r="BK331" s="225"/>
    </row>
    <row r="332" spans="48:63" ht="15.75" customHeight="1" x14ac:dyDescent="0.2">
      <c r="AV332" s="225"/>
      <c r="AW332" s="225"/>
      <c r="AX332" s="225"/>
      <c r="AY332" s="225"/>
      <c r="AZ332" s="225"/>
      <c r="BA332" s="225"/>
      <c r="BB332" s="225"/>
      <c r="BC332" s="225"/>
      <c r="BD332" s="225"/>
      <c r="BE332" s="225"/>
      <c r="BF332" s="225"/>
      <c r="BG332" s="225"/>
      <c r="BH332" s="225"/>
      <c r="BI332" s="225"/>
      <c r="BJ332" s="225"/>
      <c r="BK332" s="225"/>
    </row>
    <row r="333" spans="48:63" ht="15.75" customHeight="1" x14ac:dyDescent="0.2">
      <c r="AV333" s="225"/>
      <c r="AW333" s="225"/>
      <c r="AX333" s="225"/>
      <c r="AY333" s="225"/>
      <c r="AZ333" s="225"/>
      <c r="BA333" s="225"/>
      <c r="BB333" s="225"/>
      <c r="BC333" s="225"/>
      <c r="BD333" s="225"/>
      <c r="BE333" s="225"/>
      <c r="BF333" s="225"/>
      <c r="BG333" s="225"/>
      <c r="BH333" s="225"/>
      <c r="BI333" s="225"/>
      <c r="BJ333" s="225"/>
      <c r="BK333" s="225"/>
    </row>
    <row r="334" spans="48:63" ht="15.75" customHeight="1" x14ac:dyDescent="0.2">
      <c r="AV334" s="225"/>
      <c r="AW334" s="225"/>
      <c r="AX334" s="225"/>
      <c r="AY334" s="225"/>
      <c r="AZ334" s="225"/>
      <c r="BA334" s="225"/>
      <c r="BB334" s="225"/>
      <c r="BC334" s="225"/>
      <c r="BD334" s="225"/>
      <c r="BE334" s="225"/>
      <c r="BF334" s="225"/>
      <c r="BG334" s="225"/>
      <c r="BH334" s="225"/>
      <c r="BI334" s="225"/>
      <c r="BJ334" s="225"/>
      <c r="BK334" s="225"/>
    </row>
    <row r="335" spans="48:63" ht="15.75" customHeight="1" x14ac:dyDescent="0.2">
      <c r="AV335" s="225"/>
      <c r="AW335" s="225"/>
      <c r="AX335" s="225"/>
      <c r="AY335" s="225"/>
      <c r="AZ335" s="225"/>
      <c r="BA335" s="225"/>
      <c r="BB335" s="225"/>
      <c r="BC335" s="225"/>
      <c r="BD335" s="225"/>
      <c r="BE335" s="225"/>
      <c r="BF335" s="225"/>
      <c r="BG335" s="225"/>
      <c r="BH335" s="225"/>
      <c r="BI335" s="225"/>
      <c r="BJ335" s="225"/>
      <c r="BK335" s="225"/>
    </row>
    <row r="336" spans="48:63" ht="15.75" customHeight="1" x14ac:dyDescent="0.2">
      <c r="AV336" s="225"/>
      <c r="AW336" s="225"/>
      <c r="AX336" s="225"/>
      <c r="AY336" s="225"/>
      <c r="AZ336" s="225"/>
      <c r="BA336" s="225"/>
      <c r="BB336" s="225"/>
      <c r="BC336" s="225"/>
      <c r="BD336" s="225"/>
      <c r="BE336" s="225"/>
      <c r="BF336" s="225"/>
      <c r="BG336" s="225"/>
      <c r="BH336" s="225"/>
      <c r="BI336" s="225"/>
      <c r="BJ336" s="225"/>
      <c r="BK336" s="225"/>
    </row>
    <row r="337" spans="48:63" ht="15.75" customHeight="1" x14ac:dyDescent="0.2">
      <c r="AV337" s="225"/>
      <c r="AW337" s="225"/>
      <c r="AX337" s="225"/>
      <c r="AY337" s="225"/>
      <c r="AZ337" s="225"/>
      <c r="BA337" s="225"/>
      <c r="BB337" s="225"/>
      <c r="BC337" s="225"/>
      <c r="BD337" s="225"/>
      <c r="BE337" s="225"/>
      <c r="BF337" s="225"/>
      <c r="BG337" s="225"/>
      <c r="BH337" s="225"/>
      <c r="BI337" s="225"/>
      <c r="BJ337" s="225"/>
      <c r="BK337" s="225"/>
    </row>
    <row r="338" spans="48:63" ht="15.75" customHeight="1" x14ac:dyDescent="0.2">
      <c r="AV338" s="225"/>
      <c r="AW338" s="225"/>
      <c r="AX338" s="225"/>
      <c r="AY338" s="225"/>
      <c r="AZ338" s="225"/>
      <c r="BA338" s="225"/>
      <c r="BB338" s="225"/>
      <c r="BC338" s="225"/>
      <c r="BD338" s="225"/>
      <c r="BE338" s="225"/>
      <c r="BF338" s="225"/>
      <c r="BG338" s="225"/>
      <c r="BH338" s="225"/>
      <c r="BI338" s="225"/>
      <c r="BJ338" s="225"/>
      <c r="BK338" s="225"/>
    </row>
    <row r="339" spans="48:63" ht="15.75" customHeight="1" x14ac:dyDescent="0.2">
      <c r="AV339" s="225"/>
      <c r="AW339" s="225"/>
      <c r="AX339" s="225"/>
      <c r="AY339" s="225"/>
      <c r="AZ339" s="225"/>
      <c r="BA339" s="225"/>
      <c r="BB339" s="225"/>
      <c r="BC339" s="225"/>
      <c r="BD339" s="225"/>
      <c r="BE339" s="225"/>
      <c r="BF339" s="225"/>
      <c r="BG339" s="225"/>
      <c r="BH339" s="225"/>
      <c r="BI339" s="225"/>
      <c r="BJ339" s="225"/>
      <c r="BK339" s="225"/>
    </row>
    <row r="340" spans="48:63" ht="15.75" customHeight="1" x14ac:dyDescent="0.2">
      <c r="AV340" s="225"/>
      <c r="AW340" s="225"/>
      <c r="AX340" s="225"/>
      <c r="AY340" s="225"/>
      <c r="AZ340" s="225"/>
      <c r="BA340" s="225"/>
      <c r="BB340" s="225"/>
      <c r="BC340" s="225"/>
      <c r="BD340" s="225"/>
      <c r="BE340" s="225"/>
      <c r="BF340" s="225"/>
      <c r="BG340" s="225"/>
      <c r="BH340" s="225"/>
      <c r="BI340" s="225"/>
      <c r="BJ340" s="225"/>
      <c r="BK340" s="225"/>
    </row>
    <row r="341" spans="48:63" ht="15.75" customHeight="1" x14ac:dyDescent="0.2">
      <c r="AV341" s="225"/>
      <c r="AW341" s="225"/>
      <c r="AX341" s="225"/>
      <c r="AY341" s="225"/>
      <c r="AZ341" s="225"/>
      <c r="BA341" s="225"/>
      <c r="BB341" s="225"/>
      <c r="BC341" s="225"/>
      <c r="BD341" s="225"/>
      <c r="BE341" s="225"/>
      <c r="BF341" s="225"/>
      <c r="BG341" s="225"/>
      <c r="BH341" s="225"/>
      <c r="BI341" s="225"/>
      <c r="BJ341" s="225"/>
      <c r="BK341" s="225"/>
    </row>
    <row r="342" spans="48:63" ht="15.75" customHeight="1" x14ac:dyDescent="0.2">
      <c r="AV342" s="225"/>
      <c r="AW342" s="225"/>
      <c r="AX342" s="225"/>
      <c r="AY342" s="225"/>
      <c r="AZ342" s="225"/>
      <c r="BA342" s="225"/>
      <c r="BB342" s="225"/>
      <c r="BC342" s="225"/>
      <c r="BD342" s="225"/>
      <c r="BE342" s="225"/>
      <c r="BF342" s="225"/>
      <c r="BG342" s="225"/>
      <c r="BH342" s="225"/>
      <c r="BI342" s="225"/>
      <c r="BJ342" s="225"/>
      <c r="BK342" s="225"/>
    </row>
    <row r="343" spans="48:63" ht="15.75" customHeight="1" x14ac:dyDescent="0.2">
      <c r="AV343" s="225"/>
      <c r="AW343" s="225"/>
      <c r="AX343" s="225"/>
      <c r="AY343" s="225"/>
      <c r="AZ343" s="225"/>
      <c r="BA343" s="225"/>
      <c r="BB343" s="225"/>
      <c r="BC343" s="225"/>
      <c r="BD343" s="225"/>
      <c r="BE343" s="225"/>
      <c r="BF343" s="225"/>
      <c r="BG343" s="225"/>
      <c r="BH343" s="225"/>
      <c r="BI343" s="225"/>
      <c r="BJ343" s="225"/>
      <c r="BK343" s="225"/>
    </row>
    <row r="344" spans="48:63" ht="15.75" customHeight="1" x14ac:dyDescent="0.2">
      <c r="AV344" s="225"/>
      <c r="AW344" s="225"/>
      <c r="AX344" s="225"/>
      <c r="AY344" s="225"/>
      <c r="AZ344" s="225"/>
      <c r="BA344" s="225"/>
      <c r="BB344" s="225"/>
      <c r="BC344" s="225"/>
      <c r="BD344" s="225"/>
      <c r="BE344" s="225"/>
      <c r="BF344" s="225"/>
      <c r="BG344" s="225"/>
      <c r="BH344" s="225"/>
      <c r="BI344" s="225"/>
      <c r="BJ344" s="225"/>
      <c r="BK344" s="225"/>
    </row>
    <row r="345" spans="48:63" ht="15.75" customHeight="1" x14ac:dyDescent="0.2">
      <c r="AV345" s="225"/>
      <c r="AW345" s="225"/>
      <c r="AX345" s="225"/>
      <c r="AY345" s="225"/>
      <c r="AZ345" s="225"/>
      <c r="BA345" s="225"/>
      <c r="BB345" s="225"/>
      <c r="BC345" s="225"/>
      <c r="BD345" s="225"/>
      <c r="BE345" s="225"/>
      <c r="BF345" s="225"/>
      <c r="BG345" s="225"/>
      <c r="BH345" s="225"/>
      <c r="BI345" s="225"/>
      <c r="BJ345" s="225"/>
      <c r="BK345" s="225"/>
    </row>
    <row r="346" spans="48:63" ht="15.75" customHeight="1" x14ac:dyDescent="0.2">
      <c r="AV346" s="225"/>
      <c r="AW346" s="225"/>
      <c r="AX346" s="225"/>
      <c r="AY346" s="225"/>
      <c r="AZ346" s="225"/>
      <c r="BA346" s="225"/>
      <c r="BB346" s="225"/>
      <c r="BC346" s="225"/>
      <c r="BD346" s="225"/>
      <c r="BE346" s="225"/>
      <c r="BF346" s="225"/>
      <c r="BG346" s="225"/>
      <c r="BH346" s="225"/>
      <c r="BI346" s="225"/>
      <c r="BJ346" s="225"/>
      <c r="BK346" s="225"/>
    </row>
    <row r="347" spans="48:63" ht="15.75" customHeight="1" x14ac:dyDescent="0.2">
      <c r="AV347" s="225"/>
      <c r="AW347" s="225"/>
      <c r="AX347" s="225"/>
      <c r="AY347" s="225"/>
      <c r="AZ347" s="225"/>
      <c r="BA347" s="225"/>
      <c r="BB347" s="225"/>
      <c r="BC347" s="225"/>
      <c r="BD347" s="225"/>
      <c r="BE347" s="225"/>
      <c r="BF347" s="225"/>
      <c r="BG347" s="225"/>
      <c r="BH347" s="225"/>
      <c r="BI347" s="225"/>
      <c r="BJ347" s="225"/>
      <c r="BK347" s="225"/>
    </row>
    <row r="348" spans="48:63" ht="15.75" customHeight="1" x14ac:dyDescent="0.2">
      <c r="AV348" s="225"/>
      <c r="AW348" s="225"/>
      <c r="AX348" s="225"/>
      <c r="AY348" s="225"/>
      <c r="AZ348" s="225"/>
      <c r="BA348" s="225"/>
      <c r="BB348" s="225"/>
      <c r="BC348" s="225"/>
      <c r="BD348" s="225"/>
      <c r="BE348" s="225"/>
      <c r="BF348" s="225"/>
      <c r="BG348" s="225"/>
      <c r="BH348" s="225"/>
      <c r="BI348" s="225"/>
      <c r="BJ348" s="225"/>
      <c r="BK348" s="225"/>
    </row>
    <row r="349" spans="48:63" ht="15.75" customHeight="1" x14ac:dyDescent="0.2">
      <c r="AV349" s="225"/>
      <c r="AW349" s="225"/>
      <c r="AX349" s="225"/>
      <c r="AY349" s="225"/>
      <c r="AZ349" s="225"/>
      <c r="BA349" s="225"/>
      <c r="BB349" s="225"/>
      <c r="BC349" s="225"/>
      <c r="BD349" s="225"/>
      <c r="BE349" s="225"/>
      <c r="BF349" s="225"/>
      <c r="BG349" s="225"/>
      <c r="BH349" s="225"/>
      <c r="BI349" s="225"/>
      <c r="BJ349" s="225"/>
      <c r="BK349" s="225"/>
    </row>
    <row r="350" spans="48:63" ht="15.75" customHeight="1" x14ac:dyDescent="0.2">
      <c r="AV350" s="225"/>
      <c r="AW350" s="225"/>
      <c r="AX350" s="225"/>
      <c r="AY350" s="225"/>
      <c r="AZ350" s="225"/>
      <c r="BA350" s="225"/>
      <c r="BB350" s="225"/>
      <c r="BC350" s="225"/>
      <c r="BD350" s="225"/>
      <c r="BE350" s="225"/>
      <c r="BF350" s="225"/>
      <c r="BG350" s="225"/>
      <c r="BH350" s="225"/>
      <c r="BI350" s="225"/>
      <c r="BJ350" s="225"/>
      <c r="BK350" s="225"/>
    </row>
    <row r="351" spans="48:63" ht="15.75" customHeight="1" x14ac:dyDescent="0.2">
      <c r="AV351" s="225"/>
      <c r="AW351" s="225"/>
      <c r="AX351" s="225"/>
      <c r="AY351" s="225"/>
      <c r="AZ351" s="225"/>
      <c r="BA351" s="225"/>
      <c r="BB351" s="225"/>
      <c r="BC351" s="225"/>
      <c r="BD351" s="225"/>
      <c r="BE351" s="225"/>
      <c r="BF351" s="225"/>
      <c r="BG351" s="225"/>
      <c r="BH351" s="225"/>
      <c r="BI351" s="225"/>
      <c r="BJ351" s="225"/>
      <c r="BK351" s="225"/>
    </row>
    <row r="352" spans="48:63" ht="15.75" customHeight="1" x14ac:dyDescent="0.2">
      <c r="AV352" s="225"/>
      <c r="AW352" s="225"/>
      <c r="AX352" s="225"/>
      <c r="AY352" s="225"/>
      <c r="AZ352" s="225"/>
      <c r="BA352" s="225"/>
      <c r="BB352" s="225"/>
      <c r="BC352" s="225"/>
      <c r="BD352" s="225"/>
      <c r="BE352" s="225"/>
      <c r="BF352" s="225"/>
      <c r="BG352" s="225"/>
      <c r="BH352" s="225"/>
      <c r="BI352" s="225"/>
      <c r="BJ352" s="225"/>
      <c r="BK352" s="225"/>
    </row>
    <row r="353" spans="48:63" ht="15.75" customHeight="1" x14ac:dyDescent="0.2">
      <c r="AV353" s="225"/>
      <c r="AW353" s="225"/>
      <c r="AX353" s="225"/>
      <c r="AY353" s="225"/>
      <c r="AZ353" s="225"/>
      <c r="BA353" s="225"/>
      <c r="BB353" s="225"/>
      <c r="BC353" s="225"/>
      <c r="BD353" s="225"/>
      <c r="BE353" s="225"/>
      <c r="BF353" s="225"/>
      <c r="BG353" s="225"/>
      <c r="BH353" s="225"/>
      <c r="BI353" s="225"/>
      <c r="BJ353" s="225"/>
      <c r="BK353" s="225"/>
    </row>
    <row r="354" spans="48:63" ht="15.75" customHeight="1" x14ac:dyDescent="0.2">
      <c r="AV354" s="225"/>
      <c r="AW354" s="225"/>
      <c r="AX354" s="225"/>
      <c r="AY354" s="225"/>
      <c r="AZ354" s="225"/>
      <c r="BA354" s="225"/>
      <c r="BB354" s="225"/>
      <c r="BC354" s="225"/>
      <c r="BD354" s="225"/>
      <c r="BE354" s="225"/>
      <c r="BF354" s="225"/>
      <c r="BG354" s="225"/>
      <c r="BH354" s="225"/>
      <c r="BI354" s="225"/>
      <c r="BJ354" s="225"/>
      <c r="BK354" s="225"/>
    </row>
    <row r="355" spans="48:63" ht="15.75" customHeight="1" x14ac:dyDescent="0.2">
      <c r="AV355" s="225"/>
      <c r="AW355" s="225"/>
      <c r="AX355" s="225"/>
      <c r="AY355" s="225"/>
      <c r="AZ355" s="225"/>
      <c r="BA355" s="225"/>
      <c r="BB355" s="225"/>
      <c r="BC355" s="225"/>
      <c r="BD355" s="225"/>
      <c r="BE355" s="225"/>
      <c r="BF355" s="225"/>
      <c r="BG355" s="225"/>
      <c r="BH355" s="225"/>
      <c r="BI355" s="225"/>
      <c r="BJ355" s="225"/>
      <c r="BK355" s="225"/>
    </row>
    <row r="356" spans="48:63" ht="15.75" customHeight="1" x14ac:dyDescent="0.2">
      <c r="AV356" s="225"/>
      <c r="AW356" s="225"/>
      <c r="AX356" s="225"/>
      <c r="AY356" s="225"/>
      <c r="AZ356" s="225"/>
      <c r="BA356" s="225"/>
      <c r="BB356" s="225"/>
      <c r="BC356" s="225"/>
      <c r="BD356" s="225"/>
      <c r="BE356" s="225"/>
      <c r="BF356" s="225"/>
      <c r="BG356" s="225"/>
      <c r="BH356" s="225"/>
      <c r="BI356" s="225"/>
      <c r="BJ356" s="225"/>
      <c r="BK356" s="225"/>
    </row>
    <row r="357" spans="48:63" ht="15.75" customHeight="1" x14ac:dyDescent="0.2">
      <c r="AV357" s="225"/>
      <c r="AW357" s="225"/>
      <c r="AX357" s="225"/>
      <c r="AY357" s="225"/>
      <c r="AZ357" s="225"/>
      <c r="BA357" s="225"/>
      <c r="BB357" s="225"/>
      <c r="BC357" s="225"/>
      <c r="BD357" s="225"/>
      <c r="BE357" s="225"/>
      <c r="BF357" s="225"/>
      <c r="BG357" s="225"/>
      <c r="BH357" s="225"/>
      <c r="BI357" s="225"/>
      <c r="BJ357" s="225"/>
      <c r="BK357" s="225"/>
    </row>
    <row r="358" spans="48:63" ht="15.75" customHeight="1" x14ac:dyDescent="0.2">
      <c r="AV358" s="225"/>
      <c r="AW358" s="225"/>
      <c r="AX358" s="225"/>
      <c r="AY358" s="225"/>
      <c r="AZ358" s="225"/>
      <c r="BA358" s="225"/>
      <c r="BB358" s="225"/>
      <c r="BC358" s="225"/>
      <c r="BD358" s="225"/>
      <c r="BE358" s="225"/>
      <c r="BF358" s="225"/>
      <c r="BG358" s="225"/>
      <c r="BH358" s="225"/>
      <c r="BI358" s="225"/>
      <c r="BJ358" s="225"/>
      <c r="BK358" s="225"/>
    </row>
    <row r="359" spans="48:63" ht="15.75" customHeight="1" x14ac:dyDescent="0.2">
      <c r="AV359" s="225"/>
      <c r="AW359" s="225"/>
      <c r="AX359" s="225"/>
      <c r="AY359" s="225"/>
      <c r="AZ359" s="225"/>
      <c r="BA359" s="225"/>
      <c r="BB359" s="225"/>
      <c r="BC359" s="225"/>
      <c r="BD359" s="225"/>
      <c r="BE359" s="225"/>
      <c r="BF359" s="225"/>
      <c r="BG359" s="225"/>
      <c r="BH359" s="225"/>
      <c r="BI359" s="225"/>
      <c r="BJ359" s="225"/>
      <c r="BK359" s="225"/>
    </row>
    <row r="360" spans="48:63" ht="15.75" customHeight="1" x14ac:dyDescent="0.2">
      <c r="AV360" s="225"/>
      <c r="AW360" s="225"/>
      <c r="AX360" s="225"/>
      <c r="AY360" s="225"/>
      <c r="AZ360" s="225"/>
      <c r="BA360" s="225"/>
      <c r="BB360" s="225"/>
      <c r="BC360" s="225"/>
      <c r="BD360" s="225"/>
      <c r="BE360" s="225"/>
      <c r="BF360" s="225"/>
      <c r="BG360" s="225"/>
      <c r="BH360" s="225"/>
      <c r="BI360" s="225"/>
      <c r="BJ360" s="225"/>
      <c r="BK360" s="225"/>
    </row>
    <row r="361" spans="48:63" ht="15.75" customHeight="1" x14ac:dyDescent="0.2">
      <c r="AV361" s="225"/>
      <c r="AW361" s="225"/>
      <c r="AX361" s="225"/>
      <c r="AY361" s="225"/>
      <c r="AZ361" s="225"/>
      <c r="BA361" s="225"/>
      <c r="BB361" s="225"/>
      <c r="BC361" s="225"/>
      <c r="BD361" s="225"/>
      <c r="BE361" s="225"/>
      <c r="BF361" s="225"/>
      <c r="BG361" s="225"/>
      <c r="BH361" s="225"/>
      <c r="BI361" s="225"/>
      <c r="BJ361" s="225"/>
      <c r="BK361" s="225"/>
    </row>
    <row r="362" spans="48:63" ht="15.75" customHeight="1" x14ac:dyDescent="0.2">
      <c r="AV362" s="225"/>
      <c r="AW362" s="225"/>
      <c r="AX362" s="225"/>
      <c r="AY362" s="225"/>
      <c r="AZ362" s="225"/>
      <c r="BA362" s="225"/>
      <c r="BB362" s="225"/>
      <c r="BC362" s="225"/>
      <c r="BD362" s="225"/>
      <c r="BE362" s="225"/>
      <c r="BF362" s="225"/>
      <c r="BG362" s="225"/>
      <c r="BH362" s="225"/>
      <c r="BI362" s="225"/>
      <c r="BJ362" s="225"/>
      <c r="BK362" s="225"/>
    </row>
    <row r="363" spans="48:63" ht="15.75" customHeight="1" x14ac:dyDescent="0.2">
      <c r="AV363" s="225"/>
      <c r="AW363" s="225"/>
      <c r="AX363" s="225"/>
      <c r="AY363" s="225"/>
      <c r="AZ363" s="225"/>
      <c r="BA363" s="225"/>
      <c r="BB363" s="225"/>
      <c r="BC363" s="225"/>
      <c r="BD363" s="225"/>
      <c r="BE363" s="225"/>
      <c r="BF363" s="225"/>
      <c r="BG363" s="225"/>
      <c r="BH363" s="225"/>
      <c r="BI363" s="225"/>
      <c r="BJ363" s="225"/>
      <c r="BK363" s="225"/>
    </row>
    <row r="364" spans="48:63" ht="15.75" customHeight="1" x14ac:dyDescent="0.2">
      <c r="AV364" s="225"/>
      <c r="AW364" s="225"/>
      <c r="AX364" s="225"/>
      <c r="AY364" s="225"/>
      <c r="AZ364" s="225"/>
      <c r="BA364" s="225"/>
      <c r="BB364" s="225"/>
      <c r="BC364" s="225"/>
      <c r="BD364" s="225"/>
      <c r="BE364" s="225"/>
      <c r="BF364" s="225"/>
      <c r="BG364" s="225"/>
      <c r="BH364" s="225"/>
      <c r="BI364" s="225"/>
      <c r="BJ364" s="225"/>
      <c r="BK364" s="225"/>
    </row>
    <row r="365" spans="48:63" ht="15.75" customHeight="1" x14ac:dyDescent="0.2">
      <c r="AV365" s="225"/>
      <c r="AW365" s="225"/>
      <c r="AX365" s="225"/>
      <c r="AY365" s="225"/>
      <c r="AZ365" s="225"/>
      <c r="BA365" s="225"/>
      <c r="BB365" s="225"/>
      <c r="BC365" s="225"/>
      <c r="BD365" s="225"/>
      <c r="BE365" s="225"/>
      <c r="BF365" s="225"/>
      <c r="BG365" s="225"/>
      <c r="BH365" s="225"/>
      <c r="BI365" s="225"/>
      <c r="BJ365" s="225"/>
      <c r="BK365" s="225"/>
    </row>
    <row r="366" spans="48:63" ht="15.75" customHeight="1" x14ac:dyDescent="0.2">
      <c r="AV366" s="225"/>
      <c r="AW366" s="225"/>
      <c r="AX366" s="225"/>
      <c r="AY366" s="225"/>
      <c r="AZ366" s="225"/>
      <c r="BA366" s="225"/>
      <c r="BB366" s="225"/>
      <c r="BC366" s="225"/>
      <c r="BD366" s="225"/>
      <c r="BE366" s="225"/>
      <c r="BF366" s="225"/>
      <c r="BG366" s="225"/>
      <c r="BH366" s="225"/>
      <c r="BI366" s="225"/>
      <c r="BJ366" s="225"/>
      <c r="BK366" s="225"/>
    </row>
    <row r="367" spans="48:63" ht="15.75" customHeight="1" x14ac:dyDescent="0.2">
      <c r="AV367" s="225"/>
      <c r="AW367" s="225"/>
      <c r="AX367" s="225"/>
      <c r="AY367" s="225"/>
      <c r="AZ367" s="225"/>
      <c r="BA367" s="225"/>
      <c r="BB367" s="225"/>
      <c r="BC367" s="225"/>
      <c r="BD367" s="225"/>
      <c r="BE367" s="225"/>
      <c r="BF367" s="225"/>
      <c r="BG367" s="225"/>
      <c r="BH367" s="225"/>
      <c r="BI367" s="225"/>
      <c r="BJ367" s="225"/>
      <c r="BK367" s="225"/>
    </row>
    <row r="368" spans="48:63" ht="15.75" customHeight="1" x14ac:dyDescent="0.2">
      <c r="AV368" s="225"/>
      <c r="AW368" s="225"/>
      <c r="AX368" s="225"/>
      <c r="AY368" s="225"/>
      <c r="AZ368" s="225"/>
      <c r="BA368" s="225"/>
      <c r="BB368" s="225"/>
      <c r="BC368" s="225"/>
      <c r="BD368" s="225"/>
      <c r="BE368" s="225"/>
      <c r="BF368" s="225"/>
      <c r="BG368" s="225"/>
      <c r="BH368" s="225"/>
      <c r="BI368" s="225"/>
      <c r="BJ368" s="225"/>
      <c r="BK368" s="225"/>
    </row>
    <row r="369" spans="48:63" ht="15.75" customHeight="1" x14ac:dyDescent="0.2">
      <c r="AV369" s="225"/>
      <c r="AW369" s="225"/>
      <c r="AX369" s="225"/>
      <c r="AY369" s="225"/>
      <c r="AZ369" s="225"/>
      <c r="BA369" s="225"/>
      <c r="BB369" s="225"/>
      <c r="BC369" s="225"/>
      <c r="BD369" s="225"/>
      <c r="BE369" s="225"/>
      <c r="BF369" s="225"/>
      <c r="BG369" s="225"/>
      <c r="BH369" s="225"/>
      <c r="BI369" s="225"/>
      <c r="BJ369" s="225"/>
      <c r="BK369" s="225"/>
    </row>
    <row r="370" spans="48:63" ht="15.75" customHeight="1" x14ac:dyDescent="0.2">
      <c r="AV370" s="225"/>
      <c r="AW370" s="225"/>
      <c r="AX370" s="225"/>
      <c r="AY370" s="225"/>
      <c r="AZ370" s="225"/>
      <c r="BA370" s="225"/>
      <c r="BB370" s="225"/>
      <c r="BC370" s="225"/>
      <c r="BD370" s="225"/>
      <c r="BE370" s="225"/>
      <c r="BF370" s="225"/>
      <c r="BG370" s="225"/>
      <c r="BH370" s="225"/>
      <c r="BI370" s="225"/>
      <c r="BJ370" s="225"/>
      <c r="BK370" s="225"/>
    </row>
    <row r="371" spans="48:63" ht="15.75" customHeight="1" x14ac:dyDescent="0.2">
      <c r="AV371" s="225"/>
      <c r="AW371" s="225"/>
      <c r="AX371" s="225"/>
      <c r="AY371" s="225"/>
      <c r="AZ371" s="225"/>
      <c r="BA371" s="225"/>
      <c r="BB371" s="225"/>
      <c r="BC371" s="225"/>
      <c r="BD371" s="225"/>
      <c r="BE371" s="225"/>
      <c r="BF371" s="225"/>
      <c r="BG371" s="225"/>
      <c r="BH371" s="225"/>
      <c r="BI371" s="225"/>
      <c r="BJ371" s="225"/>
      <c r="BK371" s="225"/>
    </row>
    <row r="372" spans="48:63" ht="15.75" customHeight="1" x14ac:dyDescent="0.2">
      <c r="AV372" s="225"/>
      <c r="AW372" s="225"/>
      <c r="AX372" s="225"/>
      <c r="AY372" s="225"/>
      <c r="AZ372" s="225"/>
      <c r="BA372" s="225"/>
      <c r="BB372" s="225"/>
      <c r="BC372" s="225"/>
      <c r="BD372" s="225"/>
      <c r="BE372" s="225"/>
      <c r="BF372" s="225"/>
      <c r="BG372" s="225"/>
      <c r="BH372" s="225"/>
      <c r="BI372" s="225"/>
      <c r="BJ372" s="225"/>
      <c r="BK372" s="225"/>
    </row>
    <row r="373" spans="48:63" ht="15.75" customHeight="1" x14ac:dyDescent="0.2">
      <c r="AV373" s="225"/>
      <c r="AW373" s="225"/>
      <c r="AX373" s="225"/>
      <c r="AY373" s="225"/>
      <c r="AZ373" s="225"/>
      <c r="BA373" s="225"/>
      <c r="BB373" s="225"/>
      <c r="BC373" s="225"/>
      <c r="BD373" s="225"/>
      <c r="BE373" s="225"/>
      <c r="BF373" s="225"/>
      <c r="BG373" s="225"/>
      <c r="BH373" s="225"/>
      <c r="BI373" s="225"/>
      <c r="BJ373" s="225"/>
      <c r="BK373" s="225"/>
    </row>
    <row r="374" spans="48:63" ht="15.75" customHeight="1" x14ac:dyDescent="0.2">
      <c r="AV374" s="225"/>
      <c r="AW374" s="225"/>
      <c r="AX374" s="225"/>
      <c r="AY374" s="225"/>
      <c r="AZ374" s="225"/>
      <c r="BA374" s="225"/>
      <c r="BB374" s="225"/>
      <c r="BC374" s="225"/>
      <c r="BD374" s="225"/>
      <c r="BE374" s="225"/>
      <c r="BF374" s="225"/>
      <c r="BG374" s="225"/>
      <c r="BH374" s="225"/>
      <c r="BI374" s="225"/>
      <c r="BJ374" s="225"/>
      <c r="BK374" s="225"/>
    </row>
    <row r="375" spans="48:63" ht="15.75" customHeight="1" x14ac:dyDescent="0.2">
      <c r="AV375" s="225"/>
      <c r="AW375" s="225"/>
      <c r="AX375" s="225"/>
      <c r="AY375" s="225"/>
      <c r="AZ375" s="225"/>
      <c r="BA375" s="225"/>
      <c r="BB375" s="225"/>
      <c r="BC375" s="225"/>
      <c r="BD375" s="225"/>
      <c r="BE375" s="225"/>
      <c r="BF375" s="225"/>
      <c r="BG375" s="225"/>
      <c r="BH375" s="225"/>
      <c r="BI375" s="225"/>
      <c r="BJ375" s="225"/>
      <c r="BK375" s="225"/>
    </row>
    <row r="376" spans="48:63" ht="15.75" customHeight="1" x14ac:dyDescent="0.2">
      <c r="AV376" s="225"/>
      <c r="AW376" s="225"/>
      <c r="AX376" s="225"/>
      <c r="AY376" s="225"/>
      <c r="AZ376" s="225"/>
      <c r="BA376" s="225"/>
      <c r="BB376" s="225"/>
      <c r="BC376" s="225"/>
      <c r="BD376" s="225"/>
      <c r="BE376" s="225"/>
      <c r="BF376" s="225"/>
      <c r="BG376" s="225"/>
      <c r="BH376" s="225"/>
      <c r="BI376" s="225"/>
      <c r="BJ376" s="225"/>
      <c r="BK376" s="225"/>
    </row>
    <row r="377" spans="48:63" ht="15.75" customHeight="1" x14ac:dyDescent="0.2">
      <c r="AV377" s="225"/>
      <c r="AW377" s="225"/>
      <c r="AX377" s="225"/>
      <c r="AY377" s="225"/>
      <c r="AZ377" s="225"/>
      <c r="BA377" s="225"/>
      <c r="BB377" s="225"/>
      <c r="BC377" s="225"/>
      <c r="BD377" s="225"/>
      <c r="BE377" s="225"/>
      <c r="BF377" s="225"/>
      <c r="BG377" s="225"/>
      <c r="BH377" s="225"/>
      <c r="BI377" s="225"/>
      <c r="BJ377" s="225"/>
      <c r="BK377" s="225"/>
    </row>
    <row r="378" spans="48:63" ht="15.75" customHeight="1" x14ac:dyDescent="0.2">
      <c r="AV378" s="225"/>
      <c r="AW378" s="225"/>
      <c r="AX378" s="225"/>
      <c r="AY378" s="225"/>
      <c r="AZ378" s="225"/>
      <c r="BA378" s="225"/>
      <c r="BB378" s="225"/>
      <c r="BC378" s="225"/>
      <c r="BD378" s="225"/>
      <c r="BE378" s="225"/>
      <c r="BF378" s="225"/>
      <c r="BG378" s="225"/>
      <c r="BH378" s="225"/>
      <c r="BI378" s="225"/>
      <c r="BJ378" s="225"/>
      <c r="BK378" s="225"/>
    </row>
    <row r="379" spans="48:63" ht="15.75" customHeight="1" x14ac:dyDescent="0.2">
      <c r="AV379" s="225"/>
      <c r="AW379" s="225"/>
      <c r="AX379" s="225"/>
      <c r="AY379" s="225"/>
      <c r="AZ379" s="225"/>
      <c r="BA379" s="225"/>
      <c r="BB379" s="225"/>
      <c r="BC379" s="225"/>
      <c r="BD379" s="225"/>
      <c r="BE379" s="225"/>
      <c r="BF379" s="225"/>
      <c r="BG379" s="225"/>
      <c r="BH379" s="225"/>
      <c r="BI379" s="225"/>
      <c r="BJ379" s="225"/>
      <c r="BK379" s="225"/>
    </row>
    <row r="380" spans="48:63" ht="15.75" customHeight="1" x14ac:dyDescent="0.2">
      <c r="AV380" s="225"/>
      <c r="AW380" s="225"/>
      <c r="AX380" s="225"/>
      <c r="AY380" s="225"/>
      <c r="AZ380" s="225"/>
      <c r="BA380" s="225"/>
      <c r="BB380" s="225"/>
      <c r="BC380" s="225"/>
      <c r="BD380" s="225"/>
      <c r="BE380" s="225"/>
      <c r="BF380" s="225"/>
      <c r="BG380" s="225"/>
      <c r="BH380" s="225"/>
      <c r="BI380" s="225"/>
      <c r="BJ380" s="225"/>
      <c r="BK380" s="225"/>
    </row>
    <row r="381" spans="48:63" ht="15.75" customHeight="1" x14ac:dyDescent="0.2">
      <c r="AV381" s="225"/>
      <c r="AW381" s="225"/>
      <c r="AX381" s="225"/>
      <c r="AY381" s="225"/>
      <c r="AZ381" s="225"/>
      <c r="BA381" s="225"/>
      <c r="BB381" s="225"/>
      <c r="BC381" s="225"/>
      <c r="BD381" s="225"/>
      <c r="BE381" s="225"/>
      <c r="BF381" s="225"/>
      <c r="BG381" s="225"/>
      <c r="BH381" s="225"/>
      <c r="BI381" s="225"/>
      <c r="BJ381" s="225"/>
      <c r="BK381" s="225"/>
    </row>
    <row r="382" spans="48:63" ht="15.75" customHeight="1" x14ac:dyDescent="0.2">
      <c r="AV382" s="225"/>
      <c r="AW382" s="225"/>
      <c r="AX382" s="225"/>
      <c r="AY382" s="225"/>
      <c r="AZ382" s="225"/>
      <c r="BA382" s="225"/>
      <c r="BB382" s="225"/>
      <c r="BC382" s="225"/>
      <c r="BD382" s="225"/>
      <c r="BE382" s="225"/>
      <c r="BF382" s="225"/>
      <c r="BG382" s="225"/>
      <c r="BH382" s="225"/>
      <c r="BI382" s="225"/>
      <c r="BJ382" s="225"/>
      <c r="BK382" s="225"/>
    </row>
    <row r="383" spans="48:63" ht="15.75" customHeight="1" x14ac:dyDescent="0.2">
      <c r="AV383" s="225"/>
      <c r="AW383" s="225"/>
      <c r="AX383" s="225"/>
      <c r="AY383" s="225"/>
      <c r="AZ383" s="225"/>
      <c r="BA383" s="225"/>
      <c r="BB383" s="225"/>
      <c r="BC383" s="225"/>
      <c r="BD383" s="225"/>
      <c r="BE383" s="225"/>
      <c r="BF383" s="225"/>
      <c r="BG383" s="225"/>
      <c r="BH383" s="225"/>
      <c r="BI383" s="225"/>
      <c r="BJ383" s="225"/>
      <c r="BK383" s="225"/>
    </row>
    <row r="384" spans="48:63" ht="15.75" customHeight="1" x14ac:dyDescent="0.2">
      <c r="AV384" s="225"/>
      <c r="AW384" s="225"/>
      <c r="AX384" s="225"/>
      <c r="AY384" s="225"/>
      <c r="AZ384" s="225"/>
      <c r="BA384" s="225"/>
      <c r="BB384" s="225"/>
      <c r="BC384" s="225"/>
      <c r="BD384" s="225"/>
      <c r="BE384" s="225"/>
      <c r="BF384" s="225"/>
      <c r="BG384" s="225"/>
      <c r="BH384" s="225"/>
      <c r="BI384" s="225"/>
      <c r="BJ384" s="225"/>
      <c r="BK384" s="225"/>
    </row>
    <row r="385" spans="48:63" ht="15.75" customHeight="1" x14ac:dyDescent="0.2">
      <c r="AV385" s="225"/>
      <c r="AW385" s="225"/>
      <c r="AX385" s="225"/>
      <c r="AY385" s="225"/>
      <c r="AZ385" s="225"/>
      <c r="BA385" s="225"/>
      <c r="BB385" s="225"/>
      <c r="BC385" s="225"/>
      <c r="BD385" s="225"/>
      <c r="BE385" s="225"/>
      <c r="BF385" s="225"/>
      <c r="BG385" s="225"/>
      <c r="BH385" s="225"/>
      <c r="BI385" s="225"/>
      <c r="BJ385" s="225"/>
      <c r="BK385" s="225"/>
    </row>
    <row r="386" spans="48:63" ht="15.75" customHeight="1" x14ac:dyDescent="0.2">
      <c r="AV386" s="225"/>
      <c r="AW386" s="225"/>
      <c r="AX386" s="225"/>
      <c r="AY386" s="225"/>
      <c r="AZ386" s="225"/>
      <c r="BA386" s="225"/>
      <c r="BB386" s="225"/>
      <c r="BC386" s="225"/>
      <c r="BD386" s="225"/>
      <c r="BE386" s="225"/>
      <c r="BF386" s="225"/>
      <c r="BG386" s="225"/>
      <c r="BH386" s="225"/>
      <c r="BI386" s="225"/>
      <c r="BJ386" s="225"/>
      <c r="BK386" s="225"/>
    </row>
    <row r="387" spans="48:63" ht="15.75" customHeight="1" x14ac:dyDescent="0.2">
      <c r="AV387" s="225"/>
      <c r="AW387" s="225"/>
      <c r="AX387" s="225"/>
      <c r="AY387" s="225"/>
      <c r="AZ387" s="225"/>
      <c r="BA387" s="225"/>
      <c r="BB387" s="225"/>
      <c r="BC387" s="225"/>
      <c r="BD387" s="225"/>
      <c r="BE387" s="225"/>
      <c r="BF387" s="225"/>
      <c r="BG387" s="225"/>
      <c r="BH387" s="225"/>
      <c r="BI387" s="225"/>
      <c r="BJ387" s="225"/>
      <c r="BK387" s="225"/>
    </row>
    <row r="388" spans="48:63" ht="15.75" customHeight="1" x14ac:dyDescent="0.2">
      <c r="AV388" s="225"/>
      <c r="AW388" s="225"/>
      <c r="AX388" s="225"/>
      <c r="AY388" s="225"/>
      <c r="AZ388" s="225"/>
      <c r="BA388" s="225"/>
      <c r="BB388" s="225"/>
      <c r="BC388" s="225"/>
      <c r="BD388" s="225"/>
      <c r="BE388" s="225"/>
      <c r="BF388" s="225"/>
      <c r="BG388" s="225"/>
      <c r="BH388" s="225"/>
      <c r="BI388" s="225"/>
      <c r="BJ388" s="225"/>
      <c r="BK388" s="225"/>
    </row>
    <row r="389" spans="48:63" ht="15.75" customHeight="1" x14ac:dyDescent="0.2">
      <c r="AV389" s="225"/>
      <c r="AW389" s="225"/>
      <c r="AX389" s="225"/>
      <c r="AY389" s="225"/>
      <c r="AZ389" s="225"/>
      <c r="BA389" s="225"/>
      <c r="BB389" s="225"/>
      <c r="BC389" s="225"/>
      <c r="BD389" s="225"/>
      <c r="BE389" s="225"/>
      <c r="BF389" s="225"/>
      <c r="BG389" s="225"/>
      <c r="BH389" s="225"/>
      <c r="BI389" s="225"/>
      <c r="BJ389" s="225"/>
      <c r="BK389" s="225"/>
    </row>
    <row r="390" spans="48:63" ht="15.75" customHeight="1" x14ac:dyDescent="0.2">
      <c r="AV390" s="225"/>
      <c r="AW390" s="225"/>
      <c r="AX390" s="225"/>
      <c r="AY390" s="225"/>
      <c r="AZ390" s="225"/>
      <c r="BA390" s="225"/>
      <c r="BB390" s="225"/>
      <c r="BC390" s="225"/>
      <c r="BD390" s="225"/>
      <c r="BE390" s="225"/>
      <c r="BF390" s="225"/>
      <c r="BG390" s="225"/>
      <c r="BH390" s="225"/>
      <c r="BI390" s="225"/>
      <c r="BJ390" s="225"/>
      <c r="BK390" s="225"/>
    </row>
    <row r="391" spans="48:63" ht="15.75" customHeight="1" x14ac:dyDescent="0.2">
      <c r="AV391" s="225"/>
      <c r="AW391" s="225"/>
      <c r="AX391" s="225"/>
      <c r="AY391" s="225"/>
      <c r="AZ391" s="225"/>
      <c r="BA391" s="225"/>
      <c r="BB391" s="225"/>
      <c r="BC391" s="225"/>
      <c r="BD391" s="225"/>
      <c r="BE391" s="225"/>
      <c r="BF391" s="225"/>
      <c r="BG391" s="225"/>
      <c r="BH391" s="225"/>
      <c r="BI391" s="225"/>
      <c r="BJ391" s="225"/>
      <c r="BK391" s="225"/>
    </row>
    <row r="392" spans="48:63" ht="15.75" customHeight="1" x14ac:dyDescent="0.2">
      <c r="AV392" s="225"/>
      <c r="AW392" s="225"/>
      <c r="AX392" s="225"/>
      <c r="AY392" s="225"/>
      <c r="AZ392" s="225"/>
      <c r="BA392" s="225"/>
      <c r="BB392" s="225"/>
      <c r="BC392" s="225"/>
      <c r="BD392" s="225"/>
      <c r="BE392" s="225"/>
      <c r="BF392" s="225"/>
      <c r="BG392" s="225"/>
      <c r="BH392" s="225"/>
      <c r="BI392" s="225"/>
      <c r="BJ392" s="225"/>
      <c r="BK392" s="225"/>
    </row>
    <row r="393" spans="48:63" ht="15.75" customHeight="1" x14ac:dyDescent="0.2">
      <c r="AV393" s="225"/>
      <c r="AW393" s="225"/>
      <c r="AX393" s="225"/>
      <c r="AY393" s="225"/>
      <c r="AZ393" s="225"/>
      <c r="BA393" s="225"/>
      <c r="BB393" s="225"/>
      <c r="BC393" s="225"/>
      <c r="BD393" s="225"/>
      <c r="BE393" s="225"/>
      <c r="BF393" s="225"/>
      <c r="BG393" s="225"/>
      <c r="BH393" s="225"/>
      <c r="BI393" s="225"/>
      <c r="BJ393" s="225"/>
      <c r="BK393" s="225"/>
    </row>
    <row r="394" spans="48:63" ht="15.75" customHeight="1" x14ac:dyDescent="0.2">
      <c r="AV394" s="225"/>
      <c r="AW394" s="225"/>
      <c r="AX394" s="225"/>
      <c r="AY394" s="225"/>
      <c r="AZ394" s="225"/>
      <c r="BA394" s="225"/>
      <c r="BB394" s="225"/>
      <c r="BC394" s="225"/>
      <c r="BD394" s="225"/>
      <c r="BE394" s="225"/>
      <c r="BF394" s="225"/>
      <c r="BG394" s="225"/>
      <c r="BH394" s="225"/>
      <c r="BI394" s="225"/>
      <c r="BJ394" s="225"/>
      <c r="BK394" s="225"/>
    </row>
    <row r="395" spans="48:63" ht="15.75" customHeight="1" x14ac:dyDescent="0.2">
      <c r="AV395" s="225"/>
      <c r="AW395" s="225"/>
      <c r="AX395" s="225"/>
      <c r="AY395" s="225"/>
      <c r="AZ395" s="225"/>
      <c r="BA395" s="225"/>
      <c r="BB395" s="225"/>
      <c r="BC395" s="225"/>
      <c r="BD395" s="225"/>
      <c r="BE395" s="225"/>
      <c r="BF395" s="225"/>
      <c r="BG395" s="225"/>
      <c r="BH395" s="225"/>
      <c r="BI395" s="225"/>
      <c r="BJ395" s="225"/>
      <c r="BK395" s="225"/>
    </row>
    <row r="396" spans="48:63" ht="15.75" customHeight="1" x14ac:dyDescent="0.2">
      <c r="AV396" s="225"/>
      <c r="AW396" s="225"/>
      <c r="AX396" s="225"/>
      <c r="AY396" s="225"/>
      <c r="AZ396" s="225"/>
      <c r="BA396" s="225"/>
      <c r="BB396" s="225"/>
      <c r="BC396" s="225"/>
      <c r="BD396" s="225"/>
      <c r="BE396" s="225"/>
      <c r="BF396" s="225"/>
      <c r="BG396" s="225"/>
      <c r="BH396" s="225"/>
      <c r="BI396" s="225"/>
      <c r="BJ396" s="225"/>
      <c r="BK396" s="225"/>
    </row>
    <row r="397" spans="48:63" ht="15.75" customHeight="1" x14ac:dyDescent="0.2">
      <c r="AV397" s="225"/>
      <c r="AW397" s="225"/>
      <c r="AX397" s="225"/>
      <c r="AY397" s="225"/>
      <c r="AZ397" s="225"/>
      <c r="BA397" s="225"/>
      <c r="BB397" s="225"/>
      <c r="BC397" s="225"/>
      <c r="BD397" s="225"/>
      <c r="BE397" s="225"/>
      <c r="BF397" s="225"/>
      <c r="BG397" s="225"/>
      <c r="BH397" s="225"/>
      <c r="BI397" s="225"/>
      <c r="BJ397" s="225"/>
      <c r="BK397" s="225"/>
    </row>
    <row r="398" spans="48:63" ht="15.75" customHeight="1" x14ac:dyDescent="0.2">
      <c r="AV398" s="225"/>
      <c r="AW398" s="225"/>
      <c r="AX398" s="225"/>
      <c r="AY398" s="225"/>
      <c r="AZ398" s="225"/>
      <c r="BA398" s="225"/>
      <c r="BB398" s="225"/>
      <c r="BC398" s="225"/>
      <c r="BD398" s="225"/>
      <c r="BE398" s="225"/>
      <c r="BF398" s="225"/>
      <c r="BG398" s="225"/>
      <c r="BH398" s="225"/>
      <c r="BI398" s="225"/>
      <c r="BJ398" s="225"/>
      <c r="BK398" s="225"/>
    </row>
    <row r="399" spans="48:63" ht="15.75" customHeight="1" x14ac:dyDescent="0.2">
      <c r="AV399" s="225"/>
      <c r="AW399" s="225"/>
      <c r="AX399" s="225"/>
      <c r="AY399" s="225"/>
      <c r="AZ399" s="225"/>
      <c r="BA399" s="225"/>
      <c r="BB399" s="225"/>
      <c r="BC399" s="225"/>
      <c r="BD399" s="225"/>
      <c r="BE399" s="225"/>
      <c r="BF399" s="225"/>
      <c r="BG399" s="225"/>
      <c r="BH399" s="225"/>
      <c r="BI399" s="225"/>
      <c r="BJ399" s="225"/>
      <c r="BK399" s="225"/>
    </row>
    <row r="400" spans="48:63" ht="15.75" customHeight="1" x14ac:dyDescent="0.2">
      <c r="AV400" s="225"/>
      <c r="AW400" s="225"/>
      <c r="AX400" s="225"/>
      <c r="AY400" s="225"/>
      <c r="AZ400" s="225"/>
      <c r="BA400" s="225"/>
      <c r="BB400" s="225"/>
      <c r="BC400" s="225"/>
      <c r="BD400" s="225"/>
      <c r="BE400" s="225"/>
      <c r="BF400" s="225"/>
      <c r="BG400" s="225"/>
      <c r="BH400" s="225"/>
      <c r="BI400" s="225"/>
      <c r="BJ400" s="225"/>
      <c r="BK400" s="225"/>
    </row>
    <row r="401" spans="48:63" ht="15.75" customHeight="1" x14ac:dyDescent="0.2">
      <c r="AV401" s="225"/>
      <c r="AW401" s="225"/>
      <c r="AX401" s="225"/>
      <c r="AY401" s="225"/>
      <c r="AZ401" s="225"/>
      <c r="BA401" s="225"/>
      <c r="BB401" s="225"/>
      <c r="BC401" s="225"/>
      <c r="BD401" s="225"/>
      <c r="BE401" s="225"/>
      <c r="BF401" s="225"/>
      <c r="BG401" s="225"/>
      <c r="BH401" s="225"/>
      <c r="BI401" s="225"/>
      <c r="BJ401" s="225"/>
      <c r="BK401" s="225"/>
    </row>
    <row r="402" spans="48:63" ht="15.75" customHeight="1" x14ac:dyDescent="0.2">
      <c r="AV402" s="225"/>
      <c r="AW402" s="225"/>
      <c r="AX402" s="225"/>
      <c r="AY402" s="225"/>
      <c r="AZ402" s="225"/>
      <c r="BA402" s="225"/>
      <c r="BB402" s="225"/>
      <c r="BC402" s="225"/>
      <c r="BD402" s="225"/>
      <c r="BE402" s="225"/>
      <c r="BF402" s="225"/>
      <c r="BG402" s="225"/>
      <c r="BH402" s="225"/>
      <c r="BI402" s="225"/>
      <c r="BJ402" s="225"/>
      <c r="BK402" s="225"/>
    </row>
    <row r="403" spans="48:63" ht="15.75" customHeight="1" x14ac:dyDescent="0.2">
      <c r="AV403" s="225"/>
      <c r="AW403" s="225"/>
      <c r="AX403" s="225"/>
      <c r="AY403" s="225"/>
      <c r="AZ403" s="225"/>
      <c r="BA403" s="225"/>
      <c r="BB403" s="225"/>
      <c r="BC403" s="225"/>
      <c r="BD403" s="225"/>
      <c r="BE403" s="225"/>
      <c r="BF403" s="225"/>
      <c r="BG403" s="225"/>
      <c r="BH403" s="225"/>
      <c r="BI403" s="225"/>
      <c r="BJ403" s="225"/>
      <c r="BK403" s="225"/>
    </row>
    <row r="404" spans="48:63" ht="15.75" customHeight="1" x14ac:dyDescent="0.2">
      <c r="AV404" s="225"/>
      <c r="AW404" s="225"/>
      <c r="AX404" s="225"/>
      <c r="AY404" s="225"/>
      <c r="AZ404" s="225"/>
      <c r="BA404" s="225"/>
      <c r="BB404" s="225"/>
      <c r="BC404" s="225"/>
      <c r="BD404" s="225"/>
      <c r="BE404" s="225"/>
      <c r="BF404" s="225"/>
      <c r="BG404" s="225"/>
      <c r="BH404" s="225"/>
      <c r="BI404" s="225"/>
      <c r="BJ404" s="225"/>
      <c r="BK404" s="225"/>
    </row>
    <row r="405" spans="48:63" ht="15.75" customHeight="1" x14ac:dyDescent="0.2">
      <c r="AV405" s="225"/>
      <c r="AW405" s="225"/>
      <c r="AX405" s="225"/>
      <c r="AY405" s="225"/>
      <c r="AZ405" s="225"/>
      <c r="BA405" s="225"/>
      <c r="BB405" s="225"/>
      <c r="BC405" s="225"/>
      <c r="BD405" s="225"/>
      <c r="BE405" s="225"/>
      <c r="BF405" s="225"/>
      <c r="BG405" s="225"/>
      <c r="BH405" s="225"/>
      <c r="BI405" s="225"/>
      <c r="BJ405" s="225"/>
      <c r="BK405" s="225"/>
    </row>
    <row r="406" spans="48:63" ht="15.75" customHeight="1" x14ac:dyDescent="0.2">
      <c r="AV406" s="225"/>
      <c r="AW406" s="225"/>
      <c r="AX406" s="225"/>
      <c r="AY406" s="225"/>
      <c r="AZ406" s="225"/>
      <c r="BA406" s="225"/>
      <c r="BB406" s="225"/>
      <c r="BC406" s="225"/>
      <c r="BD406" s="225"/>
      <c r="BE406" s="225"/>
      <c r="BF406" s="225"/>
      <c r="BG406" s="225"/>
      <c r="BH406" s="225"/>
      <c r="BI406" s="225"/>
      <c r="BJ406" s="225"/>
      <c r="BK406" s="225"/>
    </row>
    <row r="407" spans="48:63" ht="15.75" customHeight="1" x14ac:dyDescent="0.2">
      <c r="AV407" s="225"/>
      <c r="AW407" s="225"/>
      <c r="AX407" s="225"/>
      <c r="AY407" s="225"/>
      <c r="AZ407" s="225"/>
      <c r="BA407" s="225"/>
      <c r="BB407" s="225"/>
      <c r="BC407" s="225"/>
      <c r="BD407" s="225"/>
      <c r="BE407" s="225"/>
      <c r="BF407" s="225"/>
      <c r="BG407" s="225"/>
      <c r="BH407" s="225"/>
      <c r="BI407" s="225"/>
      <c r="BJ407" s="225"/>
      <c r="BK407" s="225"/>
    </row>
    <row r="408" spans="48:63" ht="15.75" customHeight="1" x14ac:dyDescent="0.2">
      <c r="AV408" s="225"/>
      <c r="AW408" s="225"/>
      <c r="AX408" s="225"/>
      <c r="AY408" s="225"/>
      <c r="AZ408" s="225"/>
      <c r="BA408" s="225"/>
      <c r="BB408" s="225"/>
      <c r="BC408" s="225"/>
      <c r="BD408" s="225"/>
      <c r="BE408" s="225"/>
      <c r="BF408" s="225"/>
      <c r="BG408" s="225"/>
      <c r="BH408" s="225"/>
      <c r="BI408" s="225"/>
      <c r="BJ408" s="225"/>
      <c r="BK408" s="225"/>
    </row>
    <row r="409" spans="48:63" ht="15.75" customHeight="1" x14ac:dyDescent="0.2">
      <c r="AV409" s="225"/>
      <c r="AW409" s="225"/>
      <c r="AX409" s="225"/>
      <c r="AY409" s="225"/>
      <c r="AZ409" s="225"/>
      <c r="BA409" s="225"/>
      <c r="BB409" s="225"/>
      <c r="BC409" s="225"/>
      <c r="BD409" s="225"/>
      <c r="BE409" s="225"/>
      <c r="BF409" s="225"/>
      <c r="BG409" s="225"/>
      <c r="BH409" s="225"/>
      <c r="BI409" s="225"/>
      <c r="BJ409" s="225"/>
      <c r="BK409" s="225"/>
    </row>
    <row r="410" spans="48:63" ht="15.75" customHeight="1" x14ac:dyDescent="0.2">
      <c r="AV410" s="225"/>
      <c r="AW410" s="225"/>
      <c r="AX410" s="225"/>
      <c r="AY410" s="225"/>
      <c r="AZ410" s="225"/>
      <c r="BA410" s="225"/>
      <c r="BB410" s="225"/>
      <c r="BC410" s="225"/>
      <c r="BD410" s="225"/>
      <c r="BE410" s="225"/>
      <c r="BF410" s="225"/>
      <c r="BG410" s="225"/>
      <c r="BH410" s="225"/>
      <c r="BI410" s="225"/>
      <c r="BJ410" s="225"/>
      <c r="BK410" s="225"/>
    </row>
    <row r="411" spans="48:63" ht="15.75" customHeight="1" x14ac:dyDescent="0.2">
      <c r="AV411" s="225"/>
      <c r="AW411" s="225"/>
      <c r="AX411" s="225"/>
      <c r="AY411" s="225"/>
      <c r="AZ411" s="225"/>
      <c r="BA411" s="225"/>
      <c r="BB411" s="225"/>
      <c r="BC411" s="225"/>
      <c r="BD411" s="225"/>
      <c r="BE411" s="225"/>
      <c r="BF411" s="225"/>
      <c r="BG411" s="225"/>
      <c r="BH411" s="225"/>
      <c r="BI411" s="225"/>
      <c r="BJ411" s="225"/>
      <c r="BK411" s="225"/>
    </row>
    <row r="412" spans="48:63" ht="15.75" customHeight="1" x14ac:dyDescent="0.2">
      <c r="AV412" s="225"/>
      <c r="AW412" s="225"/>
      <c r="AX412" s="225"/>
      <c r="AY412" s="225"/>
      <c r="AZ412" s="225"/>
      <c r="BA412" s="225"/>
      <c r="BB412" s="225"/>
      <c r="BC412" s="225"/>
      <c r="BD412" s="225"/>
      <c r="BE412" s="225"/>
      <c r="BF412" s="225"/>
      <c r="BG412" s="225"/>
      <c r="BH412" s="225"/>
      <c r="BI412" s="225"/>
      <c r="BJ412" s="225"/>
      <c r="BK412" s="225"/>
    </row>
    <row r="413" spans="48:63" ht="15.75" customHeight="1" x14ac:dyDescent="0.2">
      <c r="AV413" s="225"/>
      <c r="AW413" s="225"/>
      <c r="AX413" s="225"/>
      <c r="AY413" s="225"/>
      <c r="AZ413" s="225"/>
      <c r="BA413" s="225"/>
      <c r="BB413" s="225"/>
      <c r="BC413" s="225"/>
      <c r="BD413" s="225"/>
      <c r="BE413" s="225"/>
      <c r="BF413" s="225"/>
      <c r="BG413" s="225"/>
      <c r="BH413" s="225"/>
      <c r="BI413" s="225"/>
      <c r="BJ413" s="225"/>
      <c r="BK413" s="225"/>
    </row>
    <row r="414" spans="48:63" ht="15.75" customHeight="1" x14ac:dyDescent="0.2">
      <c r="AV414" s="225"/>
      <c r="AW414" s="225"/>
      <c r="AX414" s="225"/>
      <c r="AY414" s="225"/>
      <c r="AZ414" s="225"/>
      <c r="BA414" s="225"/>
      <c r="BB414" s="225"/>
      <c r="BC414" s="225"/>
      <c r="BD414" s="225"/>
      <c r="BE414" s="225"/>
      <c r="BF414" s="225"/>
      <c r="BG414" s="225"/>
      <c r="BH414" s="225"/>
      <c r="BI414" s="225"/>
      <c r="BJ414" s="225"/>
      <c r="BK414" s="225"/>
    </row>
    <row r="415" spans="48:63" ht="15.75" customHeight="1" x14ac:dyDescent="0.2">
      <c r="AV415" s="225"/>
      <c r="AW415" s="225"/>
      <c r="AX415" s="225"/>
      <c r="AY415" s="225"/>
      <c r="AZ415" s="225"/>
      <c r="BA415" s="225"/>
      <c r="BB415" s="225"/>
      <c r="BC415" s="225"/>
      <c r="BD415" s="225"/>
      <c r="BE415" s="225"/>
      <c r="BF415" s="225"/>
      <c r="BG415" s="225"/>
      <c r="BH415" s="225"/>
      <c r="BI415" s="225"/>
      <c r="BJ415" s="225"/>
      <c r="BK415" s="225"/>
    </row>
    <row r="416" spans="48:63" ht="15.75" customHeight="1" x14ac:dyDescent="0.2">
      <c r="AV416" s="225"/>
      <c r="AW416" s="225"/>
      <c r="AX416" s="225"/>
      <c r="AY416" s="225"/>
      <c r="AZ416" s="225"/>
      <c r="BA416" s="225"/>
      <c r="BB416" s="225"/>
      <c r="BC416" s="225"/>
      <c r="BD416" s="225"/>
      <c r="BE416" s="225"/>
      <c r="BF416" s="225"/>
      <c r="BG416" s="225"/>
      <c r="BH416" s="225"/>
      <c r="BI416" s="225"/>
      <c r="BJ416" s="225"/>
      <c r="BK416" s="225"/>
    </row>
    <row r="417" spans="48:63" ht="15.75" customHeight="1" x14ac:dyDescent="0.2">
      <c r="AV417" s="225"/>
      <c r="AW417" s="225"/>
      <c r="AX417" s="225"/>
      <c r="AY417" s="225"/>
      <c r="AZ417" s="225"/>
      <c r="BA417" s="225"/>
      <c r="BB417" s="225"/>
      <c r="BC417" s="225"/>
      <c r="BD417" s="225"/>
      <c r="BE417" s="225"/>
      <c r="BF417" s="225"/>
      <c r="BG417" s="225"/>
      <c r="BH417" s="225"/>
      <c r="BI417" s="225"/>
      <c r="BJ417" s="225"/>
      <c r="BK417" s="225"/>
    </row>
    <row r="418" spans="48:63" ht="15.75" customHeight="1" x14ac:dyDescent="0.2">
      <c r="AV418" s="225"/>
      <c r="AW418" s="225"/>
      <c r="AX418" s="225"/>
      <c r="AY418" s="225"/>
      <c r="AZ418" s="225"/>
      <c r="BA418" s="225"/>
      <c r="BB418" s="225"/>
      <c r="BC418" s="225"/>
      <c r="BD418" s="225"/>
      <c r="BE418" s="225"/>
      <c r="BF418" s="225"/>
      <c r="BG418" s="225"/>
      <c r="BH418" s="225"/>
      <c r="BI418" s="225"/>
      <c r="BJ418" s="225"/>
      <c r="BK418" s="225"/>
    </row>
    <row r="419" spans="48:63" ht="15.75" customHeight="1" x14ac:dyDescent="0.2">
      <c r="AV419" s="225"/>
      <c r="AW419" s="225"/>
      <c r="AX419" s="225"/>
      <c r="AY419" s="225"/>
      <c r="AZ419" s="225"/>
      <c r="BA419" s="225"/>
      <c r="BB419" s="225"/>
      <c r="BC419" s="225"/>
      <c r="BD419" s="225"/>
      <c r="BE419" s="225"/>
      <c r="BF419" s="225"/>
      <c r="BG419" s="225"/>
      <c r="BH419" s="225"/>
      <c r="BI419" s="225"/>
      <c r="BJ419" s="225"/>
      <c r="BK419" s="225"/>
    </row>
    <row r="420" spans="48:63" ht="15.75" customHeight="1" x14ac:dyDescent="0.2">
      <c r="AV420" s="225"/>
      <c r="AW420" s="225"/>
      <c r="AX420" s="225"/>
      <c r="AY420" s="225"/>
      <c r="AZ420" s="225"/>
      <c r="BA420" s="225"/>
      <c r="BB420" s="225"/>
      <c r="BC420" s="225"/>
      <c r="BD420" s="225"/>
      <c r="BE420" s="225"/>
      <c r="BF420" s="225"/>
      <c r="BG420" s="225"/>
      <c r="BH420" s="225"/>
      <c r="BI420" s="225"/>
      <c r="BJ420" s="225"/>
      <c r="BK420" s="225"/>
    </row>
    <row r="421" spans="48:63" ht="15.75" customHeight="1" x14ac:dyDescent="0.2">
      <c r="AV421" s="225"/>
      <c r="AW421" s="225"/>
      <c r="AX421" s="225"/>
      <c r="AY421" s="225"/>
      <c r="AZ421" s="225"/>
      <c r="BA421" s="225"/>
      <c r="BB421" s="225"/>
      <c r="BC421" s="225"/>
      <c r="BD421" s="225"/>
      <c r="BE421" s="225"/>
      <c r="BF421" s="225"/>
      <c r="BG421" s="225"/>
      <c r="BH421" s="225"/>
      <c r="BI421" s="225"/>
      <c r="BJ421" s="225"/>
      <c r="BK421" s="225"/>
    </row>
    <row r="422" spans="48:63" ht="15.75" customHeight="1" x14ac:dyDescent="0.2">
      <c r="AV422" s="225"/>
      <c r="AW422" s="225"/>
      <c r="AX422" s="225"/>
      <c r="AY422" s="225"/>
      <c r="AZ422" s="225"/>
      <c r="BA422" s="225"/>
      <c r="BB422" s="225"/>
      <c r="BC422" s="225"/>
      <c r="BD422" s="225"/>
      <c r="BE422" s="225"/>
      <c r="BF422" s="225"/>
      <c r="BG422" s="225"/>
      <c r="BH422" s="225"/>
      <c r="BI422" s="225"/>
      <c r="BJ422" s="225"/>
      <c r="BK422" s="225"/>
    </row>
    <row r="423" spans="48:63" ht="15.75" customHeight="1" x14ac:dyDescent="0.2">
      <c r="AV423" s="225"/>
      <c r="AW423" s="225"/>
      <c r="AX423" s="225"/>
      <c r="AY423" s="225"/>
      <c r="AZ423" s="225"/>
      <c r="BA423" s="225"/>
      <c r="BB423" s="225"/>
      <c r="BC423" s="225"/>
      <c r="BD423" s="225"/>
      <c r="BE423" s="225"/>
      <c r="BF423" s="225"/>
      <c r="BG423" s="225"/>
      <c r="BH423" s="225"/>
      <c r="BI423" s="225"/>
      <c r="BJ423" s="225"/>
      <c r="BK423" s="225"/>
    </row>
    <row r="424" spans="48:63" ht="15.75" customHeight="1" x14ac:dyDescent="0.2">
      <c r="AV424" s="225"/>
      <c r="AW424" s="225"/>
      <c r="AX424" s="225"/>
      <c r="AY424" s="225"/>
      <c r="AZ424" s="225"/>
      <c r="BA424" s="225"/>
      <c r="BB424" s="225"/>
      <c r="BC424" s="225"/>
      <c r="BD424" s="225"/>
      <c r="BE424" s="225"/>
      <c r="BF424" s="225"/>
      <c r="BG424" s="225"/>
      <c r="BH424" s="225"/>
      <c r="BI424" s="225"/>
      <c r="BJ424" s="225"/>
      <c r="BK424" s="225"/>
    </row>
    <row r="425" spans="48:63" ht="15.75" customHeight="1" x14ac:dyDescent="0.2">
      <c r="AV425" s="225"/>
      <c r="AW425" s="225"/>
      <c r="AX425" s="225"/>
      <c r="AY425" s="225"/>
      <c r="AZ425" s="225"/>
      <c r="BA425" s="225"/>
      <c r="BB425" s="225"/>
      <c r="BC425" s="225"/>
      <c r="BD425" s="225"/>
      <c r="BE425" s="225"/>
      <c r="BF425" s="225"/>
      <c r="BG425" s="225"/>
      <c r="BH425" s="225"/>
      <c r="BI425" s="225"/>
      <c r="BJ425" s="225"/>
      <c r="BK425" s="225"/>
    </row>
    <row r="426" spans="48:63" ht="15.75" customHeight="1" x14ac:dyDescent="0.2">
      <c r="AV426" s="225"/>
      <c r="AW426" s="225"/>
      <c r="AX426" s="225"/>
      <c r="AY426" s="225"/>
      <c r="AZ426" s="225"/>
      <c r="BA426" s="225"/>
      <c r="BB426" s="225"/>
      <c r="BC426" s="225"/>
      <c r="BD426" s="225"/>
      <c r="BE426" s="225"/>
      <c r="BF426" s="225"/>
      <c r="BG426" s="225"/>
      <c r="BH426" s="225"/>
      <c r="BI426" s="225"/>
      <c r="BJ426" s="225"/>
      <c r="BK426" s="225"/>
    </row>
    <row r="427" spans="48:63" ht="15.75" customHeight="1" x14ac:dyDescent="0.2">
      <c r="AV427" s="225"/>
      <c r="AW427" s="225"/>
      <c r="AX427" s="225"/>
      <c r="AY427" s="225"/>
      <c r="AZ427" s="225"/>
      <c r="BA427" s="225"/>
      <c r="BB427" s="225"/>
      <c r="BC427" s="225"/>
      <c r="BD427" s="225"/>
      <c r="BE427" s="225"/>
      <c r="BF427" s="225"/>
      <c r="BG427" s="225"/>
      <c r="BH427" s="225"/>
      <c r="BI427" s="225"/>
      <c r="BJ427" s="225"/>
      <c r="BK427" s="225"/>
    </row>
    <row r="428" spans="48:63" ht="15.75" customHeight="1" x14ac:dyDescent="0.2">
      <c r="AV428" s="225"/>
      <c r="AW428" s="225"/>
      <c r="AX428" s="225"/>
      <c r="AY428" s="225"/>
      <c r="AZ428" s="225"/>
      <c r="BA428" s="225"/>
      <c r="BB428" s="225"/>
      <c r="BC428" s="225"/>
      <c r="BD428" s="225"/>
      <c r="BE428" s="225"/>
      <c r="BF428" s="225"/>
      <c r="BG428" s="225"/>
      <c r="BH428" s="225"/>
      <c r="BI428" s="225"/>
      <c r="BJ428" s="225"/>
      <c r="BK428" s="225"/>
    </row>
    <row r="429" spans="48:63" ht="15.75" customHeight="1" x14ac:dyDescent="0.2">
      <c r="AV429" s="225"/>
      <c r="AW429" s="225"/>
      <c r="AX429" s="225"/>
      <c r="AY429" s="225"/>
      <c r="AZ429" s="225"/>
      <c r="BA429" s="225"/>
      <c r="BB429" s="225"/>
      <c r="BC429" s="225"/>
      <c r="BD429" s="225"/>
      <c r="BE429" s="225"/>
      <c r="BF429" s="225"/>
      <c r="BG429" s="225"/>
      <c r="BH429" s="225"/>
      <c r="BI429" s="225"/>
      <c r="BJ429" s="225"/>
      <c r="BK429" s="225"/>
    </row>
    <row r="430" spans="48:63" ht="15.75" customHeight="1" x14ac:dyDescent="0.2">
      <c r="AV430" s="225"/>
      <c r="AW430" s="225"/>
      <c r="AX430" s="225"/>
      <c r="AY430" s="225"/>
      <c r="AZ430" s="225"/>
      <c r="BA430" s="225"/>
      <c r="BB430" s="225"/>
      <c r="BC430" s="225"/>
      <c r="BD430" s="225"/>
      <c r="BE430" s="225"/>
      <c r="BF430" s="225"/>
      <c r="BG430" s="225"/>
      <c r="BH430" s="225"/>
      <c r="BI430" s="225"/>
      <c r="BJ430" s="225"/>
      <c r="BK430" s="225"/>
    </row>
    <row r="431" spans="48:63" ht="15.75" customHeight="1" x14ac:dyDescent="0.2">
      <c r="AV431" s="225"/>
      <c r="AW431" s="225"/>
      <c r="AX431" s="225"/>
      <c r="AY431" s="225"/>
      <c r="AZ431" s="225"/>
      <c r="BA431" s="225"/>
      <c r="BB431" s="225"/>
      <c r="BC431" s="225"/>
      <c r="BD431" s="225"/>
      <c r="BE431" s="225"/>
      <c r="BF431" s="225"/>
      <c r="BG431" s="225"/>
      <c r="BH431" s="225"/>
      <c r="BI431" s="225"/>
      <c r="BJ431" s="225"/>
      <c r="BK431" s="225"/>
    </row>
    <row r="432" spans="48:63" ht="15.75" customHeight="1" x14ac:dyDescent="0.2">
      <c r="AV432" s="225"/>
      <c r="AW432" s="225"/>
      <c r="AX432" s="225"/>
      <c r="AY432" s="225"/>
      <c r="AZ432" s="225"/>
      <c r="BA432" s="225"/>
      <c r="BB432" s="225"/>
      <c r="BC432" s="225"/>
      <c r="BD432" s="225"/>
      <c r="BE432" s="225"/>
      <c r="BF432" s="225"/>
      <c r="BG432" s="225"/>
      <c r="BH432" s="225"/>
      <c r="BI432" s="225"/>
      <c r="BJ432" s="225"/>
      <c r="BK432" s="225"/>
    </row>
    <row r="433" spans="48:63" ht="15.75" customHeight="1" x14ac:dyDescent="0.2">
      <c r="AV433" s="225"/>
      <c r="AW433" s="225"/>
      <c r="AX433" s="225"/>
      <c r="AY433" s="225"/>
      <c r="AZ433" s="225"/>
      <c r="BA433" s="225"/>
      <c r="BB433" s="225"/>
      <c r="BC433" s="225"/>
      <c r="BD433" s="225"/>
      <c r="BE433" s="225"/>
      <c r="BF433" s="225"/>
      <c r="BG433" s="225"/>
      <c r="BH433" s="225"/>
      <c r="BI433" s="225"/>
      <c r="BJ433" s="225"/>
      <c r="BK433" s="225"/>
    </row>
    <row r="434" spans="48:63" ht="15.75" customHeight="1" x14ac:dyDescent="0.2">
      <c r="AV434" s="225"/>
      <c r="AW434" s="225"/>
      <c r="AX434" s="225"/>
      <c r="AY434" s="225"/>
      <c r="AZ434" s="225"/>
      <c r="BA434" s="225"/>
      <c r="BB434" s="225"/>
      <c r="BC434" s="225"/>
      <c r="BD434" s="225"/>
      <c r="BE434" s="225"/>
      <c r="BF434" s="225"/>
      <c r="BG434" s="225"/>
      <c r="BH434" s="225"/>
      <c r="BI434" s="225"/>
      <c r="BJ434" s="225"/>
      <c r="BK434" s="225"/>
    </row>
    <row r="435" spans="48:63" ht="15.75" customHeight="1" x14ac:dyDescent="0.2">
      <c r="AV435" s="225"/>
      <c r="AW435" s="225"/>
      <c r="AX435" s="225"/>
      <c r="AY435" s="225"/>
      <c r="AZ435" s="225"/>
      <c r="BA435" s="225"/>
      <c r="BB435" s="225"/>
      <c r="BC435" s="225"/>
      <c r="BD435" s="225"/>
      <c r="BE435" s="225"/>
      <c r="BF435" s="225"/>
      <c r="BG435" s="225"/>
      <c r="BH435" s="225"/>
      <c r="BI435" s="225"/>
      <c r="BJ435" s="225"/>
      <c r="BK435" s="225"/>
    </row>
    <row r="436" spans="48:63" ht="15.75" customHeight="1" x14ac:dyDescent="0.2">
      <c r="AV436" s="225"/>
      <c r="AW436" s="225"/>
      <c r="AX436" s="225"/>
      <c r="AY436" s="225"/>
      <c r="AZ436" s="225"/>
      <c r="BA436" s="225"/>
      <c r="BB436" s="225"/>
      <c r="BC436" s="225"/>
      <c r="BD436" s="225"/>
      <c r="BE436" s="225"/>
      <c r="BF436" s="225"/>
      <c r="BG436" s="225"/>
      <c r="BH436" s="225"/>
      <c r="BI436" s="225"/>
      <c r="BJ436" s="225"/>
      <c r="BK436" s="225"/>
    </row>
    <row r="437" spans="48:63" ht="15.75" customHeight="1" x14ac:dyDescent="0.2">
      <c r="AV437" s="225"/>
      <c r="AW437" s="225"/>
      <c r="AX437" s="225"/>
      <c r="AY437" s="225"/>
      <c r="AZ437" s="225"/>
      <c r="BA437" s="225"/>
      <c r="BB437" s="225"/>
      <c r="BC437" s="225"/>
      <c r="BD437" s="225"/>
      <c r="BE437" s="225"/>
      <c r="BF437" s="225"/>
      <c r="BG437" s="225"/>
      <c r="BH437" s="225"/>
      <c r="BI437" s="225"/>
      <c r="BJ437" s="225"/>
      <c r="BK437" s="225"/>
    </row>
    <row r="438" spans="48:63" ht="15.75" customHeight="1" x14ac:dyDescent="0.2">
      <c r="AV438" s="225"/>
      <c r="AW438" s="225"/>
      <c r="AX438" s="225"/>
      <c r="AY438" s="225"/>
      <c r="AZ438" s="225"/>
      <c r="BA438" s="225"/>
      <c r="BB438" s="225"/>
      <c r="BC438" s="225"/>
      <c r="BD438" s="225"/>
      <c r="BE438" s="225"/>
      <c r="BF438" s="225"/>
      <c r="BG438" s="225"/>
      <c r="BH438" s="225"/>
      <c r="BI438" s="225"/>
      <c r="BJ438" s="225"/>
      <c r="BK438" s="225"/>
    </row>
    <row r="439" spans="48:63" ht="15.75" customHeight="1" x14ac:dyDescent="0.2">
      <c r="AV439" s="225"/>
      <c r="AW439" s="225"/>
      <c r="AX439" s="225"/>
      <c r="AY439" s="225"/>
      <c r="AZ439" s="225"/>
      <c r="BA439" s="225"/>
      <c r="BB439" s="225"/>
      <c r="BC439" s="225"/>
      <c r="BD439" s="225"/>
      <c r="BE439" s="225"/>
      <c r="BF439" s="225"/>
      <c r="BG439" s="225"/>
      <c r="BH439" s="225"/>
      <c r="BI439" s="225"/>
      <c r="BJ439" s="225"/>
      <c r="BK439" s="225"/>
    </row>
    <row r="440" spans="48:63" ht="15.75" customHeight="1" x14ac:dyDescent="0.2">
      <c r="AV440" s="225"/>
      <c r="AW440" s="225"/>
      <c r="AX440" s="225"/>
      <c r="AY440" s="225"/>
      <c r="AZ440" s="225"/>
      <c r="BA440" s="225"/>
      <c r="BB440" s="225"/>
      <c r="BC440" s="225"/>
      <c r="BD440" s="225"/>
      <c r="BE440" s="225"/>
      <c r="BF440" s="225"/>
      <c r="BG440" s="225"/>
      <c r="BH440" s="225"/>
      <c r="BI440" s="225"/>
      <c r="BJ440" s="225"/>
      <c r="BK440" s="225"/>
    </row>
    <row r="441" spans="48:63" ht="15.75" customHeight="1" x14ac:dyDescent="0.2">
      <c r="AV441" s="225"/>
      <c r="AW441" s="225"/>
      <c r="AX441" s="225"/>
      <c r="AY441" s="225"/>
      <c r="AZ441" s="225"/>
      <c r="BA441" s="225"/>
      <c r="BB441" s="225"/>
      <c r="BC441" s="225"/>
      <c r="BD441" s="225"/>
      <c r="BE441" s="225"/>
      <c r="BF441" s="225"/>
      <c r="BG441" s="225"/>
      <c r="BH441" s="225"/>
      <c r="BI441" s="225"/>
      <c r="BJ441" s="225"/>
      <c r="BK441" s="225"/>
    </row>
    <row r="442" spans="48:63" ht="15.75" customHeight="1" x14ac:dyDescent="0.2">
      <c r="AV442" s="225"/>
      <c r="AW442" s="225"/>
      <c r="AX442" s="225"/>
      <c r="AY442" s="225"/>
      <c r="AZ442" s="225"/>
      <c r="BA442" s="225"/>
      <c r="BB442" s="225"/>
      <c r="BC442" s="225"/>
      <c r="BD442" s="225"/>
      <c r="BE442" s="225"/>
      <c r="BF442" s="225"/>
      <c r="BG442" s="225"/>
      <c r="BH442" s="225"/>
      <c r="BI442" s="225"/>
      <c r="BJ442" s="225"/>
      <c r="BK442" s="225"/>
    </row>
    <row r="443" spans="48:63" ht="15.75" customHeight="1" x14ac:dyDescent="0.2">
      <c r="AV443" s="225"/>
      <c r="AW443" s="225"/>
      <c r="AX443" s="225"/>
      <c r="AY443" s="225"/>
      <c r="AZ443" s="225"/>
      <c r="BA443" s="225"/>
      <c r="BB443" s="225"/>
      <c r="BC443" s="225"/>
      <c r="BD443" s="225"/>
      <c r="BE443" s="225"/>
      <c r="BF443" s="225"/>
      <c r="BG443" s="225"/>
      <c r="BH443" s="225"/>
      <c r="BI443" s="225"/>
      <c r="BJ443" s="225"/>
      <c r="BK443" s="225"/>
    </row>
    <row r="444" spans="48:63" ht="15.75" customHeight="1" x14ac:dyDescent="0.2">
      <c r="AV444" s="225"/>
      <c r="AW444" s="225"/>
      <c r="AX444" s="225"/>
      <c r="AY444" s="225"/>
      <c r="AZ444" s="225"/>
      <c r="BA444" s="225"/>
      <c r="BB444" s="225"/>
      <c r="BC444" s="225"/>
      <c r="BD444" s="225"/>
      <c r="BE444" s="225"/>
      <c r="BF444" s="225"/>
      <c r="BG444" s="225"/>
      <c r="BH444" s="225"/>
      <c r="BI444" s="225"/>
      <c r="BJ444" s="225"/>
      <c r="BK444" s="225"/>
    </row>
    <row r="445" spans="48:63" ht="15.75" customHeight="1" x14ac:dyDescent="0.2">
      <c r="AV445" s="225"/>
      <c r="AW445" s="225"/>
      <c r="AX445" s="225"/>
      <c r="AY445" s="225"/>
      <c r="AZ445" s="225"/>
      <c r="BA445" s="225"/>
      <c r="BB445" s="225"/>
      <c r="BC445" s="225"/>
      <c r="BD445" s="225"/>
      <c r="BE445" s="225"/>
      <c r="BF445" s="225"/>
      <c r="BG445" s="225"/>
      <c r="BH445" s="225"/>
      <c r="BI445" s="225"/>
      <c r="BJ445" s="225"/>
      <c r="BK445" s="225"/>
    </row>
    <row r="446" spans="48:63" ht="15.75" customHeight="1" x14ac:dyDescent="0.2">
      <c r="AV446" s="225"/>
      <c r="AW446" s="225"/>
      <c r="AX446" s="225"/>
      <c r="AY446" s="225"/>
      <c r="AZ446" s="225"/>
      <c r="BA446" s="225"/>
      <c r="BB446" s="225"/>
      <c r="BC446" s="225"/>
      <c r="BD446" s="225"/>
      <c r="BE446" s="225"/>
      <c r="BF446" s="225"/>
      <c r="BG446" s="225"/>
      <c r="BH446" s="225"/>
      <c r="BI446" s="225"/>
      <c r="BJ446" s="225"/>
      <c r="BK446" s="225"/>
    </row>
    <row r="447" spans="48:63" ht="15.75" customHeight="1" x14ac:dyDescent="0.2">
      <c r="AV447" s="225"/>
      <c r="AW447" s="225"/>
      <c r="AX447" s="225"/>
      <c r="AY447" s="225"/>
      <c r="AZ447" s="225"/>
      <c r="BA447" s="225"/>
      <c r="BB447" s="225"/>
      <c r="BC447" s="225"/>
      <c r="BD447" s="225"/>
      <c r="BE447" s="225"/>
      <c r="BF447" s="225"/>
      <c r="BG447" s="225"/>
      <c r="BH447" s="225"/>
      <c r="BI447" s="225"/>
      <c r="BJ447" s="225"/>
      <c r="BK447" s="225"/>
    </row>
    <row r="448" spans="48:63" ht="15.75" customHeight="1" x14ac:dyDescent="0.2">
      <c r="AV448" s="225"/>
      <c r="AW448" s="225"/>
      <c r="AX448" s="225"/>
      <c r="AY448" s="225"/>
      <c r="AZ448" s="225"/>
      <c r="BA448" s="225"/>
      <c r="BB448" s="225"/>
      <c r="BC448" s="225"/>
      <c r="BD448" s="225"/>
      <c r="BE448" s="225"/>
      <c r="BF448" s="225"/>
      <c r="BG448" s="225"/>
      <c r="BH448" s="225"/>
      <c r="BI448" s="225"/>
      <c r="BJ448" s="225"/>
      <c r="BK448" s="225"/>
    </row>
    <row r="449" spans="48:63" ht="15.75" customHeight="1" x14ac:dyDescent="0.2">
      <c r="AV449" s="225"/>
      <c r="AW449" s="225"/>
      <c r="AX449" s="225"/>
      <c r="AY449" s="225"/>
      <c r="AZ449" s="225"/>
      <c r="BA449" s="225"/>
      <c r="BB449" s="225"/>
      <c r="BC449" s="225"/>
      <c r="BD449" s="225"/>
      <c r="BE449" s="225"/>
      <c r="BF449" s="225"/>
      <c r="BG449" s="225"/>
      <c r="BH449" s="225"/>
      <c r="BI449" s="225"/>
      <c r="BJ449" s="225"/>
      <c r="BK449" s="225"/>
    </row>
    <row r="450" spans="48:63" ht="15.75" customHeight="1" x14ac:dyDescent="0.2">
      <c r="AV450" s="225"/>
      <c r="AW450" s="225"/>
      <c r="AX450" s="225"/>
      <c r="AY450" s="225"/>
      <c r="AZ450" s="225"/>
      <c r="BA450" s="225"/>
      <c r="BB450" s="225"/>
      <c r="BC450" s="225"/>
      <c r="BD450" s="225"/>
      <c r="BE450" s="225"/>
      <c r="BF450" s="225"/>
      <c r="BG450" s="225"/>
      <c r="BH450" s="225"/>
      <c r="BI450" s="225"/>
      <c r="BJ450" s="225"/>
      <c r="BK450" s="225"/>
    </row>
    <row r="451" spans="48:63" ht="15.75" customHeight="1" x14ac:dyDescent="0.2">
      <c r="AV451" s="225"/>
      <c r="AW451" s="225"/>
      <c r="AX451" s="225"/>
      <c r="AY451" s="225"/>
      <c r="AZ451" s="225"/>
      <c r="BA451" s="225"/>
      <c r="BB451" s="225"/>
      <c r="BC451" s="225"/>
      <c r="BD451" s="225"/>
      <c r="BE451" s="225"/>
      <c r="BF451" s="225"/>
      <c r="BG451" s="225"/>
      <c r="BH451" s="225"/>
      <c r="BI451" s="225"/>
      <c r="BJ451" s="225"/>
      <c r="BK451" s="225"/>
    </row>
    <row r="452" spans="48:63" ht="15.75" customHeight="1" x14ac:dyDescent="0.2">
      <c r="AV452" s="225"/>
      <c r="AW452" s="225"/>
      <c r="AX452" s="225"/>
      <c r="AY452" s="225"/>
      <c r="AZ452" s="225"/>
      <c r="BA452" s="225"/>
      <c r="BB452" s="225"/>
      <c r="BC452" s="225"/>
      <c r="BD452" s="225"/>
      <c r="BE452" s="225"/>
      <c r="BF452" s="225"/>
      <c r="BG452" s="225"/>
      <c r="BH452" s="225"/>
      <c r="BI452" s="225"/>
      <c r="BJ452" s="225"/>
      <c r="BK452" s="225"/>
    </row>
    <row r="453" spans="48:63" ht="15.75" customHeight="1" x14ac:dyDescent="0.2">
      <c r="AV453" s="225"/>
      <c r="AW453" s="225"/>
      <c r="AX453" s="225"/>
      <c r="AY453" s="225"/>
      <c r="AZ453" s="225"/>
      <c r="BA453" s="225"/>
      <c r="BB453" s="225"/>
      <c r="BC453" s="225"/>
      <c r="BD453" s="225"/>
      <c r="BE453" s="225"/>
      <c r="BF453" s="225"/>
      <c r="BG453" s="225"/>
      <c r="BH453" s="225"/>
      <c r="BI453" s="225"/>
      <c r="BJ453" s="225"/>
      <c r="BK453" s="225"/>
    </row>
    <row r="454" spans="48:63" ht="15.75" customHeight="1" x14ac:dyDescent="0.2">
      <c r="AV454" s="225"/>
      <c r="AW454" s="225"/>
      <c r="AX454" s="225"/>
      <c r="AY454" s="225"/>
      <c r="AZ454" s="225"/>
      <c r="BA454" s="225"/>
      <c r="BB454" s="225"/>
      <c r="BC454" s="225"/>
      <c r="BD454" s="225"/>
      <c r="BE454" s="225"/>
      <c r="BF454" s="225"/>
      <c r="BG454" s="225"/>
      <c r="BH454" s="225"/>
      <c r="BI454" s="225"/>
      <c r="BJ454" s="225"/>
      <c r="BK454" s="225"/>
    </row>
    <row r="455" spans="48:63" ht="15.75" customHeight="1" x14ac:dyDescent="0.2">
      <c r="AV455" s="225"/>
      <c r="AW455" s="225"/>
      <c r="AX455" s="225"/>
      <c r="AY455" s="225"/>
      <c r="AZ455" s="225"/>
      <c r="BA455" s="225"/>
      <c r="BB455" s="225"/>
      <c r="BC455" s="225"/>
      <c r="BD455" s="225"/>
      <c r="BE455" s="225"/>
      <c r="BF455" s="225"/>
      <c r="BG455" s="225"/>
      <c r="BH455" s="225"/>
      <c r="BI455" s="225"/>
      <c r="BJ455" s="225"/>
      <c r="BK455" s="225"/>
    </row>
    <row r="456" spans="48:63" ht="15.75" customHeight="1" x14ac:dyDescent="0.2">
      <c r="AV456" s="225"/>
      <c r="AW456" s="225"/>
      <c r="AX456" s="225"/>
      <c r="AY456" s="225"/>
      <c r="AZ456" s="225"/>
      <c r="BA456" s="225"/>
      <c r="BB456" s="225"/>
      <c r="BC456" s="225"/>
      <c r="BD456" s="225"/>
      <c r="BE456" s="225"/>
      <c r="BF456" s="225"/>
      <c r="BG456" s="225"/>
      <c r="BH456" s="225"/>
      <c r="BI456" s="225"/>
      <c r="BJ456" s="225"/>
      <c r="BK456" s="225"/>
    </row>
    <row r="457" spans="48:63" ht="15.75" customHeight="1" x14ac:dyDescent="0.2">
      <c r="AV457" s="225"/>
      <c r="AW457" s="225"/>
      <c r="AX457" s="225"/>
      <c r="AY457" s="225"/>
      <c r="AZ457" s="225"/>
      <c r="BA457" s="225"/>
      <c r="BB457" s="225"/>
      <c r="BC457" s="225"/>
      <c r="BD457" s="225"/>
      <c r="BE457" s="225"/>
      <c r="BF457" s="225"/>
      <c r="BG457" s="225"/>
      <c r="BH457" s="225"/>
      <c r="BI457" s="225"/>
      <c r="BJ457" s="225"/>
      <c r="BK457" s="225"/>
    </row>
    <row r="458" spans="48:63" ht="15.75" customHeight="1" x14ac:dyDescent="0.2">
      <c r="AV458" s="225"/>
      <c r="AW458" s="225"/>
      <c r="AX458" s="225"/>
      <c r="AY458" s="225"/>
      <c r="AZ458" s="225"/>
      <c r="BA458" s="225"/>
      <c r="BB458" s="225"/>
      <c r="BC458" s="225"/>
      <c r="BD458" s="225"/>
      <c r="BE458" s="225"/>
      <c r="BF458" s="225"/>
      <c r="BG458" s="225"/>
      <c r="BH458" s="225"/>
      <c r="BI458" s="225"/>
      <c r="BJ458" s="225"/>
      <c r="BK458" s="225"/>
    </row>
    <row r="459" spans="48:63" ht="15.75" customHeight="1" x14ac:dyDescent="0.2">
      <c r="AV459" s="225"/>
      <c r="AW459" s="225"/>
      <c r="AX459" s="225"/>
      <c r="AY459" s="225"/>
      <c r="AZ459" s="225"/>
      <c r="BA459" s="225"/>
      <c r="BB459" s="225"/>
      <c r="BC459" s="225"/>
      <c r="BD459" s="225"/>
      <c r="BE459" s="225"/>
      <c r="BF459" s="225"/>
      <c r="BG459" s="225"/>
      <c r="BH459" s="225"/>
      <c r="BI459" s="225"/>
      <c r="BJ459" s="225"/>
      <c r="BK459" s="225"/>
    </row>
    <row r="460" spans="48:63" ht="15.75" customHeight="1" x14ac:dyDescent="0.2">
      <c r="AV460" s="225"/>
      <c r="AW460" s="225"/>
      <c r="AX460" s="225"/>
      <c r="AY460" s="225"/>
      <c r="AZ460" s="225"/>
      <c r="BA460" s="225"/>
      <c r="BB460" s="225"/>
      <c r="BC460" s="225"/>
      <c r="BD460" s="225"/>
      <c r="BE460" s="225"/>
      <c r="BF460" s="225"/>
      <c r="BG460" s="225"/>
      <c r="BH460" s="225"/>
      <c r="BI460" s="225"/>
      <c r="BJ460" s="225"/>
      <c r="BK460" s="225"/>
    </row>
    <row r="461" spans="48:63" ht="15.75" customHeight="1" x14ac:dyDescent="0.2">
      <c r="AV461" s="225"/>
      <c r="AW461" s="225"/>
      <c r="AX461" s="225"/>
      <c r="AY461" s="225"/>
      <c r="AZ461" s="225"/>
      <c r="BA461" s="225"/>
      <c r="BB461" s="225"/>
      <c r="BC461" s="225"/>
      <c r="BD461" s="225"/>
      <c r="BE461" s="225"/>
      <c r="BF461" s="225"/>
      <c r="BG461" s="225"/>
      <c r="BH461" s="225"/>
      <c r="BI461" s="225"/>
      <c r="BJ461" s="225"/>
      <c r="BK461" s="225"/>
    </row>
    <row r="462" spans="48:63" ht="15.75" customHeight="1" x14ac:dyDescent="0.2">
      <c r="AV462" s="225"/>
      <c r="AW462" s="225"/>
      <c r="AX462" s="225"/>
      <c r="AY462" s="225"/>
      <c r="AZ462" s="225"/>
      <c r="BA462" s="225"/>
      <c r="BB462" s="225"/>
      <c r="BC462" s="225"/>
      <c r="BD462" s="225"/>
      <c r="BE462" s="225"/>
      <c r="BF462" s="225"/>
      <c r="BG462" s="225"/>
      <c r="BH462" s="225"/>
      <c r="BI462" s="225"/>
      <c r="BJ462" s="225"/>
      <c r="BK462" s="225"/>
    </row>
    <row r="463" spans="48:63" ht="15.75" customHeight="1" x14ac:dyDescent="0.2">
      <c r="AV463" s="225"/>
      <c r="AW463" s="225"/>
      <c r="AX463" s="225"/>
      <c r="AY463" s="225"/>
      <c r="AZ463" s="225"/>
      <c r="BA463" s="225"/>
      <c r="BB463" s="225"/>
      <c r="BC463" s="225"/>
      <c r="BD463" s="225"/>
      <c r="BE463" s="225"/>
      <c r="BF463" s="225"/>
      <c r="BG463" s="225"/>
      <c r="BH463" s="225"/>
      <c r="BI463" s="225"/>
      <c r="BJ463" s="225"/>
      <c r="BK463" s="225"/>
    </row>
    <row r="464" spans="48:63" ht="15.75" customHeight="1" x14ac:dyDescent="0.2">
      <c r="AV464" s="225"/>
      <c r="AW464" s="225"/>
      <c r="AX464" s="225"/>
      <c r="AY464" s="225"/>
      <c r="AZ464" s="225"/>
      <c r="BA464" s="225"/>
      <c r="BB464" s="225"/>
      <c r="BC464" s="225"/>
      <c r="BD464" s="225"/>
      <c r="BE464" s="225"/>
      <c r="BF464" s="225"/>
      <c r="BG464" s="225"/>
      <c r="BH464" s="225"/>
      <c r="BI464" s="225"/>
      <c r="BJ464" s="225"/>
      <c r="BK464" s="225"/>
    </row>
    <row r="465" spans="48:63" ht="15.75" customHeight="1" x14ac:dyDescent="0.2">
      <c r="AV465" s="225"/>
      <c r="AW465" s="225"/>
      <c r="AX465" s="225"/>
      <c r="AY465" s="225"/>
      <c r="AZ465" s="225"/>
      <c r="BA465" s="225"/>
      <c r="BB465" s="225"/>
      <c r="BC465" s="225"/>
      <c r="BD465" s="225"/>
      <c r="BE465" s="225"/>
      <c r="BF465" s="225"/>
      <c r="BG465" s="225"/>
      <c r="BH465" s="225"/>
      <c r="BI465" s="225"/>
      <c r="BJ465" s="225"/>
      <c r="BK465" s="225"/>
    </row>
    <row r="466" spans="48:63" ht="15.75" customHeight="1" x14ac:dyDescent="0.2">
      <c r="AV466" s="225"/>
      <c r="AW466" s="225"/>
      <c r="AX466" s="225"/>
      <c r="AY466" s="225"/>
      <c r="AZ466" s="225"/>
      <c r="BA466" s="225"/>
      <c r="BB466" s="225"/>
      <c r="BC466" s="225"/>
      <c r="BD466" s="225"/>
      <c r="BE466" s="225"/>
      <c r="BF466" s="225"/>
      <c r="BG466" s="225"/>
      <c r="BH466" s="225"/>
      <c r="BI466" s="225"/>
      <c r="BJ466" s="225"/>
      <c r="BK466" s="225"/>
    </row>
    <row r="467" spans="48:63" ht="15.75" customHeight="1" x14ac:dyDescent="0.2">
      <c r="AV467" s="225"/>
      <c r="AW467" s="225"/>
      <c r="AX467" s="225"/>
      <c r="AY467" s="225"/>
      <c r="AZ467" s="225"/>
      <c r="BA467" s="225"/>
      <c r="BB467" s="225"/>
      <c r="BC467" s="225"/>
      <c r="BD467" s="225"/>
      <c r="BE467" s="225"/>
      <c r="BF467" s="225"/>
      <c r="BG467" s="225"/>
      <c r="BH467" s="225"/>
      <c r="BI467" s="225"/>
      <c r="BJ467" s="225"/>
      <c r="BK467" s="225"/>
    </row>
    <row r="468" spans="48:63" ht="15.75" customHeight="1" x14ac:dyDescent="0.2">
      <c r="AV468" s="225"/>
      <c r="AW468" s="225"/>
      <c r="AX468" s="225"/>
      <c r="AY468" s="225"/>
      <c r="AZ468" s="225"/>
      <c r="BA468" s="225"/>
      <c r="BB468" s="225"/>
      <c r="BC468" s="225"/>
      <c r="BD468" s="225"/>
      <c r="BE468" s="225"/>
      <c r="BF468" s="225"/>
      <c r="BG468" s="225"/>
      <c r="BH468" s="225"/>
      <c r="BI468" s="225"/>
      <c r="BJ468" s="225"/>
      <c r="BK468" s="225"/>
    </row>
    <row r="469" spans="48:63" ht="15.75" customHeight="1" x14ac:dyDescent="0.2">
      <c r="AV469" s="225"/>
      <c r="AW469" s="225"/>
      <c r="AX469" s="225"/>
      <c r="AY469" s="225"/>
      <c r="AZ469" s="225"/>
      <c r="BA469" s="225"/>
      <c r="BB469" s="225"/>
      <c r="BC469" s="225"/>
      <c r="BD469" s="225"/>
      <c r="BE469" s="225"/>
      <c r="BF469" s="225"/>
      <c r="BG469" s="225"/>
      <c r="BH469" s="225"/>
      <c r="BI469" s="225"/>
      <c r="BJ469" s="225"/>
      <c r="BK469" s="225"/>
    </row>
    <row r="470" spans="48:63" ht="15.75" customHeight="1" x14ac:dyDescent="0.2">
      <c r="AV470" s="225"/>
      <c r="AW470" s="225"/>
      <c r="AX470" s="225"/>
      <c r="AY470" s="225"/>
      <c r="AZ470" s="225"/>
      <c r="BA470" s="225"/>
      <c r="BB470" s="225"/>
      <c r="BC470" s="225"/>
      <c r="BD470" s="225"/>
      <c r="BE470" s="225"/>
      <c r="BF470" s="225"/>
      <c r="BG470" s="225"/>
      <c r="BH470" s="225"/>
      <c r="BI470" s="225"/>
      <c r="BJ470" s="225"/>
      <c r="BK470" s="225"/>
    </row>
    <row r="471" spans="48:63" ht="15.75" customHeight="1" x14ac:dyDescent="0.2">
      <c r="AV471" s="225"/>
      <c r="AW471" s="225"/>
      <c r="AX471" s="225"/>
      <c r="AY471" s="225"/>
      <c r="AZ471" s="225"/>
      <c r="BA471" s="225"/>
      <c r="BB471" s="225"/>
      <c r="BC471" s="225"/>
      <c r="BD471" s="225"/>
      <c r="BE471" s="225"/>
      <c r="BF471" s="225"/>
      <c r="BG471" s="225"/>
      <c r="BH471" s="225"/>
      <c r="BI471" s="225"/>
      <c r="BJ471" s="225"/>
      <c r="BK471" s="225"/>
    </row>
    <row r="472" spans="48:63" ht="15.75" customHeight="1" x14ac:dyDescent="0.2">
      <c r="AV472" s="225"/>
      <c r="AW472" s="225"/>
      <c r="AX472" s="225"/>
      <c r="AY472" s="225"/>
      <c r="AZ472" s="225"/>
      <c r="BA472" s="225"/>
      <c r="BB472" s="225"/>
      <c r="BC472" s="225"/>
      <c r="BD472" s="225"/>
      <c r="BE472" s="225"/>
      <c r="BF472" s="225"/>
      <c r="BG472" s="225"/>
      <c r="BH472" s="225"/>
      <c r="BI472" s="225"/>
      <c r="BJ472" s="225"/>
      <c r="BK472" s="225"/>
    </row>
    <row r="473" spans="48:63" ht="15.75" customHeight="1" x14ac:dyDescent="0.2">
      <c r="AV473" s="225"/>
      <c r="AW473" s="225"/>
      <c r="AX473" s="225"/>
      <c r="AY473" s="225"/>
      <c r="AZ473" s="225"/>
      <c r="BA473" s="225"/>
      <c r="BB473" s="225"/>
      <c r="BC473" s="225"/>
      <c r="BD473" s="225"/>
      <c r="BE473" s="225"/>
      <c r="BF473" s="225"/>
      <c r="BG473" s="225"/>
      <c r="BH473" s="225"/>
      <c r="BI473" s="225"/>
      <c r="BJ473" s="225"/>
      <c r="BK473" s="225"/>
    </row>
    <row r="474" spans="48:63" ht="15.75" customHeight="1" x14ac:dyDescent="0.2">
      <c r="AV474" s="225"/>
      <c r="AW474" s="225"/>
      <c r="AX474" s="225"/>
      <c r="AY474" s="225"/>
      <c r="AZ474" s="225"/>
      <c r="BA474" s="225"/>
      <c r="BB474" s="225"/>
      <c r="BC474" s="225"/>
      <c r="BD474" s="225"/>
      <c r="BE474" s="225"/>
      <c r="BF474" s="225"/>
      <c r="BG474" s="225"/>
      <c r="BH474" s="225"/>
      <c r="BI474" s="225"/>
      <c r="BJ474" s="225"/>
      <c r="BK474" s="225"/>
    </row>
    <row r="475" spans="48:63" ht="15.75" customHeight="1" x14ac:dyDescent="0.2">
      <c r="AV475" s="225"/>
      <c r="AW475" s="225"/>
      <c r="AX475" s="225"/>
      <c r="AY475" s="225"/>
      <c r="AZ475" s="225"/>
      <c r="BA475" s="225"/>
      <c r="BB475" s="225"/>
      <c r="BC475" s="225"/>
      <c r="BD475" s="225"/>
      <c r="BE475" s="225"/>
      <c r="BF475" s="225"/>
      <c r="BG475" s="225"/>
      <c r="BH475" s="225"/>
      <c r="BI475" s="225"/>
      <c r="BJ475" s="225"/>
      <c r="BK475" s="225"/>
    </row>
    <row r="476" spans="48:63" ht="15.75" customHeight="1" x14ac:dyDescent="0.2">
      <c r="AV476" s="225"/>
      <c r="AW476" s="225"/>
      <c r="AX476" s="225"/>
      <c r="AY476" s="225"/>
      <c r="AZ476" s="225"/>
      <c r="BA476" s="225"/>
      <c r="BB476" s="225"/>
      <c r="BC476" s="225"/>
      <c r="BD476" s="225"/>
      <c r="BE476" s="225"/>
      <c r="BF476" s="225"/>
      <c r="BG476" s="225"/>
      <c r="BH476" s="225"/>
      <c r="BI476" s="225"/>
      <c r="BJ476" s="225"/>
      <c r="BK476" s="225"/>
    </row>
    <row r="477" spans="48:63" ht="15.75" customHeight="1" x14ac:dyDescent="0.2">
      <c r="AV477" s="225"/>
      <c r="AW477" s="225"/>
      <c r="AX477" s="225"/>
      <c r="AY477" s="225"/>
      <c r="AZ477" s="225"/>
      <c r="BA477" s="225"/>
      <c r="BB477" s="225"/>
      <c r="BC477" s="225"/>
      <c r="BD477" s="225"/>
      <c r="BE477" s="225"/>
      <c r="BF477" s="225"/>
      <c r="BG477" s="225"/>
      <c r="BH477" s="225"/>
      <c r="BI477" s="225"/>
      <c r="BJ477" s="225"/>
      <c r="BK477" s="225"/>
    </row>
    <row r="478" spans="48:63" ht="15.75" customHeight="1" x14ac:dyDescent="0.2">
      <c r="AV478" s="225"/>
      <c r="AW478" s="225"/>
      <c r="AX478" s="225"/>
      <c r="AY478" s="225"/>
      <c r="AZ478" s="225"/>
      <c r="BA478" s="225"/>
      <c r="BB478" s="225"/>
      <c r="BC478" s="225"/>
      <c r="BD478" s="225"/>
      <c r="BE478" s="225"/>
      <c r="BF478" s="225"/>
      <c r="BG478" s="225"/>
      <c r="BH478" s="225"/>
      <c r="BI478" s="225"/>
      <c r="BJ478" s="225"/>
      <c r="BK478" s="225"/>
    </row>
    <row r="479" spans="48:63" ht="15.75" customHeight="1" x14ac:dyDescent="0.2">
      <c r="AV479" s="225"/>
      <c r="AW479" s="225"/>
      <c r="AX479" s="225"/>
      <c r="AY479" s="225"/>
      <c r="AZ479" s="225"/>
      <c r="BA479" s="225"/>
      <c r="BB479" s="225"/>
      <c r="BC479" s="225"/>
      <c r="BD479" s="225"/>
      <c r="BE479" s="225"/>
      <c r="BF479" s="225"/>
      <c r="BG479" s="225"/>
      <c r="BH479" s="225"/>
      <c r="BI479" s="225"/>
      <c r="BJ479" s="225"/>
      <c r="BK479" s="225"/>
    </row>
    <row r="480" spans="48:63" ht="15.75" customHeight="1" x14ac:dyDescent="0.2">
      <c r="AV480" s="225"/>
      <c r="AW480" s="225"/>
      <c r="AX480" s="225"/>
      <c r="AY480" s="225"/>
      <c r="AZ480" s="225"/>
      <c r="BA480" s="225"/>
      <c r="BB480" s="225"/>
      <c r="BC480" s="225"/>
      <c r="BD480" s="225"/>
      <c r="BE480" s="225"/>
      <c r="BF480" s="225"/>
      <c r="BG480" s="225"/>
      <c r="BH480" s="225"/>
      <c r="BI480" s="225"/>
      <c r="BJ480" s="225"/>
      <c r="BK480" s="225"/>
    </row>
    <row r="481" spans="48:63" ht="15.75" customHeight="1" x14ac:dyDescent="0.2">
      <c r="AV481" s="225"/>
      <c r="AW481" s="225"/>
      <c r="AX481" s="225"/>
      <c r="AY481" s="225"/>
      <c r="AZ481" s="225"/>
      <c r="BA481" s="225"/>
      <c r="BB481" s="225"/>
      <c r="BC481" s="225"/>
      <c r="BD481" s="225"/>
      <c r="BE481" s="225"/>
      <c r="BF481" s="225"/>
      <c r="BG481" s="225"/>
      <c r="BH481" s="225"/>
      <c r="BI481" s="225"/>
      <c r="BJ481" s="225"/>
      <c r="BK481" s="225"/>
    </row>
    <row r="482" spans="48:63" ht="15.75" customHeight="1" x14ac:dyDescent="0.2">
      <c r="AV482" s="225"/>
      <c r="AW482" s="225"/>
      <c r="AX482" s="225"/>
      <c r="AY482" s="225"/>
      <c r="AZ482" s="225"/>
      <c r="BA482" s="225"/>
      <c r="BB482" s="225"/>
      <c r="BC482" s="225"/>
      <c r="BD482" s="225"/>
      <c r="BE482" s="225"/>
      <c r="BF482" s="225"/>
      <c r="BG482" s="225"/>
      <c r="BH482" s="225"/>
      <c r="BI482" s="225"/>
      <c r="BJ482" s="225"/>
      <c r="BK482" s="225"/>
    </row>
    <row r="483" spans="48:63" ht="15.75" customHeight="1" x14ac:dyDescent="0.2">
      <c r="AV483" s="225"/>
      <c r="AW483" s="225"/>
      <c r="AX483" s="225"/>
      <c r="AY483" s="225"/>
      <c r="AZ483" s="225"/>
      <c r="BA483" s="225"/>
      <c r="BB483" s="225"/>
      <c r="BC483" s="225"/>
      <c r="BD483" s="225"/>
      <c r="BE483" s="225"/>
      <c r="BF483" s="225"/>
      <c r="BG483" s="225"/>
      <c r="BH483" s="225"/>
      <c r="BI483" s="225"/>
      <c r="BJ483" s="225"/>
      <c r="BK483" s="225"/>
    </row>
    <row r="484" spans="48:63" ht="15.75" customHeight="1" x14ac:dyDescent="0.2">
      <c r="AV484" s="225"/>
      <c r="AW484" s="225"/>
      <c r="AX484" s="225"/>
      <c r="AY484" s="225"/>
      <c r="AZ484" s="225"/>
      <c r="BA484" s="225"/>
      <c r="BB484" s="225"/>
      <c r="BC484" s="225"/>
      <c r="BD484" s="225"/>
      <c r="BE484" s="225"/>
      <c r="BF484" s="225"/>
      <c r="BG484" s="225"/>
      <c r="BH484" s="225"/>
      <c r="BI484" s="225"/>
      <c r="BJ484" s="225"/>
      <c r="BK484" s="225"/>
    </row>
    <row r="485" spans="48:63" ht="15.75" customHeight="1" x14ac:dyDescent="0.2">
      <c r="AV485" s="225"/>
      <c r="AW485" s="225"/>
      <c r="AX485" s="225"/>
      <c r="AY485" s="225"/>
      <c r="AZ485" s="225"/>
      <c r="BA485" s="225"/>
      <c r="BB485" s="225"/>
      <c r="BC485" s="225"/>
      <c r="BD485" s="225"/>
      <c r="BE485" s="225"/>
      <c r="BF485" s="225"/>
      <c r="BG485" s="225"/>
      <c r="BH485" s="225"/>
      <c r="BI485" s="225"/>
      <c r="BJ485" s="225"/>
      <c r="BK485" s="225"/>
    </row>
    <row r="486" spans="48:63" ht="15.75" customHeight="1" x14ac:dyDescent="0.2">
      <c r="AV486" s="225"/>
      <c r="AW486" s="225"/>
      <c r="AX486" s="225"/>
      <c r="AY486" s="225"/>
      <c r="AZ486" s="225"/>
      <c r="BA486" s="225"/>
      <c r="BB486" s="225"/>
      <c r="BC486" s="225"/>
      <c r="BD486" s="225"/>
      <c r="BE486" s="225"/>
      <c r="BF486" s="225"/>
      <c r="BG486" s="225"/>
      <c r="BH486" s="225"/>
      <c r="BI486" s="225"/>
      <c r="BJ486" s="225"/>
      <c r="BK486" s="225"/>
    </row>
    <row r="487" spans="48:63" ht="15.75" customHeight="1" x14ac:dyDescent="0.2">
      <c r="AV487" s="225"/>
      <c r="AW487" s="225"/>
      <c r="AX487" s="225"/>
      <c r="AY487" s="225"/>
      <c r="AZ487" s="225"/>
      <c r="BA487" s="225"/>
      <c r="BB487" s="225"/>
      <c r="BC487" s="225"/>
      <c r="BD487" s="225"/>
      <c r="BE487" s="225"/>
      <c r="BF487" s="225"/>
      <c r="BG487" s="225"/>
      <c r="BH487" s="225"/>
      <c r="BI487" s="225"/>
      <c r="BJ487" s="225"/>
      <c r="BK487" s="225"/>
    </row>
    <row r="488" spans="48:63" ht="15.75" customHeight="1" x14ac:dyDescent="0.2">
      <c r="AV488" s="225"/>
      <c r="AW488" s="225"/>
      <c r="AX488" s="225"/>
      <c r="AY488" s="225"/>
      <c r="AZ488" s="225"/>
      <c r="BA488" s="225"/>
      <c r="BB488" s="225"/>
      <c r="BC488" s="225"/>
      <c r="BD488" s="225"/>
      <c r="BE488" s="225"/>
      <c r="BF488" s="225"/>
      <c r="BG488" s="225"/>
      <c r="BH488" s="225"/>
      <c r="BI488" s="225"/>
      <c r="BJ488" s="225"/>
      <c r="BK488" s="225"/>
    </row>
    <row r="489" spans="48:63" ht="15.75" customHeight="1" x14ac:dyDescent="0.2">
      <c r="AV489" s="225"/>
      <c r="AW489" s="225"/>
      <c r="AX489" s="225"/>
      <c r="AY489" s="225"/>
      <c r="AZ489" s="225"/>
      <c r="BA489" s="225"/>
      <c r="BB489" s="225"/>
      <c r="BC489" s="225"/>
      <c r="BD489" s="225"/>
      <c r="BE489" s="225"/>
      <c r="BF489" s="225"/>
      <c r="BG489" s="225"/>
      <c r="BH489" s="225"/>
      <c r="BI489" s="225"/>
      <c r="BJ489" s="225"/>
      <c r="BK489" s="225"/>
    </row>
    <row r="490" spans="48:63" ht="15.75" customHeight="1" x14ac:dyDescent="0.2">
      <c r="AV490" s="225"/>
      <c r="AW490" s="225"/>
      <c r="AX490" s="225"/>
      <c r="AY490" s="225"/>
      <c r="AZ490" s="225"/>
      <c r="BA490" s="225"/>
      <c r="BB490" s="225"/>
      <c r="BC490" s="225"/>
      <c r="BD490" s="225"/>
      <c r="BE490" s="225"/>
      <c r="BF490" s="225"/>
      <c r="BG490" s="225"/>
      <c r="BH490" s="225"/>
      <c r="BI490" s="225"/>
      <c r="BJ490" s="225"/>
      <c r="BK490" s="225"/>
    </row>
    <row r="491" spans="48:63" ht="15.75" customHeight="1" x14ac:dyDescent="0.2">
      <c r="AV491" s="225"/>
      <c r="AW491" s="225"/>
      <c r="AX491" s="225"/>
      <c r="AY491" s="225"/>
      <c r="AZ491" s="225"/>
      <c r="BA491" s="225"/>
      <c r="BB491" s="225"/>
      <c r="BC491" s="225"/>
      <c r="BD491" s="225"/>
      <c r="BE491" s="225"/>
      <c r="BF491" s="225"/>
      <c r="BG491" s="225"/>
      <c r="BH491" s="225"/>
      <c r="BI491" s="225"/>
      <c r="BJ491" s="225"/>
      <c r="BK491" s="225"/>
    </row>
    <row r="492" spans="48:63" ht="15.75" customHeight="1" x14ac:dyDescent="0.2">
      <c r="AV492" s="225"/>
      <c r="AW492" s="225"/>
      <c r="AX492" s="225"/>
      <c r="AY492" s="225"/>
      <c r="AZ492" s="225"/>
      <c r="BA492" s="225"/>
      <c r="BB492" s="225"/>
      <c r="BC492" s="225"/>
      <c r="BD492" s="225"/>
      <c r="BE492" s="225"/>
      <c r="BF492" s="225"/>
      <c r="BG492" s="225"/>
      <c r="BH492" s="225"/>
      <c r="BI492" s="225"/>
      <c r="BJ492" s="225"/>
      <c r="BK492" s="225"/>
    </row>
    <row r="493" spans="48:63" ht="15.75" customHeight="1" x14ac:dyDescent="0.2">
      <c r="AV493" s="225"/>
      <c r="AW493" s="225"/>
      <c r="AX493" s="225"/>
      <c r="AY493" s="225"/>
      <c r="AZ493" s="225"/>
      <c r="BA493" s="225"/>
      <c r="BB493" s="225"/>
      <c r="BC493" s="225"/>
      <c r="BD493" s="225"/>
      <c r="BE493" s="225"/>
      <c r="BF493" s="225"/>
      <c r="BG493" s="225"/>
      <c r="BH493" s="225"/>
      <c r="BI493" s="225"/>
      <c r="BJ493" s="225"/>
      <c r="BK493" s="225"/>
    </row>
    <row r="494" spans="48:63" ht="15.75" customHeight="1" x14ac:dyDescent="0.2">
      <c r="AV494" s="225"/>
      <c r="AW494" s="225"/>
      <c r="AX494" s="225"/>
      <c r="AY494" s="225"/>
      <c r="AZ494" s="225"/>
      <c r="BA494" s="225"/>
      <c r="BB494" s="225"/>
      <c r="BC494" s="225"/>
      <c r="BD494" s="225"/>
      <c r="BE494" s="225"/>
      <c r="BF494" s="225"/>
      <c r="BG494" s="225"/>
      <c r="BH494" s="225"/>
      <c r="BI494" s="225"/>
      <c r="BJ494" s="225"/>
      <c r="BK494" s="225"/>
    </row>
    <row r="495" spans="48:63" ht="15.75" customHeight="1" x14ac:dyDescent="0.2">
      <c r="AV495" s="225"/>
      <c r="AW495" s="225"/>
      <c r="AX495" s="225"/>
      <c r="AY495" s="225"/>
      <c r="AZ495" s="225"/>
      <c r="BA495" s="225"/>
      <c r="BB495" s="225"/>
      <c r="BC495" s="225"/>
      <c r="BD495" s="225"/>
      <c r="BE495" s="225"/>
      <c r="BF495" s="225"/>
      <c r="BG495" s="225"/>
      <c r="BH495" s="225"/>
      <c r="BI495" s="225"/>
      <c r="BJ495" s="225"/>
      <c r="BK495" s="225"/>
    </row>
    <row r="496" spans="48:63" ht="15.75" customHeight="1" x14ac:dyDescent="0.2">
      <c r="AV496" s="225"/>
      <c r="AW496" s="225"/>
      <c r="AX496" s="225"/>
      <c r="AY496" s="225"/>
      <c r="AZ496" s="225"/>
      <c r="BA496" s="225"/>
      <c r="BB496" s="225"/>
      <c r="BC496" s="225"/>
      <c r="BD496" s="225"/>
      <c r="BE496" s="225"/>
      <c r="BF496" s="225"/>
      <c r="BG496" s="225"/>
      <c r="BH496" s="225"/>
      <c r="BI496" s="225"/>
      <c r="BJ496" s="225"/>
      <c r="BK496" s="225"/>
    </row>
    <row r="497" spans="48:63" ht="15.75" customHeight="1" x14ac:dyDescent="0.2">
      <c r="AV497" s="225"/>
      <c r="AW497" s="225"/>
      <c r="AX497" s="225"/>
      <c r="AY497" s="225"/>
      <c r="AZ497" s="225"/>
      <c r="BA497" s="225"/>
      <c r="BB497" s="225"/>
      <c r="BC497" s="225"/>
      <c r="BD497" s="225"/>
      <c r="BE497" s="225"/>
      <c r="BF497" s="225"/>
      <c r="BG497" s="225"/>
      <c r="BH497" s="225"/>
      <c r="BI497" s="225"/>
      <c r="BJ497" s="225"/>
      <c r="BK497" s="225"/>
    </row>
    <row r="498" spans="48:63" ht="15.75" customHeight="1" x14ac:dyDescent="0.2">
      <c r="AV498" s="225"/>
      <c r="AW498" s="225"/>
      <c r="AX498" s="225"/>
      <c r="AY498" s="225"/>
      <c r="AZ498" s="225"/>
      <c r="BA498" s="225"/>
      <c r="BB498" s="225"/>
      <c r="BC498" s="225"/>
      <c r="BD498" s="225"/>
      <c r="BE498" s="225"/>
      <c r="BF498" s="225"/>
      <c r="BG498" s="225"/>
      <c r="BH498" s="225"/>
      <c r="BI498" s="225"/>
      <c r="BJ498" s="225"/>
      <c r="BK498" s="225"/>
    </row>
    <row r="499" spans="48:63" ht="15.75" customHeight="1" x14ac:dyDescent="0.2">
      <c r="AV499" s="225"/>
      <c r="AW499" s="225"/>
      <c r="AX499" s="225"/>
      <c r="AY499" s="225"/>
      <c r="AZ499" s="225"/>
      <c r="BA499" s="225"/>
      <c r="BB499" s="225"/>
      <c r="BC499" s="225"/>
      <c r="BD499" s="225"/>
      <c r="BE499" s="225"/>
      <c r="BF499" s="225"/>
      <c r="BG499" s="225"/>
      <c r="BH499" s="225"/>
      <c r="BI499" s="225"/>
      <c r="BJ499" s="225"/>
      <c r="BK499" s="225"/>
    </row>
    <row r="500" spans="48:63" ht="15.75" customHeight="1" x14ac:dyDescent="0.2">
      <c r="AV500" s="225"/>
      <c r="AW500" s="225"/>
      <c r="AX500" s="225"/>
      <c r="AY500" s="225"/>
      <c r="AZ500" s="225"/>
      <c r="BA500" s="225"/>
      <c r="BB500" s="225"/>
      <c r="BC500" s="225"/>
      <c r="BD500" s="225"/>
      <c r="BE500" s="225"/>
      <c r="BF500" s="225"/>
      <c r="BG500" s="225"/>
      <c r="BH500" s="225"/>
      <c r="BI500" s="225"/>
      <c r="BJ500" s="225"/>
      <c r="BK500" s="225"/>
    </row>
    <row r="501" spans="48:63" ht="15.75" customHeight="1" x14ac:dyDescent="0.2">
      <c r="AV501" s="225"/>
      <c r="AW501" s="225"/>
      <c r="AX501" s="225"/>
      <c r="AY501" s="225"/>
      <c r="AZ501" s="225"/>
      <c r="BA501" s="225"/>
      <c r="BB501" s="225"/>
      <c r="BC501" s="225"/>
      <c r="BD501" s="225"/>
      <c r="BE501" s="225"/>
      <c r="BF501" s="225"/>
      <c r="BG501" s="225"/>
      <c r="BH501" s="225"/>
      <c r="BI501" s="225"/>
      <c r="BJ501" s="225"/>
      <c r="BK501" s="225"/>
    </row>
    <row r="502" spans="48:63" ht="15.75" customHeight="1" x14ac:dyDescent="0.2">
      <c r="AV502" s="225"/>
      <c r="AW502" s="225"/>
      <c r="AX502" s="225"/>
      <c r="AY502" s="225"/>
      <c r="AZ502" s="225"/>
      <c r="BA502" s="225"/>
      <c r="BB502" s="225"/>
      <c r="BC502" s="225"/>
      <c r="BD502" s="225"/>
      <c r="BE502" s="225"/>
      <c r="BF502" s="225"/>
      <c r="BG502" s="225"/>
      <c r="BH502" s="225"/>
      <c r="BI502" s="225"/>
      <c r="BJ502" s="225"/>
      <c r="BK502" s="225"/>
    </row>
    <row r="503" spans="48:63" ht="15.75" customHeight="1" x14ac:dyDescent="0.2">
      <c r="AV503" s="225"/>
      <c r="AW503" s="225"/>
      <c r="AX503" s="225"/>
      <c r="AY503" s="225"/>
      <c r="AZ503" s="225"/>
      <c r="BA503" s="225"/>
      <c r="BB503" s="225"/>
      <c r="BC503" s="225"/>
      <c r="BD503" s="225"/>
      <c r="BE503" s="225"/>
      <c r="BF503" s="225"/>
      <c r="BG503" s="225"/>
      <c r="BH503" s="225"/>
      <c r="BI503" s="225"/>
      <c r="BJ503" s="225"/>
      <c r="BK503" s="225"/>
    </row>
    <row r="504" spans="48:63" ht="15.75" customHeight="1" x14ac:dyDescent="0.2">
      <c r="AV504" s="225"/>
      <c r="AW504" s="225"/>
      <c r="AX504" s="225"/>
      <c r="AY504" s="225"/>
      <c r="AZ504" s="225"/>
      <c r="BA504" s="225"/>
      <c r="BB504" s="225"/>
      <c r="BC504" s="225"/>
      <c r="BD504" s="225"/>
      <c r="BE504" s="225"/>
      <c r="BF504" s="225"/>
      <c r="BG504" s="225"/>
      <c r="BH504" s="225"/>
      <c r="BI504" s="225"/>
      <c r="BJ504" s="225"/>
      <c r="BK504" s="225"/>
    </row>
    <row r="505" spans="48:63" ht="15.75" customHeight="1" x14ac:dyDescent="0.2">
      <c r="AV505" s="225"/>
      <c r="AW505" s="225"/>
      <c r="AX505" s="225"/>
      <c r="AY505" s="225"/>
      <c r="AZ505" s="225"/>
      <c r="BA505" s="225"/>
      <c r="BB505" s="225"/>
      <c r="BC505" s="225"/>
      <c r="BD505" s="225"/>
      <c r="BE505" s="225"/>
      <c r="BF505" s="225"/>
      <c r="BG505" s="225"/>
      <c r="BH505" s="225"/>
      <c r="BI505" s="225"/>
      <c r="BJ505" s="225"/>
      <c r="BK505" s="225"/>
    </row>
    <row r="506" spans="48:63" ht="15.75" customHeight="1" x14ac:dyDescent="0.2">
      <c r="AV506" s="225"/>
      <c r="AW506" s="225"/>
      <c r="AX506" s="225"/>
      <c r="AY506" s="225"/>
      <c r="AZ506" s="225"/>
      <c r="BA506" s="225"/>
      <c r="BB506" s="225"/>
      <c r="BC506" s="225"/>
      <c r="BD506" s="225"/>
      <c r="BE506" s="225"/>
      <c r="BF506" s="225"/>
      <c r="BG506" s="225"/>
      <c r="BH506" s="225"/>
      <c r="BI506" s="225"/>
      <c r="BJ506" s="225"/>
      <c r="BK506" s="225"/>
    </row>
    <row r="507" spans="48:63" ht="15.75" customHeight="1" x14ac:dyDescent="0.2">
      <c r="AV507" s="225"/>
      <c r="AW507" s="225"/>
      <c r="AX507" s="225"/>
      <c r="AY507" s="225"/>
      <c r="AZ507" s="225"/>
      <c r="BA507" s="225"/>
      <c r="BB507" s="225"/>
      <c r="BC507" s="225"/>
      <c r="BD507" s="225"/>
      <c r="BE507" s="225"/>
      <c r="BF507" s="225"/>
      <c r="BG507" s="225"/>
      <c r="BH507" s="225"/>
      <c r="BI507" s="225"/>
      <c r="BJ507" s="225"/>
      <c r="BK507" s="225"/>
    </row>
    <row r="508" spans="48:63" ht="15.75" customHeight="1" x14ac:dyDescent="0.2">
      <c r="AV508" s="225"/>
      <c r="AW508" s="225"/>
      <c r="AX508" s="225"/>
      <c r="AY508" s="225"/>
      <c r="AZ508" s="225"/>
      <c r="BA508" s="225"/>
      <c r="BB508" s="225"/>
      <c r="BC508" s="225"/>
      <c r="BD508" s="225"/>
      <c r="BE508" s="225"/>
      <c r="BF508" s="225"/>
      <c r="BG508" s="225"/>
      <c r="BH508" s="225"/>
      <c r="BI508" s="225"/>
      <c r="BJ508" s="225"/>
      <c r="BK508" s="225"/>
    </row>
    <row r="509" spans="48:63" ht="15.75" customHeight="1" x14ac:dyDescent="0.2">
      <c r="AV509" s="225"/>
      <c r="AW509" s="225"/>
      <c r="AX509" s="225"/>
      <c r="AY509" s="225"/>
      <c r="AZ509" s="225"/>
      <c r="BA509" s="225"/>
      <c r="BB509" s="225"/>
      <c r="BC509" s="225"/>
      <c r="BD509" s="225"/>
      <c r="BE509" s="225"/>
      <c r="BF509" s="225"/>
      <c r="BG509" s="225"/>
      <c r="BH509" s="225"/>
      <c r="BI509" s="225"/>
      <c r="BJ509" s="225"/>
      <c r="BK509" s="225"/>
    </row>
    <row r="510" spans="48:63" ht="15.75" customHeight="1" x14ac:dyDescent="0.2">
      <c r="AV510" s="225"/>
      <c r="AW510" s="225"/>
      <c r="AX510" s="225"/>
      <c r="AY510" s="225"/>
      <c r="AZ510" s="225"/>
      <c r="BA510" s="225"/>
      <c r="BB510" s="225"/>
      <c r="BC510" s="225"/>
      <c r="BD510" s="225"/>
      <c r="BE510" s="225"/>
      <c r="BF510" s="225"/>
      <c r="BG510" s="225"/>
      <c r="BH510" s="225"/>
      <c r="BI510" s="225"/>
      <c r="BJ510" s="225"/>
      <c r="BK510" s="225"/>
    </row>
    <row r="511" spans="48:63" ht="15.75" customHeight="1" x14ac:dyDescent="0.2">
      <c r="AV511" s="225"/>
      <c r="AW511" s="225"/>
      <c r="AX511" s="225"/>
      <c r="AY511" s="225"/>
      <c r="AZ511" s="225"/>
      <c r="BA511" s="225"/>
      <c r="BB511" s="225"/>
      <c r="BC511" s="225"/>
      <c r="BD511" s="225"/>
      <c r="BE511" s="225"/>
      <c r="BF511" s="225"/>
      <c r="BG511" s="225"/>
      <c r="BH511" s="225"/>
      <c r="BI511" s="225"/>
      <c r="BJ511" s="225"/>
      <c r="BK511" s="225"/>
    </row>
    <row r="512" spans="48:63" ht="15.75" customHeight="1" x14ac:dyDescent="0.2">
      <c r="AV512" s="225"/>
      <c r="AW512" s="225"/>
      <c r="AX512" s="225"/>
      <c r="AY512" s="225"/>
      <c r="AZ512" s="225"/>
      <c r="BA512" s="225"/>
      <c r="BB512" s="225"/>
      <c r="BC512" s="225"/>
      <c r="BD512" s="225"/>
      <c r="BE512" s="225"/>
      <c r="BF512" s="225"/>
      <c r="BG512" s="225"/>
      <c r="BH512" s="225"/>
      <c r="BI512" s="225"/>
      <c r="BJ512" s="225"/>
      <c r="BK512" s="225"/>
    </row>
    <row r="513" spans="48:63" ht="15.75" customHeight="1" x14ac:dyDescent="0.2">
      <c r="AV513" s="225"/>
      <c r="AW513" s="225"/>
      <c r="AX513" s="225"/>
      <c r="AY513" s="225"/>
      <c r="AZ513" s="225"/>
      <c r="BA513" s="225"/>
      <c r="BB513" s="225"/>
      <c r="BC513" s="225"/>
      <c r="BD513" s="225"/>
      <c r="BE513" s="225"/>
      <c r="BF513" s="225"/>
      <c r="BG513" s="225"/>
      <c r="BH513" s="225"/>
      <c r="BI513" s="225"/>
      <c r="BJ513" s="225"/>
      <c r="BK513" s="225"/>
    </row>
    <row r="514" spans="48:63" ht="15.75" customHeight="1" x14ac:dyDescent="0.2">
      <c r="AV514" s="225"/>
      <c r="AW514" s="225"/>
      <c r="AX514" s="225"/>
      <c r="AY514" s="225"/>
      <c r="AZ514" s="225"/>
      <c r="BA514" s="225"/>
      <c r="BB514" s="225"/>
      <c r="BC514" s="225"/>
      <c r="BD514" s="225"/>
      <c r="BE514" s="225"/>
      <c r="BF514" s="225"/>
      <c r="BG514" s="225"/>
      <c r="BH514" s="225"/>
      <c r="BI514" s="225"/>
      <c r="BJ514" s="225"/>
      <c r="BK514" s="225"/>
    </row>
    <row r="515" spans="48:63" ht="15.75" customHeight="1" x14ac:dyDescent="0.2">
      <c r="AV515" s="225"/>
      <c r="AW515" s="225"/>
      <c r="AX515" s="225"/>
      <c r="AY515" s="225"/>
      <c r="AZ515" s="225"/>
      <c r="BA515" s="225"/>
      <c r="BB515" s="225"/>
      <c r="BC515" s="225"/>
      <c r="BD515" s="225"/>
      <c r="BE515" s="225"/>
      <c r="BF515" s="225"/>
      <c r="BG515" s="225"/>
      <c r="BH515" s="225"/>
      <c r="BI515" s="225"/>
      <c r="BJ515" s="225"/>
      <c r="BK515" s="225"/>
    </row>
    <row r="516" spans="48:63" ht="15.75" customHeight="1" x14ac:dyDescent="0.2">
      <c r="AV516" s="225"/>
      <c r="AW516" s="225"/>
      <c r="AX516" s="225"/>
      <c r="AY516" s="225"/>
      <c r="AZ516" s="225"/>
      <c r="BA516" s="225"/>
      <c r="BB516" s="225"/>
      <c r="BC516" s="225"/>
      <c r="BD516" s="225"/>
      <c r="BE516" s="225"/>
      <c r="BF516" s="225"/>
      <c r="BG516" s="225"/>
      <c r="BH516" s="225"/>
      <c r="BI516" s="225"/>
      <c r="BJ516" s="225"/>
      <c r="BK516" s="225"/>
    </row>
    <row r="517" spans="48:63" ht="15.75" customHeight="1" x14ac:dyDescent="0.2">
      <c r="AV517" s="225"/>
      <c r="AW517" s="225"/>
      <c r="AX517" s="225"/>
      <c r="AY517" s="225"/>
      <c r="AZ517" s="225"/>
      <c r="BA517" s="225"/>
      <c r="BB517" s="225"/>
      <c r="BC517" s="225"/>
      <c r="BD517" s="225"/>
      <c r="BE517" s="225"/>
      <c r="BF517" s="225"/>
      <c r="BG517" s="225"/>
      <c r="BH517" s="225"/>
      <c r="BI517" s="225"/>
      <c r="BJ517" s="225"/>
      <c r="BK517" s="225"/>
    </row>
    <row r="518" spans="48:63" ht="15.75" customHeight="1" x14ac:dyDescent="0.2">
      <c r="AV518" s="225"/>
      <c r="AW518" s="225"/>
      <c r="AX518" s="225"/>
      <c r="AY518" s="225"/>
      <c r="AZ518" s="225"/>
      <c r="BA518" s="225"/>
      <c r="BB518" s="225"/>
      <c r="BC518" s="225"/>
      <c r="BD518" s="225"/>
      <c r="BE518" s="225"/>
      <c r="BF518" s="225"/>
      <c r="BG518" s="225"/>
      <c r="BH518" s="225"/>
      <c r="BI518" s="225"/>
      <c r="BJ518" s="225"/>
      <c r="BK518" s="225"/>
    </row>
    <row r="519" spans="48:63" ht="15.75" customHeight="1" x14ac:dyDescent="0.2">
      <c r="AV519" s="225"/>
      <c r="AW519" s="225"/>
      <c r="AX519" s="225"/>
      <c r="AY519" s="225"/>
      <c r="AZ519" s="225"/>
      <c r="BA519" s="225"/>
      <c r="BB519" s="225"/>
      <c r="BC519" s="225"/>
      <c r="BD519" s="225"/>
      <c r="BE519" s="225"/>
      <c r="BF519" s="225"/>
      <c r="BG519" s="225"/>
      <c r="BH519" s="225"/>
      <c r="BI519" s="225"/>
      <c r="BJ519" s="225"/>
      <c r="BK519" s="225"/>
    </row>
    <row r="520" spans="48:63" ht="15.75" customHeight="1" x14ac:dyDescent="0.2">
      <c r="AV520" s="225"/>
      <c r="AW520" s="225"/>
      <c r="AX520" s="225"/>
      <c r="AY520" s="225"/>
      <c r="AZ520" s="225"/>
      <c r="BA520" s="225"/>
      <c r="BB520" s="225"/>
      <c r="BC520" s="225"/>
      <c r="BD520" s="225"/>
      <c r="BE520" s="225"/>
      <c r="BF520" s="225"/>
      <c r="BG520" s="225"/>
      <c r="BH520" s="225"/>
      <c r="BI520" s="225"/>
      <c r="BJ520" s="225"/>
      <c r="BK520" s="225"/>
    </row>
    <row r="521" spans="48:63" ht="15.75" customHeight="1" x14ac:dyDescent="0.2">
      <c r="AV521" s="225"/>
      <c r="AW521" s="225"/>
      <c r="AX521" s="225"/>
      <c r="AY521" s="225"/>
      <c r="AZ521" s="225"/>
      <c r="BA521" s="225"/>
      <c r="BB521" s="225"/>
      <c r="BC521" s="225"/>
      <c r="BD521" s="225"/>
      <c r="BE521" s="225"/>
      <c r="BF521" s="225"/>
      <c r="BG521" s="225"/>
      <c r="BH521" s="225"/>
      <c r="BI521" s="225"/>
      <c r="BJ521" s="225"/>
      <c r="BK521" s="225"/>
    </row>
    <row r="522" spans="48:63" ht="15.75" customHeight="1" x14ac:dyDescent="0.2">
      <c r="AV522" s="225"/>
      <c r="AW522" s="225"/>
      <c r="AX522" s="225"/>
      <c r="AY522" s="225"/>
      <c r="AZ522" s="225"/>
      <c r="BA522" s="225"/>
      <c r="BB522" s="225"/>
      <c r="BC522" s="225"/>
      <c r="BD522" s="225"/>
      <c r="BE522" s="225"/>
      <c r="BF522" s="225"/>
      <c r="BG522" s="225"/>
      <c r="BH522" s="225"/>
      <c r="BI522" s="225"/>
      <c r="BJ522" s="225"/>
      <c r="BK522" s="225"/>
    </row>
    <row r="523" spans="48:63" ht="15.75" customHeight="1" x14ac:dyDescent="0.2">
      <c r="AV523" s="225"/>
      <c r="AW523" s="225"/>
      <c r="AX523" s="225"/>
      <c r="AY523" s="225"/>
      <c r="AZ523" s="225"/>
      <c r="BA523" s="225"/>
      <c r="BB523" s="225"/>
      <c r="BC523" s="225"/>
      <c r="BD523" s="225"/>
      <c r="BE523" s="225"/>
      <c r="BF523" s="225"/>
      <c r="BG523" s="225"/>
      <c r="BH523" s="225"/>
      <c r="BI523" s="225"/>
      <c r="BJ523" s="225"/>
      <c r="BK523" s="225"/>
    </row>
    <row r="524" spans="48:63" ht="15.75" customHeight="1" x14ac:dyDescent="0.2">
      <c r="AV524" s="225"/>
      <c r="AW524" s="225"/>
      <c r="AX524" s="225"/>
      <c r="AY524" s="225"/>
      <c r="AZ524" s="225"/>
      <c r="BA524" s="225"/>
      <c r="BB524" s="225"/>
      <c r="BC524" s="225"/>
      <c r="BD524" s="225"/>
      <c r="BE524" s="225"/>
      <c r="BF524" s="225"/>
      <c r="BG524" s="225"/>
      <c r="BH524" s="225"/>
      <c r="BI524" s="225"/>
      <c r="BJ524" s="225"/>
      <c r="BK524" s="225"/>
    </row>
    <row r="525" spans="48:63" ht="15.75" customHeight="1" x14ac:dyDescent="0.2">
      <c r="AV525" s="225"/>
      <c r="AW525" s="225"/>
      <c r="AX525" s="225"/>
      <c r="AY525" s="225"/>
      <c r="AZ525" s="225"/>
      <c r="BA525" s="225"/>
      <c r="BB525" s="225"/>
      <c r="BC525" s="225"/>
      <c r="BD525" s="225"/>
      <c r="BE525" s="225"/>
      <c r="BF525" s="225"/>
      <c r="BG525" s="225"/>
      <c r="BH525" s="225"/>
      <c r="BI525" s="225"/>
      <c r="BJ525" s="225"/>
      <c r="BK525" s="225"/>
    </row>
    <row r="526" spans="48:63" ht="15.75" customHeight="1" x14ac:dyDescent="0.2">
      <c r="AV526" s="225"/>
      <c r="AW526" s="225"/>
      <c r="AX526" s="225"/>
      <c r="AY526" s="225"/>
      <c r="AZ526" s="225"/>
      <c r="BA526" s="225"/>
      <c r="BB526" s="225"/>
      <c r="BC526" s="225"/>
      <c r="BD526" s="225"/>
      <c r="BE526" s="225"/>
      <c r="BF526" s="225"/>
      <c r="BG526" s="225"/>
      <c r="BH526" s="225"/>
      <c r="BI526" s="225"/>
      <c r="BJ526" s="225"/>
      <c r="BK526" s="225"/>
    </row>
    <row r="527" spans="48:63" ht="15.75" customHeight="1" x14ac:dyDescent="0.2">
      <c r="AV527" s="225"/>
      <c r="AW527" s="225"/>
      <c r="AX527" s="225"/>
      <c r="AY527" s="225"/>
      <c r="AZ527" s="225"/>
      <c r="BA527" s="225"/>
      <c r="BB527" s="225"/>
      <c r="BC527" s="225"/>
      <c r="BD527" s="225"/>
      <c r="BE527" s="225"/>
      <c r="BF527" s="225"/>
      <c r="BG527" s="225"/>
      <c r="BH527" s="225"/>
      <c r="BI527" s="225"/>
      <c r="BJ527" s="225"/>
      <c r="BK527" s="225"/>
    </row>
    <row r="528" spans="48:63" ht="15.75" customHeight="1" x14ac:dyDescent="0.2">
      <c r="AV528" s="225"/>
      <c r="AW528" s="225"/>
      <c r="AX528" s="225"/>
      <c r="AY528" s="225"/>
      <c r="AZ528" s="225"/>
      <c r="BA528" s="225"/>
      <c r="BB528" s="225"/>
      <c r="BC528" s="225"/>
      <c r="BD528" s="225"/>
      <c r="BE528" s="225"/>
      <c r="BF528" s="225"/>
      <c r="BG528" s="225"/>
      <c r="BH528" s="225"/>
      <c r="BI528" s="225"/>
      <c r="BJ528" s="225"/>
      <c r="BK528" s="225"/>
    </row>
    <row r="529" spans="48:63" ht="15.75" customHeight="1" x14ac:dyDescent="0.2">
      <c r="AV529" s="225"/>
      <c r="AW529" s="225"/>
      <c r="AX529" s="225"/>
      <c r="AY529" s="225"/>
      <c r="AZ529" s="225"/>
      <c r="BA529" s="225"/>
      <c r="BB529" s="225"/>
      <c r="BC529" s="225"/>
      <c r="BD529" s="225"/>
      <c r="BE529" s="225"/>
      <c r="BF529" s="225"/>
      <c r="BG529" s="225"/>
      <c r="BH529" s="225"/>
      <c r="BI529" s="225"/>
      <c r="BJ529" s="225"/>
      <c r="BK529" s="225"/>
    </row>
    <row r="530" spans="48:63" ht="15.75" customHeight="1" x14ac:dyDescent="0.2">
      <c r="AV530" s="225"/>
      <c r="AW530" s="225"/>
      <c r="AX530" s="225"/>
      <c r="AY530" s="225"/>
      <c r="AZ530" s="225"/>
      <c r="BA530" s="225"/>
      <c r="BB530" s="225"/>
      <c r="BC530" s="225"/>
      <c r="BD530" s="225"/>
      <c r="BE530" s="225"/>
      <c r="BF530" s="225"/>
      <c r="BG530" s="225"/>
      <c r="BH530" s="225"/>
      <c r="BI530" s="225"/>
      <c r="BJ530" s="225"/>
      <c r="BK530" s="225"/>
    </row>
    <row r="531" spans="48:63" ht="15.75" customHeight="1" x14ac:dyDescent="0.2">
      <c r="AV531" s="225"/>
      <c r="AW531" s="225"/>
      <c r="AX531" s="225"/>
      <c r="AY531" s="225"/>
      <c r="AZ531" s="225"/>
      <c r="BA531" s="225"/>
      <c r="BB531" s="225"/>
      <c r="BC531" s="225"/>
      <c r="BD531" s="225"/>
      <c r="BE531" s="225"/>
      <c r="BF531" s="225"/>
      <c r="BG531" s="225"/>
      <c r="BH531" s="225"/>
      <c r="BI531" s="225"/>
      <c r="BJ531" s="225"/>
      <c r="BK531" s="225"/>
    </row>
    <row r="532" spans="48:63" ht="15.75" customHeight="1" x14ac:dyDescent="0.2">
      <c r="AV532" s="225"/>
      <c r="AW532" s="225"/>
      <c r="AX532" s="225"/>
      <c r="AY532" s="225"/>
      <c r="AZ532" s="225"/>
      <c r="BA532" s="225"/>
      <c r="BB532" s="225"/>
      <c r="BC532" s="225"/>
      <c r="BD532" s="225"/>
      <c r="BE532" s="225"/>
      <c r="BF532" s="225"/>
      <c r="BG532" s="225"/>
      <c r="BH532" s="225"/>
      <c r="BI532" s="225"/>
      <c r="BJ532" s="225"/>
      <c r="BK532" s="225"/>
    </row>
    <row r="533" spans="48:63" ht="15.75" customHeight="1" x14ac:dyDescent="0.2">
      <c r="AV533" s="225"/>
      <c r="AW533" s="225"/>
      <c r="AX533" s="225"/>
      <c r="AY533" s="225"/>
      <c r="AZ533" s="225"/>
      <c r="BA533" s="225"/>
      <c r="BB533" s="225"/>
      <c r="BC533" s="225"/>
      <c r="BD533" s="225"/>
      <c r="BE533" s="225"/>
      <c r="BF533" s="225"/>
      <c r="BG533" s="225"/>
      <c r="BH533" s="225"/>
      <c r="BI533" s="225"/>
      <c r="BJ533" s="225"/>
      <c r="BK533" s="225"/>
    </row>
    <row r="534" spans="48:63" ht="15.75" customHeight="1" x14ac:dyDescent="0.2">
      <c r="AV534" s="225"/>
      <c r="AW534" s="225"/>
      <c r="AX534" s="225"/>
      <c r="AY534" s="225"/>
      <c r="AZ534" s="225"/>
      <c r="BA534" s="225"/>
      <c r="BB534" s="225"/>
      <c r="BC534" s="225"/>
      <c r="BD534" s="225"/>
      <c r="BE534" s="225"/>
      <c r="BF534" s="225"/>
      <c r="BG534" s="225"/>
      <c r="BH534" s="225"/>
      <c r="BI534" s="225"/>
      <c r="BJ534" s="225"/>
      <c r="BK534" s="225"/>
    </row>
    <row r="535" spans="48:63" ht="15.75" customHeight="1" x14ac:dyDescent="0.2">
      <c r="AV535" s="225"/>
      <c r="AW535" s="225"/>
      <c r="AX535" s="225"/>
      <c r="AY535" s="225"/>
      <c r="AZ535" s="225"/>
      <c r="BA535" s="225"/>
      <c r="BB535" s="225"/>
      <c r="BC535" s="225"/>
      <c r="BD535" s="225"/>
      <c r="BE535" s="225"/>
      <c r="BF535" s="225"/>
      <c r="BG535" s="225"/>
      <c r="BH535" s="225"/>
      <c r="BI535" s="225"/>
      <c r="BJ535" s="225"/>
      <c r="BK535" s="225"/>
    </row>
    <row r="536" spans="48:63" ht="15.75" customHeight="1" x14ac:dyDescent="0.2">
      <c r="AV536" s="225"/>
      <c r="AW536" s="225"/>
      <c r="AX536" s="225"/>
      <c r="AY536" s="225"/>
      <c r="AZ536" s="225"/>
      <c r="BA536" s="225"/>
      <c r="BB536" s="225"/>
      <c r="BC536" s="225"/>
      <c r="BD536" s="225"/>
      <c r="BE536" s="225"/>
      <c r="BF536" s="225"/>
      <c r="BG536" s="225"/>
      <c r="BH536" s="225"/>
      <c r="BI536" s="225"/>
      <c r="BJ536" s="225"/>
      <c r="BK536" s="225"/>
    </row>
    <row r="537" spans="48:63" ht="15.75" customHeight="1" x14ac:dyDescent="0.2">
      <c r="AV537" s="225"/>
      <c r="AW537" s="225"/>
      <c r="AX537" s="225"/>
      <c r="AY537" s="225"/>
      <c r="AZ537" s="225"/>
      <c r="BA537" s="225"/>
      <c r="BB537" s="225"/>
      <c r="BC537" s="225"/>
      <c r="BD537" s="225"/>
      <c r="BE537" s="225"/>
      <c r="BF537" s="225"/>
      <c r="BG537" s="225"/>
      <c r="BH537" s="225"/>
      <c r="BI537" s="225"/>
      <c r="BJ537" s="225"/>
      <c r="BK537" s="225"/>
    </row>
    <row r="538" spans="48:63" ht="15.75" customHeight="1" x14ac:dyDescent="0.2">
      <c r="AV538" s="225"/>
      <c r="AW538" s="225"/>
      <c r="AX538" s="225"/>
      <c r="AY538" s="225"/>
      <c r="AZ538" s="225"/>
      <c r="BA538" s="225"/>
      <c r="BB538" s="225"/>
      <c r="BC538" s="225"/>
      <c r="BD538" s="225"/>
      <c r="BE538" s="225"/>
      <c r="BF538" s="225"/>
      <c r="BG538" s="225"/>
      <c r="BH538" s="225"/>
      <c r="BI538" s="225"/>
      <c r="BJ538" s="225"/>
      <c r="BK538" s="225"/>
    </row>
    <row r="539" spans="48:63" ht="15.75" customHeight="1" x14ac:dyDescent="0.2">
      <c r="AV539" s="225"/>
      <c r="AW539" s="225"/>
      <c r="AX539" s="225"/>
      <c r="AY539" s="225"/>
      <c r="AZ539" s="225"/>
      <c r="BA539" s="225"/>
      <c r="BB539" s="225"/>
      <c r="BC539" s="225"/>
      <c r="BD539" s="225"/>
      <c r="BE539" s="225"/>
      <c r="BF539" s="225"/>
      <c r="BG539" s="225"/>
      <c r="BH539" s="225"/>
      <c r="BI539" s="225"/>
      <c r="BJ539" s="225"/>
      <c r="BK539" s="225"/>
    </row>
    <row r="540" spans="48:63" ht="15.75" customHeight="1" x14ac:dyDescent="0.2">
      <c r="AV540" s="225"/>
      <c r="AW540" s="225"/>
      <c r="AX540" s="225"/>
      <c r="AY540" s="225"/>
      <c r="AZ540" s="225"/>
      <c r="BA540" s="225"/>
      <c r="BB540" s="225"/>
      <c r="BC540" s="225"/>
      <c r="BD540" s="225"/>
      <c r="BE540" s="225"/>
      <c r="BF540" s="225"/>
      <c r="BG540" s="225"/>
      <c r="BH540" s="225"/>
      <c r="BI540" s="225"/>
      <c r="BJ540" s="225"/>
      <c r="BK540" s="225"/>
    </row>
    <row r="541" spans="48:63" ht="15.75" customHeight="1" x14ac:dyDescent="0.2">
      <c r="AV541" s="225"/>
      <c r="AW541" s="225"/>
      <c r="AX541" s="225"/>
      <c r="AY541" s="225"/>
      <c r="AZ541" s="225"/>
      <c r="BA541" s="225"/>
      <c r="BB541" s="225"/>
      <c r="BC541" s="225"/>
      <c r="BD541" s="225"/>
      <c r="BE541" s="225"/>
      <c r="BF541" s="225"/>
      <c r="BG541" s="225"/>
      <c r="BH541" s="225"/>
      <c r="BI541" s="225"/>
      <c r="BJ541" s="225"/>
      <c r="BK541" s="225"/>
    </row>
    <row r="542" spans="48:63" ht="15.75" customHeight="1" x14ac:dyDescent="0.2">
      <c r="AV542" s="225"/>
      <c r="AW542" s="225"/>
      <c r="AX542" s="225"/>
      <c r="AY542" s="225"/>
      <c r="AZ542" s="225"/>
      <c r="BA542" s="225"/>
      <c r="BB542" s="225"/>
      <c r="BC542" s="225"/>
      <c r="BD542" s="225"/>
      <c r="BE542" s="225"/>
      <c r="BF542" s="225"/>
      <c r="BG542" s="225"/>
      <c r="BH542" s="225"/>
      <c r="BI542" s="225"/>
      <c r="BJ542" s="225"/>
      <c r="BK542" s="225"/>
    </row>
    <row r="543" spans="48:63" ht="15.75" customHeight="1" x14ac:dyDescent="0.2">
      <c r="AV543" s="225"/>
      <c r="AW543" s="225"/>
      <c r="AX543" s="225"/>
      <c r="AY543" s="225"/>
      <c r="AZ543" s="225"/>
      <c r="BA543" s="225"/>
      <c r="BB543" s="225"/>
      <c r="BC543" s="225"/>
      <c r="BD543" s="225"/>
      <c r="BE543" s="225"/>
      <c r="BF543" s="225"/>
      <c r="BG543" s="225"/>
      <c r="BH543" s="225"/>
      <c r="BI543" s="225"/>
      <c r="BJ543" s="225"/>
      <c r="BK543" s="225"/>
    </row>
    <row r="544" spans="48:63" ht="15.75" customHeight="1" x14ac:dyDescent="0.2">
      <c r="AV544" s="225"/>
      <c r="AW544" s="225"/>
      <c r="AX544" s="225"/>
      <c r="AY544" s="225"/>
      <c r="AZ544" s="225"/>
      <c r="BA544" s="225"/>
      <c r="BB544" s="225"/>
      <c r="BC544" s="225"/>
      <c r="BD544" s="225"/>
      <c r="BE544" s="225"/>
      <c r="BF544" s="225"/>
      <c r="BG544" s="225"/>
      <c r="BH544" s="225"/>
      <c r="BI544" s="225"/>
      <c r="BJ544" s="225"/>
      <c r="BK544" s="225"/>
    </row>
    <row r="545" spans="48:63" ht="15.75" customHeight="1" x14ac:dyDescent="0.2">
      <c r="AV545" s="225"/>
      <c r="AW545" s="225"/>
      <c r="AX545" s="225"/>
      <c r="AY545" s="225"/>
      <c r="AZ545" s="225"/>
      <c r="BA545" s="225"/>
      <c r="BB545" s="225"/>
      <c r="BC545" s="225"/>
      <c r="BD545" s="225"/>
      <c r="BE545" s="225"/>
      <c r="BF545" s="225"/>
      <c r="BG545" s="225"/>
      <c r="BH545" s="225"/>
      <c r="BI545" s="225"/>
      <c r="BJ545" s="225"/>
      <c r="BK545" s="225"/>
    </row>
    <row r="546" spans="48:63" ht="15.75" customHeight="1" x14ac:dyDescent="0.2">
      <c r="AV546" s="225"/>
      <c r="AW546" s="225"/>
      <c r="AX546" s="225"/>
      <c r="AY546" s="225"/>
      <c r="AZ546" s="225"/>
      <c r="BA546" s="225"/>
      <c r="BB546" s="225"/>
      <c r="BC546" s="225"/>
      <c r="BD546" s="225"/>
      <c r="BE546" s="225"/>
      <c r="BF546" s="225"/>
      <c r="BG546" s="225"/>
      <c r="BH546" s="225"/>
      <c r="BI546" s="225"/>
      <c r="BJ546" s="225"/>
      <c r="BK546" s="225"/>
    </row>
    <row r="547" spans="48:63" ht="15.75" customHeight="1" x14ac:dyDescent="0.2">
      <c r="AV547" s="225"/>
      <c r="AW547" s="225"/>
      <c r="AX547" s="225"/>
      <c r="AY547" s="225"/>
      <c r="AZ547" s="225"/>
      <c r="BA547" s="225"/>
      <c r="BB547" s="225"/>
      <c r="BC547" s="225"/>
      <c r="BD547" s="225"/>
      <c r="BE547" s="225"/>
      <c r="BF547" s="225"/>
      <c r="BG547" s="225"/>
      <c r="BH547" s="225"/>
      <c r="BI547" s="225"/>
      <c r="BJ547" s="225"/>
      <c r="BK547" s="225"/>
    </row>
    <row r="548" spans="48:63" ht="15.75" customHeight="1" x14ac:dyDescent="0.2">
      <c r="AV548" s="225"/>
      <c r="AW548" s="225"/>
      <c r="AX548" s="225"/>
      <c r="AY548" s="225"/>
      <c r="AZ548" s="225"/>
      <c r="BA548" s="225"/>
      <c r="BB548" s="225"/>
      <c r="BC548" s="225"/>
      <c r="BD548" s="225"/>
      <c r="BE548" s="225"/>
      <c r="BF548" s="225"/>
      <c r="BG548" s="225"/>
      <c r="BH548" s="225"/>
      <c r="BI548" s="225"/>
      <c r="BJ548" s="225"/>
      <c r="BK548" s="225"/>
    </row>
    <row r="549" spans="48:63" ht="15.75" customHeight="1" x14ac:dyDescent="0.2">
      <c r="AV549" s="225"/>
      <c r="AW549" s="225"/>
      <c r="AX549" s="225"/>
      <c r="AY549" s="225"/>
      <c r="AZ549" s="225"/>
      <c r="BA549" s="225"/>
      <c r="BB549" s="225"/>
      <c r="BC549" s="225"/>
      <c r="BD549" s="225"/>
      <c r="BE549" s="225"/>
      <c r="BF549" s="225"/>
      <c r="BG549" s="225"/>
      <c r="BH549" s="225"/>
      <c r="BI549" s="225"/>
      <c r="BJ549" s="225"/>
      <c r="BK549" s="225"/>
    </row>
    <row r="550" spans="48:63" ht="15.75" customHeight="1" x14ac:dyDescent="0.2">
      <c r="AV550" s="225"/>
      <c r="AW550" s="225"/>
      <c r="AX550" s="225"/>
      <c r="AY550" s="225"/>
      <c r="AZ550" s="225"/>
      <c r="BA550" s="225"/>
      <c r="BB550" s="225"/>
      <c r="BC550" s="225"/>
      <c r="BD550" s="225"/>
      <c r="BE550" s="225"/>
      <c r="BF550" s="225"/>
      <c r="BG550" s="225"/>
      <c r="BH550" s="225"/>
      <c r="BI550" s="225"/>
      <c r="BJ550" s="225"/>
      <c r="BK550" s="225"/>
    </row>
    <row r="551" spans="48:63" ht="15.75" customHeight="1" x14ac:dyDescent="0.2">
      <c r="AV551" s="225"/>
      <c r="AW551" s="225"/>
      <c r="AX551" s="225"/>
      <c r="AY551" s="225"/>
      <c r="AZ551" s="225"/>
      <c r="BA551" s="225"/>
      <c r="BB551" s="225"/>
      <c r="BC551" s="225"/>
      <c r="BD551" s="225"/>
      <c r="BE551" s="225"/>
      <c r="BF551" s="225"/>
      <c r="BG551" s="225"/>
      <c r="BH551" s="225"/>
      <c r="BI551" s="225"/>
      <c r="BJ551" s="225"/>
      <c r="BK551" s="225"/>
    </row>
    <row r="552" spans="48:63" ht="15.75" customHeight="1" x14ac:dyDescent="0.2">
      <c r="AV552" s="225"/>
      <c r="AW552" s="225"/>
      <c r="AX552" s="225"/>
      <c r="AY552" s="225"/>
      <c r="AZ552" s="225"/>
      <c r="BA552" s="225"/>
      <c r="BB552" s="225"/>
      <c r="BC552" s="225"/>
      <c r="BD552" s="225"/>
      <c r="BE552" s="225"/>
      <c r="BF552" s="225"/>
      <c r="BG552" s="225"/>
      <c r="BH552" s="225"/>
      <c r="BI552" s="225"/>
      <c r="BJ552" s="225"/>
      <c r="BK552" s="225"/>
    </row>
    <row r="553" spans="48:63" ht="15.75" customHeight="1" x14ac:dyDescent="0.2">
      <c r="AV553" s="225"/>
      <c r="AW553" s="225"/>
      <c r="AX553" s="225"/>
      <c r="AY553" s="225"/>
      <c r="AZ553" s="225"/>
      <c r="BA553" s="225"/>
      <c r="BB553" s="225"/>
      <c r="BC553" s="225"/>
      <c r="BD553" s="225"/>
      <c r="BE553" s="225"/>
      <c r="BF553" s="225"/>
      <c r="BG553" s="225"/>
      <c r="BH553" s="225"/>
      <c r="BI553" s="225"/>
      <c r="BJ553" s="225"/>
      <c r="BK553" s="225"/>
    </row>
    <row r="554" spans="48:63" ht="15.75" customHeight="1" x14ac:dyDescent="0.2">
      <c r="AV554" s="225"/>
      <c r="AW554" s="225"/>
      <c r="AX554" s="225"/>
      <c r="AY554" s="225"/>
      <c r="AZ554" s="225"/>
      <c r="BA554" s="225"/>
      <c r="BB554" s="225"/>
      <c r="BC554" s="225"/>
      <c r="BD554" s="225"/>
      <c r="BE554" s="225"/>
      <c r="BF554" s="225"/>
      <c r="BG554" s="225"/>
      <c r="BH554" s="225"/>
      <c r="BI554" s="225"/>
      <c r="BJ554" s="225"/>
      <c r="BK554" s="225"/>
    </row>
    <row r="555" spans="48:63" ht="15.75" customHeight="1" x14ac:dyDescent="0.2">
      <c r="AV555" s="225"/>
      <c r="AW555" s="225"/>
      <c r="AX555" s="225"/>
      <c r="AY555" s="225"/>
      <c r="AZ555" s="225"/>
      <c r="BA555" s="225"/>
      <c r="BB555" s="225"/>
      <c r="BC555" s="225"/>
      <c r="BD555" s="225"/>
      <c r="BE555" s="225"/>
      <c r="BF555" s="225"/>
      <c r="BG555" s="225"/>
      <c r="BH555" s="225"/>
      <c r="BI555" s="225"/>
      <c r="BJ555" s="225"/>
      <c r="BK555" s="225"/>
    </row>
    <row r="556" spans="48:63" ht="15.75" customHeight="1" x14ac:dyDescent="0.2">
      <c r="AV556" s="225"/>
      <c r="AW556" s="225"/>
      <c r="AX556" s="225"/>
      <c r="AY556" s="225"/>
      <c r="AZ556" s="225"/>
      <c r="BA556" s="225"/>
      <c r="BB556" s="225"/>
      <c r="BC556" s="225"/>
      <c r="BD556" s="225"/>
      <c r="BE556" s="225"/>
      <c r="BF556" s="225"/>
      <c r="BG556" s="225"/>
      <c r="BH556" s="225"/>
      <c r="BI556" s="225"/>
      <c r="BJ556" s="225"/>
      <c r="BK556" s="225"/>
    </row>
    <row r="557" spans="48:63" ht="15.75" customHeight="1" x14ac:dyDescent="0.2">
      <c r="AV557" s="225"/>
      <c r="AW557" s="225"/>
      <c r="AX557" s="225"/>
      <c r="AY557" s="225"/>
      <c r="AZ557" s="225"/>
      <c r="BA557" s="225"/>
      <c r="BB557" s="225"/>
      <c r="BC557" s="225"/>
      <c r="BD557" s="225"/>
      <c r="BE557" s="225"/>
      <c r="BF557" s="225"/>
      <c r="BG557" s="225"/>
      <c r="BH557" s="225"/>
      <c r="BI557" s="225"/>
      <c r="BJ557" s="225"/>
      <c r="BK557" s="225"/>
    </row>
    <row r="558" spans="48:63" ht="15.75" customHeight="1" x14ac:dyDescent="0.2">
      <c r="AV558" s="225"/>
      <c r="AW558" s="225"/>
      <c r="AX558" s="225"/>
      <c r="AY558" s="225"/>
      <c r="AZ558" s="225"/>
      <c r="BA558" s="225"/>
      <c r="BB558" s="225"/>
      <c r="BC558" s="225"/>
      <c r="BD558" s="225"/>
      <c r="BE558" s="225"/>
      <c r="BF558" s="225"/>
      <c r="BG558" s="225"/>
      <c r="BH558" s="225"/>
      <c r="BI558" s="225"/>
      <c r="BJ558" s="225"/>
      <c r="BK558" s="225"/>
    </row>
    <row r="559" spans="48:63" ht="15.75" customHeight="1" x14ac:dyDescent="0.2">
      <c r="AV559" s="225"/>
      <c r="AW559" s="225"/>
      <c r="AX559" s="225"/>
      <c r="AY559" s="225"/>
      <c r="AZ559" s="225"/>
      <c r="BA559" s="225"/>
      <c r="BB559" s="225"/>
      <c r="BC559" s="225"/>
      <c r="BD559" s="225"/>
      <c r="BE559" s="225"/>
      <c r="BF559" s="225"/>
      <c r="BG559" s="225"/>
      <c r="BH559" s="225"/>
      <c r="BI559" s="225"/>
      <c r="BJ559" s="225"/>
      <c r="BK559" s="225"/>
    </row>
    <row r="560" spans="48:63" ht="15.75" customHeight="1" x14ac:dyDescent="0.2">
      <c r="AV560" s="225"/>
      <c r="AW560" s="225"/>
      <c r="AX560" s="225"/>
      <c r="AY560" s="225"/>
      <c r="AZ560" s="225"/>
      <c r="BA560" s="225"/>
      <c r="BB560" s="225"/>
      <c r="BC560" s="225"/>
      <c r="BD560" s="225"/>
      <c r="BE560" s="225"/>
      <c r="BF560" s="225"/>
      <c r="BG560" s="225"/>
      <c r="BH560" s="225"/>
      <c r="BI560" s="225"/>
      <c r="BJ560" s="225"/>
      <c r="BK560" s="225"/>
    </row>
    <row r="561" spans="48:63" ht="15.75" customHeight="1" x14ac:dyDescent="0.2">
      <c r="AV561" s="225"/>
      <c r="AW561" s="225"/>
      <c r="AX561" s="225"/>
      <c r="AY561" s="225"/>
      <c r="AZ561" s="225"/>
      <c r="BA561" s="225"/>
      <c r="BB561" s="225"/>
      <c r="BC561" s="225"/>
      <c r="BD561" s="225"/>
      <c r="BE561" s="225"/>
      <c r="BF561" s="225"/>
      <c r="BG561" s="225"/>
      <c r="BH561" s="225"/>
      <c r="BI561" s="225"/>
      <c r="BJ561" s="225"/>
      <c r="BK561" s="225"/>
    </row>
    <row r="562" spans="48:63" ht="15.75" customHeight="1" x14ac:dyDescent="0.2">
      <c r="AV562" s="225"/>
      <c r="AW562" s="225"/>
      <c r="AX562" s="225"/>
      <c r="AY562" s="225"/>
      <c r="AZ562" s="225"/>
      <c r="BA562" s="225"/>
      <c r="BB562" s="225"/>
      <c r="BC562" s="225"/>
      <c r="BD562" s="225"/>
      <c r="BE562" s="225"/>
      <c r="BF562" s="225"/>
      <c r="BG562" s="225"/>
      <c r="BH562" s="225"/>
      <c r="BI562" s="225"/>
      <c r="BJ562" s="225"/>
      <c r="BK562" s="225"/>
    </row>
    <row r="563" spans="48:63" ht="15.75" customHeight="1" x14ac:dyDescent="0.2">
      <c r="AV563" s="225"/>
      <c r="AW563" s="225"/>
      <c r="AX563" s="225"/>
      <c r="AY563" s="225"/>
      <c r="AZ563" s="225"/>
      <c r="BA563" s="225"/>
      <c r="BB563" s="225"/>
      <c r="BC563" s="225"/>
      <c r="BD563" s="225"/>
      <c r="BE563" s="225"/>
      <c r="BF563" s="225"/>
      <c r="BG563" s="225"/>
      <c r="BH563" s="225"/>
      <c r="BI563" s="225"/>
      <c r="BJ563" s="225"/>
      <c r="BK563" s="225"/>
    </row>
    <row r="564" spans="48:63" ht="15.75" customHeight="1" x14ac:dyDescent="0.2">
      <c r="AV564" s="225"/>
      <c r="AW564" s="225"/>
      <c r="AX564" s="225"/>
      <c r="AY564" s="225"/>
      <c r="AZ564" s="225"/>
      <c r="BA564" s="225"/>
      <c r="BB564" s="225"/>
      <c r="BC564" s="225"/>
      <c r="BD564" s="225"/>
      <c r="BE564" s="225"/>
      <c r="BF564" s="225"/>
      <c r="BG564" s="225"/>
      <c r="BH564" s="225"/>
      <c r="BI564" s="225"/>
      <c r="BJ564" s="225"/>
      <c r="BK564" s="225"/>
    </row>
    <row r="565" spans="48:63" ht="15.75" customHeight="1" x14ac:dyDescent="0.2">
      <c r="AV565" s="225"/>
      <c r="AW565" s="225"/>
      <c r="AX565" s="225"/>
      <c r="AY565" s="225"/>
      <c r="AZ565" s="225"/>
      <c r="BA565" s="225"/>
      <c r="BB565" s="225"/>
      <c r="BC565" s="225"/>
      <c r="BD565" s="225"/>
      <c r="BE565" s="225"/>
      <c r="BF565" s="225"/>
      <c r="BG565" s="225"/>
      <c r="BH565" s="225"/>
      <c r="BI565" s="225"/>
      <c r="BJ565" s="225"/>
      <c r="BK565" s="225"/>
    </row>
    <row r="566" spans="48:63" ht="15.75" customHeight="1" x14ac:dyDescent="0.2">
      <c r="AV566" s="225"/>
      <c r="AW566" s="225"/>
      <c r="AX566" s="225"/>
      <c r="AY566" s="225"/>
      <c r="AZ566" s="225"/>
      <c r="BA566" s="225"/>
      <c r="BB566" s="225"/>
      <c r="BC566" s="225"/>
      <c r="BD566" s="225"/>
      <c r="BE566" s="225"/>
      <c r="BF566" s="225"/>
      <c r="BG566" s="225"/>
      <c r="BH566" s="225"/>
      <c r="BI566" s="225"/>
      <c r="BJ566" s="225"/>
      <c r="BK566" s="225"/>
    </row>
    <row r="567" spans="48:63" ht="15.75" customHeight="1" x14ac:dyDescent="0.2">
      <c r="AV567" s="225"/>
      <c r="AW567" s="225"/>
      <c r="AX567" s="225"/>
      <c r="AY567" s="225"/>
      <c r="AZ567" s="225"/>
      <c r="BA567" s="225"/>
      <c r="BB567" s="225"/>
      <c r="BC567" s="225"/>
      <c r="BD567" s="225"/>
      <c r="BE567" s="225"/>
      <c r="BF567" s="225"/>
      <c r="BG567" s="225"/>
      <c r="BH567" s="225"/>
      <c r="BI567" s="225"/>
      <c r="BJ567" s="225"/>
      <c r="BK567" s="225"/>
    </row>
    <row r="568" spans="48:63" ht="15.75" customHeight="1" x14ac:dyDescent="0.2">
      <c r="AV568" s="225"/>
      <c r="AW568" s="225"/>
      <c r="AX568" s="225"/>
      <c r="AY568" s="225"/>
      <c r="AZ568" s="225"/>
      <c r="BA568" s="225"/>
      <c r="BB568" s="225"/>
      <c r="BC568" s="225"/>
      <c r="BD568" s="225"/>
      <c r="BE568" s="225"/>
      <c r="BF568" s="225"/>
      <c r="BG568" s="225"/>
      <c r="BH568" s="225"/>
      <c r="BI568" s="225"/>
      <c r="BJ568" s="225"/>
      <c r="BK568" s="225"/>
    </row>
    <row r="569" spans="48:63" ht="15.75" customHeight="1" x14ac:dyDescent="0.2">
      <c r="AV569" s="225"/>
      <c r="AW569" s="225"/>
      <c r="AX569" s="225"/>
      <c r="AY569" s="225"/>
      <c r="AZ569" s="225"/>
      <c r="BA569" s="225"/>
      <c r="BB569" s="225"/>
      <c r="BC569" s="225"/>
      <c r="BD569" s="225"/>
      <c r="BE569" s="225"/>
      <c r="BF569" s="225"/>
      <c r="BG569" s="225"/>
      <c r="BH569" s="225"/>
      <c r="BI569" s="225"/>
      <c r="BJ569" s="225"/>
      <c r="BK569" s="225"/>
    </row>
    <row r="570" spans="48:63" ht="15.75" customHeight="1" x14ac:dyDescent="0.2">
      <c r="AV570" s="225"/>
      <c r="AW570" s="225"/>
      <c r="AX570" s="225"/>
      <c r="AY570" s="225"/>
      <c r="AZ570" s="225"/>
      <c r="BA570" s="225"/>
      <c r="BB570" s="225"/>
      <c r="BC570" s="225"/>
      <c r="BD570" s="225"/>
      <c r="BE570" s="225"/>
      <c r="BF570" s="225"/>
      <c r="BG570" s="225"/>
      <c r="BH570" s="225"/>
      <c r="BI570" s="225"/>
      <c r="BJ570" s="225"/>
      <c r="BK570" s="225"/>
    </row>
    <row r="571" spans="48:63" ht="15.75" customHeight="1" x14ac:dyDescent="0.2">
      <c r="AV571" s="225"/>
      <c r="AW571" s="225"/>
      <c r="AX571" s="225"/>
      <c r="AY571" s="225"/>
      <c r="AZ571" s="225"/>
      <c r="BA571" s="225"/>
      <c r="BB571" s="225"/>
      <c r="BC571" s="225"/>
      <c r="BD571" s="225"/>
      <c r="BE571" s="225"/>
      <c r="BF571" s="225"/>
      <c r="BG571" s="225"/>
      <c r="BH571" s="225"/>
      <c r="BI571" s="225"/>
      <c r="BJ571" s="225"/>
      <c r="BK571" s="225"/>
    </row>
    <row r="572" spans="48:63" ht="15.75" customHeight="1" x14ac:dyDescent="0.2">
      <c r="AV572" s="225"/>
      <c r="AW572" s="225"/>
      <c r="AX572" s="225"/>
      <c r="AY572" s="225"/>
      <c r="AZ572" s="225"/>
      <c r="BA572" s="225"/>
      <c r="BB572" s="225"/>
      <c r="BC572" s="225"/>
      <c r="BD572" s="225"/>
      <c r="BE572" s="225"/>
      <c r="BF572" s="225"/>
      <c r="BG572" s="225"/>
      <c r="BH572" s="225"/>
      <c r="BI572" s="225"/>
      <c r="BJ572" s="225"/>
      <c r="BK572" s="225"/>
    </row>
    <row r="573" spans="48:63" ht="15.75" customHeight="1" x14ac:dyDescent="0.2">
      <c r="AV573" s="225"/>
      <c r="AW573" s="225"/>
      <c r="AX573" s="225"/>
      <c r="AY573" s="225"/>
      <c r="AZ573" s="225"/>
      <c r="BA573" s="225"/>
      <c r="BB573" s="225"/>
      <c r="BC573" s="225"/>
      <c r="BD573" s="225"/>
      <c r="BE573" s="225"/>
      <c r="BF573" s="225"/>
      <c r="BG573" s="225"/>
      <c r="BH573" s="225"/>
      <c r="BI573" s="225"/>
      <c r="BJ573" s="225"/>
      <c r="BK573" s="225"/>
    </row>
    <row r="574" spans="48:63" ht="15.75" customHeight="1" x14ac:dyDescent="0.2">
      <c r="AV574" s="225"/>
      <c r="AW574" s="225"/>
      <c r="AX574" s="225"/>
      <c r="AY574" s="225"/>
      <c r="AZ574" s="225"/>
      <c r="BA574" s="225"/>
      <c r="BB574" s="225"/>
      <c r="BC574" s="225"/>
      <c r="BD574" s="225"/>
      <c r="BE574" s="225"/>
      <c r="BF574" s="225"/>
      <c r="BG574" s="225"/>
      <c r="BH574" s="225"/>
      <c r="BI574" s="225"/>
      <c r="BJ574" s="225"/>
      <c r="BK574" s="225"/>
    </row>
    <row r="575" spans="48:63" ht="15.75" customHeight="1" x14ac:dyDescent="0.2">
      <c r="AV575" s="225"/>
      <c r="AW575" s="225"/>
      <c r="AX575" s="225"/>
      <c r="AY575" s="225"/>
      <c r="AZ575" s="225"/>
      <c r="BA575" s="225"/>
      <c r="BB575" s="225"/>
      <c r="BC575" s="225"/>
      <c r="BD575" s="225"/>
      <c r="BE575" s="225"/>
      <c r="BF575" s="225"/>
      <c r="BG575" s="225"/>
      <c r="BH575" s="225"/>
      <c r="BI575" s="225"/>
      <c r="BJ575" s="225"/>
      <c r="BK575" s="225"/>
    </row>
    <row r="576" spans="48:63" ht="15.75" customHeight="1" x14ac:dyDescent="0.2">
      <c r="AV576" s="225"/>
      <c r="AW576" s="225"/>
      <c r="AX576" s="225"/>
      <c r="AY576" s="225"/>
      <c r="AZ576" s="225"/>
      <c r="BA576" s="225"/>
      <c r="BB576" s="225"/>
      <c r="BC576" s="225"/>
      <c r="BD576" s="225"/>
      <c r="BE576" s="225"/>
      <c r="BF576" s="225"/>
      <c r="BG576" s="225"/>
      <c r="BH576" s="225"/>
      <c r="BI576" s="225"/>
      <c r="BJ576" s="225"/>
      <c r="BK576" s="225"/>
    </row>
    <row r="577" spans="48:63" ht="15.75" customHeight="1" x14ac:dyDescent="0.2">
      <c r="AV577" s="225"/>
      <c r="AW577" s="225"/>
      <c r="AX577" s="225"/>
      <c r="AY577" s="225"/>
      <c r="AZ577" s="225"/>
      <c r="BA577" s="225"/>
      <c r="BB577" s="225"/>
      <c r="BC577" s="225"/>
      <c r="BD577" s="225"/>
      <c r="BE577" s="225"/>
      <c r="BF577" s="225"/>
      <c r="BG577" s="225"/>
      <c r="BH577" s="225"/>
      <c r="BI577" s="225"/>
      <c r="BJ577" s="225"/>
      <c r="BK577" s="225"/>
    </row>
    <row r="578" spans="48:63" ht="15.75" customHeight="1" x14ac:dyDescent="0.2">
      <c r="AV578" s="225"/>
      <c r="AW578" s="225"/>
      <c r="AX578" s="225"/>
      <c r="AY578" s="225"/>
      <c r="AZ578" s="225"/>
      <c r="BA578" s="225"/>
      <c r="BB578" s="225"/>
      <c r="BC578" s="225"/>
      <c r="BD578" s="225"/>
      <c r="BE578" s="225"/>
      <c r="BF578" s="225"/>
      <c r="BG578" s="225"/>
      <c r="BH578" s="225"/>
      <c r="BI578" s="225"/>
      <c r="BJ578" s="225"/>
      <c r="BK578" s="225"/>
    </row>
    <row r="579" spans="48:63" ht="15.75" customHeight="1" x14ac:dyDescent="0.2">
      <c r="AV579" s="225"/>
      <c r="AW579" s="225"/>
      <c r="AX579" s="225"/>
      <c r="AY579" s="225"/>
      <c r="AZ579" s="225"/>
      <c r="BA579" s="225"/>
      <c r="BB579" s="225"/>
      <c r="BC579" s="225"/>
      <c r="BD579" s="225"/>
      <c r="BE579" s="225"/>
      <c r="BF579" s="225"/>
      <c r="BG579" s="225"/>
      <c r="BH579" s="225"/>
      <c r="BI579" s="225"/>
      <c r="BJ579" s="225"/>
      <c r="BK579" s="225"/>
    </row>
    <row r="580" spans="48:63" ht="15.75" customHeight="1" x14ac:dyDescent="0.2">
      <c r="AV580" s="225"/>
      <c r="AW580" s="225"/>
      <c r="AX580" s="225"/>
      <c r="AY580" s="225"/>
      <c r="AZ580" s="225"/>
      <c r="BA580" s="225"/>
      <c r="BB580" s="225"/>
      <c r="BC580" s="225"/>
      <c r="BD580" s="225"/>
      <c r="BE580" s="225"/>
      <c r="BF580" s="225"/>
      <c r="BG580" s="225"/>
      <c r="BH580" s="225"/>
      <c r="BI580" s="225"/>
      <c r="BJ580" s="225"/>
      <c r="BK580" s="225"/>
    </row>
    <row r="581" spans="48:63" ht="15.75" customHeight="1" x14ac:dyDescent="0.2">
      <c r="AV581" s="225"/>
      <c r="AW581" s="225"/>
      <c r="AX581" s="225"/>
      <c r="AY581" s="225"/>
      <c r="AZ581" s="225"/>
      <c r="BA581" s="225"/>
      <c r="BB581" s="225"/>
      <c r="BC581" s="225"/>
      <c r="BD581" s="225"/>
      <c r="BE581" s="225"/>
      <c r="BF581" s="225"/>
      <c r="BG581" s="225"/>
      <c r="BH581" s="225"/>
      <c r="BI581" s="225"/>
      <c r="BJ581" s="225"/>
      <c r="BK581" s="225"/>
    </row>
    <row r="582" spans="48:63" ht="15.75" customHeight="1" x14ac:dyDescent="0.2">
      <c r="AV582" s="225"/>
      <c r="AW582" s="225"/>
      <c r="AX582" s="225"/>
      <c r="AY582" s="225"/>
      <c r="AZ582" s="225"/>
      <c r="BA582" s="225"/>
      <c r="BB582" s="225"/>
      <c r="BC582" s="225"/>
      <c r="BD582" s="225"/>
      <c r="BE582" s="225"/>
      <c r="BF582" s="225"/>
      <c r="BG582" s="225"/>
      <c r="BH582" s="225"/>
      <c r="BI582" s="225"/>
      <c r="BJ582" s="225"/>
      <c r="BK582" s="225"/>
    </row>
    <row r="583" spans="48:63" ht="15.75" customHeight="1" x14ac:dyDescent="0.2">
      <c r="AV583" s="225"/>
      <c r="AW583" s="225"/>
      <c r="AX583" s="225"/>
      <c r="AY583" s="225"/>
      <c r="AZ583" s="225"/>
      <c r="BA583" s="225"/>
      <c r="BB583" s="225"/>
      <c r="BC583" s="225"/>
      <c r="BD583" s="225"/>
      <c r="BE583" s="225"/>
      <c r="BF583" s="225"/>
      <c r="BG583" s="225"/>
      <c r="BH583" s="225"/>
      <c r="BI583" s="225"/>
      <c r="BJ583" s="225"/>
      <c r="BK583" s="225"/>
    </row>
    <row r="584" spans="48:63" ht="15.75" customHeight="1" x14ac:dyDescent="0.2">
      <c r="AV584" s="225"/>
      <c r="AW584" s="225"/>
      <c r="AX584" s="225"/>
      <c r="AY584" s="225"/>
      <c r="AZ584" s="225"/>
      <c r="BA584" s="225"/>
      <c r="BB584" s="225"/>
      <c r="BC584" s="225"/>
      <c r="BD584" s="225"/>
      <c r="BE584" s="225"/>
      <c r="BF584" s="225"/>
      <c r="BG584" s="225"/>
      <c r="BH584" s="225"/>
      <c r="BI584" s="225"/>
      <c r="BJ584" s="225"/>
      <c r="BK584" s="225"/>
    </row>
    <row r="585" spans="48:63" ht="15.75" customHeight="1" x14ac:dyDescent="0.2">
      <c r="AV585" s="225"/>
      <c r="AW585" s="225"/>
      <c r="AX585" s="225"/>
      <c r="AY585" s="225"/>
      <c r="AZ585" s="225"/>
      <c r="BA585" s="225"/>
      <c r="BB585" s="225"/>
      <c r="BC585" s="225"/>
      <c r="BD585" s="225"/>
      <c r="BE585" s="225"/>
      <c r="BF585" s="225"/>
      <c r="BG585" s="225"/>
      <c r="BH585" s="225"/>
      <c r="BI585" s="225"/>
      <c r="BJ585" s="225"/>
      <c r="BK585" s="225"/>
    </row>
    <row r="586" spans="48:63" ht="15.75" customHeight="1" x14ac:dyDescent="0.2">
      <c r="AV586" s="225"/>
      <c r="AW586" s="225"/>
      <c r="AX586" s="225"/>
      <c r="AY586" s="225"/>
      <c r="AZ586" s="225"/>
      <c r="BA586" s="225"/>
      <c r="BB586" s="225"/>
      <c r="BC586" s="225"/>
      <c r="BD586" s="225"/>
      <c r="BE586" s="225"/>
      <c r="BF586" s="225"/>
      <c r="BG586" s="225"/>
      <c r="BH586" s="225"/>
      <c r="BI586" s="225"/>
      <c r="BJ586" s="225"/>
      <c r="BK586" s="225"/>
    </row>
    <row r="587" spans="48:63" ht="15.75" customHeight="1" x14ac:dyDescent="0.2">
      <c r="AV587" s="225"/>
      <c r="AW587" s="225"/>
      <c r="AX587" s="225"/>
      <c r="AY587" s="225"/>
      <c r="AZ587" s="225"/>
      <c r="BA587" s="225"/>
      <c r="BB587" s="225"/>
      <c r="BC587" s="225"/>
      <c r="BD587" s="225"/>
      <c r="BE587" s="225"/>
      <c r="BF587" s="225"/>
      <c r="BG587" s="225"/>
      <c r="BH587" s="225"/>
      <c r="BI587" s="225"/>
      <c r="BJ587" s="225"/>
      <c r="BK587" s="225"/>
    </row>
    <row r="588" spans="48:63" ht="15.75" customHeight="1" x14ac:dyDescent="0.2">
      <c r="AV588" s="225"/>
      <c r="AW588" s="225"/>
      <c r="AX588" s="225"/>
      <c r="AY588" s="225"/>
      <c r="AZ588" s="225"/>
      <c r="BA588" s="225"/>
      <c r="BB588" s="225"/>
      <c r="BC588" s="225"/>
      <c r="BD588" s="225"/>
      <c r="BE588" s="225"/>
      <c r="BF588" s="225"/>
      <c r="BG588" s="225"/>
      <c r="BH588" s="225"/>
      <c r="BI588" s="225"/>
      <c r="BJ588" s="225"/>
      <c r="BK588" s="225"/>
    </row>
    <row r="589" spans="48:63" ht="15.75" customHeight="1" x14ac:dyDescent="0.2">
      <c r="AV589" s="225"/>
      <c r="AW589" s="225"/>
      <c r="AX589" s="225"/>
      <c r="AY589" s="225"/>
      <c r="AZ589" s="225"/>
      <c r="BA589" s="225"/>
      <c r="BB589" s="225"/>
      <c r="BC589" s="225"/>
      <c r="BD589" s="225"/>
      <c r="BE589" s="225"/>
      <c r="BF589" s="225"/>
      <c r="BG589" s="225"/>
      <c r="BH589" s="225"/>
      <c r="BI589" s="225"/>
      <c r="BJ589" s="225"/>
      <c r="BK589" s="225"/>
    </row>
    <row r="590" spans="48:63" ht="15.75" customHeight="1" x14ac:dyDescent="0.2">
      <c r="AV590" s="225"/>
      <c r="AW590" s="225"/>
      <c r="AX590" s="225"/>
      <c r="AY590" s="225"/>
      <c r="AZ590" s="225"/>
      <c r="BA590" s="225"/>
      <c r="BB590" s="225"/>
      <c r="BC590" s="225"/>
      <c r="BD590" s="225"/>
      <c r="BE590" s="225"/>
      <c r="BF590" s="225"/>
      <c r="BG590" s="225"/>
      <c r="BH590" s="225"/>
      <c r="BI590" s="225"/>
      <c r="BJ590" s="225"/>
      <c r="BK590" s="225"/>
    </row>
    <row r="591" spans="48:63" ht="15.75" customHeight="1" x14ac:dyDescent="0.2">
      <c r="AV591" s="225"/>
      <c r="AW591" s="225"/>
      <c r="AX591" s="225"/>
      <c r="AY591" s="225"/>
      <c r="AZ591" s="225"/>
      <c r="BA591" s="225"/>
      <c r="BB591" s="225"/>
      <c r="BC591" s="225"/>
      <c r="BD591" s="225"/>
      <c r="BE591" s="225"/>
      <c r="BF591" s="225"/>
      <c r="BG591" s="225"/>
      <c r="BH591" s="225"/>
      <c r="BI591" s="225"/>
      <c r="BJ591" s="225"/>
      <c r="BK591" s="225"/>
    </row>
    <row r="592" spans="48:63" ht="15.75" customHeight="1" x14ac:dyDescent="0.2">
      <c r="AV592" s="225"/>
      <c r="AW592" s="225"/>
      <c r="AX592" s="225"/>
      <c r="AY592" s="225"/>
      <c r="AZ592" s="225"/>
      <c r="BA592" s="225"/>
      <c r="BB592" s="225"/>
      <c r="BC592" s="225"/>
      <c r="BD592" s="225"/>
      <c r="BE592" s="225"/>
      <c r="BF592" s="225"/>
      <c r="BG592" s="225"/>
      <c r="BH592" s="225"/>
      <c r="BI592" s="225"/>
      <c r="BJ592" s="225"/>
      <c r="BK592" s="225"/>
    </row>
    <row r="593" spans="48:63" ht="15.75" customHeight="1" x14ac:dyDescent="0.2">
      <c r="AV593" s="225"/>
      <c r="AW593" s="225"/>
      <c r="AX593" s="225"/>
      <c r="AY593" s="225"/>
      <c r="AZ593" s="225"/>
      <c r="BA593" s="225"/>
      <c r="BB593" s="225"/>
      <c r="BC593" s="225"/>
      <c r="BD593" s="225"/>
      <c r="BE593" s="225"/>
      <c r="BF593" s="225"/>
      <c r="BG593" s="225"/>
      <c r="BH593" s="225"/>
      <c r="BI593" s="225"/>
      <c r="BJ593" s="225"/>
      <c r="BK593" s="225"/>
    </row>
    <row r="594" spans="48:63" ht="15.75" customHeight="1" x14ac:dyDescent="0.2">
      <c r="AV594" s="225"/>
      <c r="AW594" s="225"/>
      <c r="AX594" s="225"/>
      <c r="AY594" s="225"/>
      <c r="AZ594" s="225"/>
      <c r="BA594" s="225"/>
      <c r="BB594" s="225"/>
      <c r="BC594" s="225"/>
      <c r="BD594" s="225"/>
      <c r="BE594" s="225"/>
      <c r="BF594" s="225"/>
      <c r="BG594" s="225"/>
      <c r="BH594" s="225"/>
      <c r="BI594" s="225"/>
      <c r="BJ594" s="225"/>
      <c r="BK594" s="225"/>
    </row>
    <row r="595" spans="48:63" ht="15.75" customHeight="1" x14ac:dyDescent="0.2">
      <c r="AV595" s="225"/>
      <c r="AW595" s="225"/>
      <c r="AX595" s="225"/>
      <c r="AY595" s="225"/>
      <c r="AZ595" s="225"/>
      <c r="BA595" s="225"/>
      <c r="BB595" s="225"/>
      <c r="BC595" s="225"/>
      <c r="BD595" s="225"/>
      <c r="BE595" s="225"/>
      <c r="BF595" s="225"/>
      <c r="BG595" s="225"/>
      <c r="BH595" s="225"/>
      <c r="BI595" s="225"/>
      <c r="BJ595" s="225"/>
      <c r="BK595" s="225"/>
    </row>
    <row r="596" spans="48:63" ht="15.75" customHeight="1" x14ac:dyDescent="0.2">
      <c r="AV596" s="225"/>
      <c r="AW596" s="225"/>
      <c r="AX596" s="225"/>
      <c r="AY596" s="225"/>
      <c r="AZ596" s="225"/>
      <c r="BA596" s="225"/>
      <c r="BB596" s="225"/>
      <c r="BC596" s="225"/>
      <c r="BD596" s="225"/>
      <c r="BE596" s="225"/>
      <c r="BF596" s="225"/>
      <c r="BG596" s="225"/>
      <c r="BH596" s="225"/>
      <c r="BI596" s="225"/>
      <c r="BJ596" s="225"/>
      <c r="BK596" s="225"/>
    </row>
    <row r="597" spans="48:63" ht="15.75" customHeight="1" x14ac:dyDescent="0.2">
      <c r="AV597" s="225"/>
      <c r="AW597" s="225"/>
      <c r="AX597" s="225"/>
      <c r="AY597" s="225"/>
      <c r="AZ597" s="225"/>
      <c r="BA597" s="225"/>
      <c r="BB597" s="225"/>
      <c r="BC597" s="225"/>
      <c r="BD597" s="225"/>
      <c r="BE597" s="225"/>
      <c r="BF597" s="225"/>
      <c r="BG597" s="225"/>
      <c r="BH597" s="225"/>
      <c r="BI597" s="225"/>
      <c r="BJ597" s="225"/>
      <c r="BK597" s="225"/>
    </row>
    <row r="598" spans="48:63" ht="15.75" customHeight="1" x14ac:dyDescent="0.2">
      <c r="AV598" s="225"/>
      <c r="AW598" s="225"/>
      <c r="AX598" s="225"/>
      <c r="AY598" s="225"/>
      <c r="AZ598" s="225"/>
      <c r="BA598" s="225"/>
      <c r="BB598" s="225"/>
      <c r="BC598" s="225"/>
      <c r="BD598" s="225"/>
      <c r="BE598" s="225"/>
      <c r="BF598" s="225"/>
      <c r="BG598" s="225"/>
      <c r="BH598" s="225"/>
      <c r="BI598" s="225"/>
      <c r="BJ598" s="225"/>
      <c r="BK598" s="225"/>
    </row>
    <row r="599" spans="48:63" ht="15.75" customHeight="1" x14ac:dyDescent="0.2">
      <c r="AV599" s="225"/>
      <c r="AW599" s="225"/>
      <c r="AX599" s="225"/>
      <c r="AY599" s="225"/>
      <c r="AZ599" s="225"/>
      <c r="BA599" s="225"/>
      <c r="BB599" s="225"/>
      <c r="BC599" s="225"/>
      <c r="BD599" s="225"/>
      <c r="BE599" s="225"/>
      <c r="BF599" s="225"/>
      <c r="BG599" s="225"/>
      <c r="BH599" s="225"/>
      <c r="BI599" s="225"/>
      <c r="BJ599" s="225"/>
      <c r="BK599" s="225"/>
    </row>
    <row r="600" spans="48:63" ht="15.75" customHeight="1" x14ac:dyDescent="0.2">
      <c r="AV600" s="225"/>
      <c r="AW600" s="225"/>
      <c r="AX600" s="225"/>
      <c r="AY600" s="225"/>
      <c r="AZ600" s="225"/>
      <c r="BA600" s="225"/>
      <c r="BB600" s="225"/>
      <c r="BC600" s="225"/>
      <c r="BD600" s="225"/>
      <c r="BE600" s="225"/>
      <c r="BF600" s="225"/>
      <c r="BG600" s="225"/>
      <c r="BH600" s="225"/>
      <c r="BI600" s="225"/>
      <c r="BJ600" s="225"/>
      <c r="BK600" s="225"/>
    </row>
    <row r="601" spans="48:63" ht="15.75" customHeight="1" x14ac:dyDescent="0.2">
      <c r="AV601" s="225"/>
      <c r="AW601" s="225"/>
      <c r="AX601" s="225"/>
      <c r="AY601" s="225"/>
      <c r="AZ601" s="225"/>
      <c r="BA601" s="225"/>
      <c r="BB601" s="225"/>
      <c r="BC601" s="225"/>
      <c r="BD601" s="225"/>
      <c r="BE601" s="225"/>
      <c r="BF601" s="225"/>
      <c r="BG601" s="225"/>
      <c r="BH601" s="225"/>
      <c r="BI601" s="225"/>
      <c r="BJ601" s="225"/>
      <c r="BK601" s="225"/>
    </row>
    <row r="602" spans="48:63" ht="15.75" customHeight="1" x14ac:dyDescent="0.2">
      <c r="AV602" s="225"/>
      <c r="AW602" s="225"/>
      <c r="AX602" s="225"/>
      <c r="AY602" s="225"/>
      <c r="AZ602" s="225"/>
      <c r="BA602" s="225"/>
      <c r="BB602" s="225"/>
      <c r="BC602" s="225"/>
      <c r="BD602" s="225"/>
      <c r="BE602" s="225"/>
      <c r="BF602" s="225"/>
      <c r="BG602" s="225"/>
      <c r="BH602" s="225"/>
      <c r="BI602" s="225"/>
      <c r="BJ602" s="225"/>
      <c r="BK602" s="225"/>
    </row>
    <row r="603" spans="48:63" ht="15.75" customHeight="1" x14ac:dyDescent="0.2">
      <c r="AV603" s="225"/>
      <c r="AW603" s="225"/>
      <c r="AX603" s="225"/>
      <c r="AY603" s="225"/>
      <c r="AZ603" s="225"/>
      <c r="BA603" s="225"/>
      <c r="BB603" s="225"/>
      <c r="BC603" s="225"/>
      <c r="BD603" s="225"/>
      <c r="BE603" s="225"/>
      <c r="BF603" s="225"/>
      <c r="BG603" s="225"/>
      <c r="BH603" s="225"/>
      <c r="BI603" s="225"/>
      <c r="BJ603" s="225"/>
      <c r="BK603" s="225"/>
    </row>
    <row r="604" spans="48:63" ht="15.75" customHeight="1" x14ac:dyDescent="0.2">
      <c r="AV604" s="225"/>
      <c r="AW604" s="225"/>
      <c r="AX604" s="225"/>
      <c r="AY604" s="225"/>
      <c r="AZ604" s="225"/>
      <c r="BA604" s="225"/>
      <c r="BB604" s="225"/>
      <c r="BC604" s="225"/>
      <c r="BD604" s="225"/>
      <c r="BE604" s="225"/>
      <c r="BF604" s="225"/>
      <c r="BG604" s="225"/>
      <c r="BH604" s="225"/>
      <c r="BI604" s="225"/>
      <c r="BJ604" s="225"/>
      <c r="BK604" s="225"/>
    </row>
    <row r="605" spans="48:63" ht="15.75" customHeight="1" x14ac:dyDescent="0.2">
      <c r="AV605" s="225"/>
      <c r="AW605" s="225"/>
      <c r="AX605" s="225"/>
      <c r="AY605" s="225"/>
      <c r="AZ605" s="225"/>
      <c r="BA605" s="225"/>
      <c r="BB605" s="225"/>
      <c r="BC605" s="225"/>
      <c r="BD605" s="225"/>
      <c r="BE605" s="225"/>
      <c r="BF605" s="225"/>
      <c r="BG605" s="225"/>
      <c r="BH605" s="225"/>
      <c r="BI605" s="225"/>
      <c r="BJ605" s="225"/>
      <c r="BK605" s="225"/>
    </row>
    <row r="606" spans="48:63" ht="15.75" customHeight="1" x14ac:dyDescent="0.2">
      <c r="AV606" s="225"/>
      <c r="AW606" s="225"/>
      <c r="AX606" s="225"/>
      <c r="AY606" s="225"/>
      <c r="AZ606" s="225"/>
      <c r="BA606" s="225"/>
      <c r="BB606" s="225"/>
      <c r="BC606" s="225"/>
      <c r="BD606" s="225"/>
      <c r="BE606" s="225"/>
      <c r="BF606" s="225"/>
      <c r="BG606" s="225"/>
      <c r="BH606" s="225"/>
      <c r="BI606" s="225"/>
      <c r="BJ606" s="225"/>
      <c r="BK606" s="225"/>
    </row>
    <row r="607" spans="48:63" ht="15.75" customHeight="1" x14ac:dyDescent="0.2">
      <c r="AV607" s="225"/>
      <c r="AW607" s="225"/>
      <c r="AX607" s="225"/>
      <c r="AY607" s="225"/>
      <c r="AZ607" s="225"/>
      <c r="BA607" s="225"/>
      <c r="BB607" s="225"/>
      <c r="BC607" s="225"/>
      <c r="BD607" s="225"/>
      <c r="BE607" s="225"/>
      <c r="BF607" s="225"/>
      <c r="BG607" s="225"/>
      <c r="BH607" s="225"/>
      <c r="BI607" s="225"/>
      <c r="BJ607" s="225"/>
      <c r="BK607" s="225"/>
    </row>
    <row r="608" spans="48:63" ht="15.75" customHeight="1" x14ac:dyDescent="0.2">
      <c r="AV608" s="225"/>
      <c r="AW608" s="225"/>
      <c r="AX608" s="225"/>
      <c r="AY608" s="225"/>
      <c r="AZ608" s="225"/>
      <c r="BA608" s="225"/>
      <c r="BB608" s="225"/>
      <c r="BC608" s="225"/>
      <c r="BD608" s="225"/>
      <c r="BE608" s="225"/>
      <c r="BF608" s="225"/>
      <c r="BG608" s="225"/>
      <c r="BH608" s="225"/>
      <c r="BI608" s="225"/>
      <c r="BJ608" s="225"/>
      <c r="BK608" s="225"/>
    </row>
    <row r="609" spans="48:63" ht="15.75" customHeight="1" x14ac:dyDescent="0.2">
      <c r="AV609" s="225"/>
      <c r="AW609" s="225"/>
      <c r="AX609" s="225"/>
      <c r="AY609" s="225"/>
      <c r="AZ609" s="225"/>
      <c r="BA609" s="225"/>
      <c r="BB609" s="225"/>
      <c r="BC609" s="225"/>
      <c r="BD609" s="225"/>
      <c r="BE609" s="225"/>
      <c r="BF609" s="225"/>
      <c r="BG609" s="225"/>
      <c r="BH609" s="225"/>
      <c r="BI609" s="225"/>
      <c r="BJ609" s="225"/>
      <c r="BK609" s="225"/>
    </row>
    <row r="610" spans="48:63" ht="15.75" customHeight="1" x14ac:dyDescent="0.2">
      <c r="AV610" s="225"/>
      <c r="AW610" s="225"/>
      <c r="AX610" s="225"/>
      <c r="AY610" s="225"/>
      <c r="AZ610" s="225"/>
      <c r="BA610" s="225"/>
      <c r="BB610" s="225"/>
      <c r="BC610" s="225"/>
      <c r="BD610" s="225"/>
      <c r="BE610" s="225"/>
      <c r="BF610" s="225"/>
      <c r="BG610" s="225"/>
      <c r="BH610" s="225"/>
      <c r="BI610" s="225"/>
      <c r="BJ610" s="225"/>
      <c r="BK610" s="225"/>
    </row>
    <row r="611" spans="48:63" ht="15.75" customHeight="1" x14ac:dyDescent="0.2">
      <c r="AV611" s="225"/>
      <c r="AW611" s="225"/>
      <c r="AX611" s="225"/>
      <c r="AY611" s="225"/>
      <c r="AZ611" s="225"/>
      <c r="BA611" s="225"/>
      <c r="BB611" s="225"/>
      <c r="BC611" s="225"/>
      <c r="BD611" s="225"/>
      <c r="BE611" s="225"/>
      <c r="BF611" s="225"/>
      <c r="BG611" s="225"/>
      <c r="BH611" s="225"/>
      <c r="BI611" s="225"/>
      <c r="BJ611" s="225"/>
      <c r="BK611" s="225"/>
    </row>
    <row r="612" spans="48:63" ht="15.75" customHeight="1" x14ac:dyDescent="0.2">
      <c r="AV612" s="225"/>
      <c r="AW612" s="225"/>
      <c r="AX612" s="225"/>
      <c r="AY612" s="225"/>
      <c r="AZ612" s="225"/>
      <c r="BA612" s="225"/>
      <c r="BB612" s="225"/>
      <c r="BC612" s="225"/>
      <c r="BD612" s="225"/>
      <c r="BE612" s="225"/>
      <c r="BF612" s="225"/>
      <c r="BG612" s="225"/>
      <c r="BH612" s="225"/>
      <c r="BI612" s="225"/>
      <c r="BJ612" s="225"/>
      <c r="BK612" s="225"/>
    </row>
    <row r="613" spans="48:63" ht="15.75" customHeight="1" x14ac:dyDescent="0.2">
      <c r="AV613" s="225"/>
      <c r="AW613" s="225"/>
      <c r="AX613" s="225"/>
      <c r="AY613" s="225"/>
      <c r="AZ613" s="225"/>
      <c r="BA613" s="225"/>
      <c r="BB613" s="225"/>
      <c r="BC613" s="225"/>
      <c r="BD613" s="225"/>
      <c r="BE613" s="225"/>
      <c r="BF613" s="225"/>
      <c r="BG613" s="225"/>
      <c r="BH613" s="225"/>
      <c r="BI613" s="225"/>
      <c r="BJ613" s="225"/>
      <c r="BK613" s="225"/>
    </row>
    <row r="614" spans="48:63" ht="15.75" customHeight="1" x14ac:dyDescent="0.2">
      <c r="AV614" s="225"/>
      <c r="AW614" s="225"/>
      <c r="AX614" s="225"/>
      <c r="AY614" s="225"/>
      <c r="AZ614" s="225"/>
      <c r="BA614" s="225"/>
      <c r="BB614" s="225"/>
      <c r="BC614" s="225"/>
      <c r="BD614" s="225"/>
      <c r="BE614" s="225"/>
      <c r="BF614" s="225"/>
      <c r="BG614" s="225"/>
      <c r="BH614" s="225"/>
      <c r="BI614" s="225"/>
      <c r="BJ614" s="225"/>
      <c r="BK614" s="225"/>
    </row>
    <row r="615" spans="48:63" ht="15.75" customHeight="1" x14ac:dyDescent="0.2">
      <c r="AV615" s="225"/>
      <c r="AW615" s="225"/>
      <c r="AX615" s="225"/>
      <c r="AY615" s="225"/>
      <c r="AZ615" s="225"/>
      <c r="BA615" s="225"/>
      <c r="BB615" s="225"/>
      <c r="BC615" s="225"/>
      <c r="BD615" s="225"/>
      <c r="BE615" s="225"/>
      <c r="BF615" s="225"/>
      <c r="BG615" s="225"/>
      <c r="BH615" s="225"/>
      <c r="BI615" s="225"/>
      <c r="BJ615" s="225"/>
      <c r="BK615" s="225"/>
    </row>
    <row r="616" spans="48:63" ht="15.75" customHeight="1" x14ac:dyDescent="0.2">
      <c r="AV616" s="225"/>
      <c r="AW616" s="225"/>
      <c r="AX616" s="225"/>
      <c r="AY616" s="225"/>
      <c r="AZ616" s="225"/>
      <c r="BA616" s="225"/>
      <c r="BB616" s="225"/>
      <c r="BC616" s="225"/>
      <c r="BD616" s="225"/>
      <c r="BE616" s="225"/>
      <c r="BF616" s="225"/>
      <c r="BG616" s="225"/>
      <c r="BH616" s="225"/>
      <c r="BI616" s="225"/>
      <c r="BJ616" s="225"/>
      <c r="BK616" s="225"/>
    </row>
    <row r="617" spans="48:63" ht="15.75" customHeight="1" x14ac:dyDescent="0.2">
      <c r="AV617" s="225"/>
      <c r="AW617" s="225"/>
      <c r="AX617" s="225"/>
      <c r="AY617" s="225"/>
      <c r="AZ617" s="225"/>
      <c r="BA617" s="225"/>
      <c r="BB617" s="225"/>
      <c r="BC617" s="225"/>
      <c r="BD617" s="225"/>
      <c r="BE617" s="225"/>
      <c r="BF617" s="225"/>
      <c r="BG617" s="225"/>
      <c r="BH617" s="225"/>
      <c r="BI617" s="225"/>
      <c r="BJ617" s="225"/>
      <c r="BK617" s="225"/>
    </row>
    <row r="618" spans="48:63" ht="15.75" customHeight="1" x14ac:dyDescent="0.2">
      <c r="AV618" s="225"/>
      <c r="AW618" s="225"/>
      <c r="AX618" s="225"/>
      <c r="AY618" s="225"/>
      <c r="AZ618" s="225"/>
      <c r="BA618" s="225"/>
      <c r="BB618" s="225"/>
      <c r="BC618" s="225"/>
      <c r="BD618" s="225"/>
      <c r="BE618" s="225"/>
      <c r="BF618" s="225"/>
      <c r="BG618" s="225"/>
      <c r="BH618" s="225"/>
      <c r="BI618" s="225"/>
      <c r="BJ618" s="225"/>
      <c r="BK618" s="225"/>
    </row>
    <row r="619" spans="48:63" ht="15.75" customHeight="1" x14ac:dyDescent="0.2">
      <c r="AV619" s="225"/>
      <c r="AW619" s="225"/>
      <c r="AX619" s="225"/>
      <c r="AY619" s="225"/>
      <c r="AZ619" s="225"/>
      <c r="BA619" s="225"/>
      <c r="BB619" s="225"/>
      <c r="BC619" s="225"/>
      <c r="BD619" s="225"/>
      <c r="BE619" s="225"/>
      <c r="BF619" s="225"/>
      <c r="BG619" s="225"/>
      <c r="BH619" s="225"/>
      <c r="BI619" s="225"/>
      <c r="BJ619" s="225"/>
      <c r="BK619" s="225"/>
    </row>
    <row r="620" spans="48:63" ht="15.75" customHeight="1" x14ac:dyDescent="0.2">
      <c r="AV620" s="225"/>
      <c r="AW620" s="225"/>
      <c r="AX620" s="225"/>
      <c r="AY620" s="225"/>
      <c r="AZ620" s="225"/>
      <c r="BA620" s="225"/>
      <c r="BB620" s="225"/>
      <c r="BC620" s="225"/>
      <c r="BD620" s="225"/>
      <c r="BE620" s="225"/>
      <c r="BF620" s="225"/>
      <c r="BG620" s="225"/>
      <c r="BH620" s="225"/>
      <c r="BI620" s="225"/>
      <c r="BJ620" s="225"/>
      <c r="BK620" s="225"/>
    </row>
    <row r="621" spans="48:63" ht="15.75" customHeight="1" x14ac:dyDescent="0.2">
      <c r="AV621" s="225"/>
      <c r="AW621" s="225"/>
      <c r="AX621" s="225"/>
      <c r="AY621" s="225"/>
      <c r="AZ621" s="225"/>
      <c r="BA621" s="225"/>
      <c r="BB621" s="225"/>
      <c r="BC621" s="225"/>
      <c r="BD621" s="225"/>
      <c r="BE621" s="225"/>
      <c r="BF621" s="225"/>
      <c r="BG621" s="225"/>
      <c r="BH621" s="225"/>
      <c r="BI621" s="225"/>
      <c r="BJ621" s="225"/>
      <c r="BK621" s="225"/>
    </row>
    <row r="622" spans="48:63" ht="15.75" customHeight="1" x14ac:dyDescent="0.2">
      <c r="AV622" s="225"/>
      <c r="AW622" s="225"/>
      <c r="AX622" s="225"/>
      <c r="AY622" s="225"/>
      <c r="AZ622" s="225"/>
      <c r="BA622" s="225"/>
      <c r="BB622" s="225"/>
      <c r="BC622" s="225"/>
      <c r="BD622" s="225"/>
      <c r="BE622" s="225"/>
      <c r="BF622" s="225"/>
      <c r="BG622" s="225"/>
      <c r="BH622" s="225"/>
      <c r="BI622" s="225"/>
      <c r="BJ622" s="225"/>
      <c r="BK622" s="225"/>
    </row>
    <row r="623" spans="48:63" ht="15.75" customHeight="1" x14ac:dyDescent="0.2">
      <c r="AV623" s="225"/>
      <c r="AW623" s="225"/>
      <c r="AX623" s="225"/>
      <c r="AY623" s="225"/>
      <c r="AZ623" s="225"/>
      <c r="BA623" s="225"/>
      <c r="BB623" s="225"/>
      <c r="BC623" s="225"/>
      <c r="BD623" s="225"/>
      <c r="BE623" s="225"/>
      <c r="BF623" s="225"/>
      <c r="BG623" s="225"/>
      <c r="BH623" s="225"/>
      <c r="BI623" s="225"/>
      <c r="BJ623" s="225"/>
      <c r="BK623" s="225"/>
    </row>
    <row r="624" spans="48:63" ht="15.75" customHeight="1" x14ac:dyDescent="0.2">
      <c r="AV624" s="225"/>
      <c r="AW624" s="225"/>
      <c r="AX624" s="225"/>
      <c r="AY624" s="225"/>
      <c r="AZ624" s="225"/>
      <c r="BA624" s="225"/>
      <c r="BB624" s="225"/>
      <c r="BC624" s="225"/>
      <c r="BD624" s="225"/>
      <c r="BE624" s="225"/>
      <c r="BF624" s="225"/>
      <c r="BG624" s="225"/>
      <c r="BH624" s="225"/>
      <c r="BI624" s="225"/>
      <c r="BJ624" s="225"/>
      <c r="BK624" s="225"/>
    </row>
    <row r="625" spans="48:63" ht="15.75" customHeight="1" x14ac:dyDescent="0.2">
      <c r="AV625" s="225"/>
      <c r="AW625" s="225"/>
      <c r="AX625" s="225"/>
      <c r="AY625" s="225"/>
      <c r="AZ625" s="225"/>
      <c r="BA625" s="225"/>
      <c r="BB625" s="225"/>
      <c r="BC625" s="225"/>
      <c r="BD625" s="225"/>
      <c r="BE625" s="225"/>
      <c r="BF625" s="225"/>
      <c r="BG625" s="225"/>
      <c r="BH625" s="225"/>
      <c r="BI625" s="225"/>
      <c r="BJ625" s="225"/>
      <c r="BK625" s="225"/>
    </row>
    <row r="626" spans="48:63" ht="15.75" customHeight="1" x14ac:dyDescent="0.2">
      <c r="AV626" s="225"/>
      <c r="AW626" s="225"/>
      <c r="AX626" s="225"/>
      <c r="AY626" s="225"/>
      <c r="AZ626" s="225"/>
      <c r="BA626" s="225"/>
      <c r="BB626" s="225"/>
      <c r="BC626" s="225"/>
      <c r="BD626" s="225"/>
      <c r="BE626" s="225"/>
      <c r="BF626" s="225"/>
      <c r="BG626" s="225"/>
      <c r="BH626" s="225"/>
      <c r="BI626" s="225"/>
      <c r="BJ626" s="225"/>
      <c r="BK626" s="225"/>
    </row>
    <row r="627" spans="48:63" ht="15.75" customHeight="1" x14ac:dyDescent="0.2">
      <c r="AV627" s="225"/>
      <c r="AW627" s="225"/>
      <c r="AX627" s="225"/>
      <c r="AY627" s="225"/>
      <c r="AZ627" s="225"/>
      <c r="BA627" s="225"/>
      <c r="BB627" s="225"/>
      <c r="BC627" s="225"/>
      <c r="BD627" s="225"/>
      <c r="BE627" s="225"/>
      <c r="BF627" s="225"/>
      <c r="BG627" s="225"/>
      <c r="BH627" s="225"/>
      <c r="BI627" s="225"/>
      <c r="BJ627" s="225"/>
      <c r="BK627" s="225"/>
    </row>
    <row r="628" spans="48:63" ht="15.75" customHeight="1" x14ac:dyDescent="0.2">
      <c r="AV628" s="225"/>
      <c r="AW628" s="225"/>
      <c r="AX628" s="225"/>
      <c r="AY628" s="225"/>
      <c r="AZ628" s="225"/>
      <c r="BA628" s="225"/>
      <c r="BB628" s="225"/>
      <c r="BC628" s="225"/>
      <c r="BD628" s="225"/>
      <c r="BE628" s="225"/>
      <c r="BF628" s="225"/>
      <c r="BG628" s="225"/>
      <c r="BH628" s="225"/>
      <c r="BI628" s="225"/>
      <c r="BJ628" s="225"/>
      <c r="BK628" s="225"/>
    </row>
    <row r="629" spans="48:63" ht="15.75" customHeight="1" x14ac:dyDescent="0.2">
      <c r="AV629" s="225"/>
      <c r="AW629" s="225"/>
      <c r="AX629" s="225"/>
      <c r="AY629" s="225"/>
      <c r="AZ629" s="225"/>
      <c r="BA629" s="225"/>
      <c r="BB629" s="225"/>
      <c r="BC629" s="225"/>
      <c r="BD629" s="225"/>
      <c r="BE629" s="225"/>
      <c r="BF629" s="225"/>
      <c r="BG629" s="225"/>
      <c r="BH629" s="225"/>
      <c r="BI629" s="225"/>
      <c r="BJ629" s="225"/>
      <c r="BK629" s="225"/>
    </row>
    <row r="630" spans="48:63" ht="15.75" customHeight="1" x14ac:dyDescent="0.2">
      <c r="AV630" s="225"/>
      <c r="AW630" s="225"/>
      <c r="AX630" s="225"/>
      <c r="AY630" s="225"/>
      <c r="AZ630" s="225"/>
      <c r="BA630" s="225"/>
      <c r="BB630" s="225"/>
      <c r="BC630" s="225"/>
      <c r="BD630" s="225"/>
      <c r="BE630" s="225"/>
      <c r="BF630" s="225"/>
      <c r="BG630" s="225"/>
      <c r="BH630" s="225"/>
      <c r="BI630" s="225"/>
      <c r="BJ630" s="225"/>
      <c r="BK630" s="225"/>
    </row>
    <row r="631" spans="48:63" ht="15.75" customHeight="1" x14ac:dyDescent="0.2">
      <c r="AV631" s="225"/>
      <c r="AW631" s="225"/>
      <c r="AX631" s="225"/>
      <c r="AY631" s="225"/>
      <c r="AZ631" s="225"/>
      <c r="BA631" s="225"/>
      <c r="BB631" s="225"/>
      <c r="BC631" s="225"/>
      <c r="BD631" s="225"/>
      <c r="BE631" s="225"/>
      <c r="BF631" s="225"/>
      <c r="BG631" s="225"/>
      <c r="BH631" s="225"/>
      <c r="BI631" s="225"/>
      <c r="BJ631" s="225"/>
      <c r="BK631" s="225"/>
    </row>
    <row r="632" spans="48:63" ht="15.75" customHeight="1" x14ac:dyDescent="0.2">
      <c r="AV632" s="225"/>
      <c r="AW632" s="225"/>
      <c r="AX632" s="225"/>
      <c r="AY632" s="225"/>
      <c r="AZ632" s="225"/>
      <c r="BA632" s="225"/>
      <c r="BB632" s="225"/>
      <c r="BC632" s="225"/>
      <c r="BD632" s="225"/>
      <c r="BE632" s="225"/>
      <c r="BF632" s="225"/>
      <c r="BG632" s="225"/>
      <c r="BH632" s="225"/>
      <c r="BI632" s="225"/>
      <c r="BJ632" s="225"/>
      <c r="BK632" s="225"/>
    </row>
    <row r="633" spans="48:63" ht="15.75" customHeight="1" x14ac:dyDescent="0.2">
      <c r="AV633" s="225"/>
      <c r="AW633" s="225"/>
      <c r="AX633" s="225"/>
      <c r="AY633" s="225"/>
      <c r="AZ633" s="225"/>
      <c r="BA633" s="225"/>
      <c r="BB633" s="225"/>
      <c r="BC633" s="225"/>
      <c r="BD633" s="225"/>
      <c r="BE633" s="225"/>
      <c r="BF633" s="225"/>
      <c r="BG633" s="225"/>
      <c r="BH633" s="225"/>
      <c r="BI633" s="225"/>
      <c r="BJ633" s="225"/>
      <c r="BK633" s="225"/>
    </row>
    <row r="634" spans="48:63" ht="15.75" customHeight="1" x14ac:dyDescent="0.2">
      <c r="AV634" s="225"/>
      <c r="AW634" s="225"/>
      <c r="AX634" s="225"/>
      <c r="AY634" s="225"/>
      <c r="AZ634" s="225"/>
      <c r="BA634" s="225"/>
      <c r="BB634" s="225"/>
      <c r="BC634" s="225"/>
      <c r="BD634" s="225"/>
      <c r="BE634" s="225"/>
      <c r="BF634" s="225"/>
      <c r="BG634" s="225"/>
      <c r="BH634" s="225"/>
      <c r="BI634" s="225"/>
      <c r="BJ634" s="225"/>
      <c r="BK634" s="225"/>
    </row>
    <row r="635" spans="48:63" ht="15.75" customHeight="1" x14ac:dyDescent="0.2">
      <c r="AV635" s="225"/>
      <c r="AW635" s="225"/>
      <c r="AX635" s="225"/>
      <c r="AY635" s="225"/>
      <c r="AZ635" s="225"/>
      <c r="BA635" s="225"/>
      <c r="BB635" s="225"/>
      <c r="BC635" s="225"/>
      <c r="BD635" s="225"/>
      <c r="BE635" s="225"/>
      <c r="BF635" s="225"/>
      <c r="BG635" s="225"/>
      <c r="BH635" s="225"/>
      <c r="BI635" s="225"/>
      <c r="BJ635" s="225"/>
      <c r="BK635" s="225"/>
    </row>
    <row r="636" spans="48:63" ht="15.75" customHeight="1" x14ac:dyDescent="0.2">
      <c r="AV636" s="225"/>
      <c r="AW636" s="225"/>
      <c r="AX636" s="225"/>
      <c r="AY636" s="225"/>
      <c r="AZ636" s="225"/>
      <c r="BA636" s="225"/>
      <c r="BB636" s="225"/>
      <c r="BC636" s="225"/>
      <c r="BD636" s="225"/>
      <c r="BE636" s="225"/>
      <c r="BF636" s="225"/>
      <c r="BG636" s="225"/>
      <c r="BH636" s="225"/>
      <c r="BI636" s="225"/>
      <c r="BJ636" s="225"/>
      <c r="BK636" s="225"/>
    </row>
    <row r="637" spans="48:63" ht="15.75" customHeight="1" x14ac:dyDescent="0.2">
      <c r="AV637" s="225"/>
      <c r="AW637" s="225"/>
      <c r="AX637" s="225"/>
      <c r="AY637" s="225"/>
      <c r="AZ637" s="225"/>
      <c r="BA637" s="225"/>
      <c r="BB637" s="225"/>
      <c r="BC637" s="225"/>
      <c r="BD637" s="225"/>
      <c r="BE637" s="225"/>
      <c r="BF637" s="225"/>
      <c r="BG637" s="225"/>
      <c r="BH637" s="225"/>
      <c r="BI637" s="225"/>
      <c r="BJ637" s="225"/>
      <c r="BK637" s="225"/>
    </row>
    <row r="638" spans="48:63" ht="15.75" customHeight="1" x14ac:dyDescent="0.2">
      <c r="AV638" s="225"/>
      <c r="AW638" s="225"/>
      <c r="AX638" s="225"/>
      <c r="AY638" s="225"/>
      <c r="AZ638" s="225"/>
      <c r="BA638" s="225"/>
      <c r="BB638" s="225"/>
      <c r="BC638" s="225"/>
      <c r="BD638" s="225"/>
      <c r="BE638" s="225"/>
      <c r="BF638" s="225"/>
      <c r="BG638" s="225"/>
      <c r="BH638" s="225"/>
      <c r="BI638" s="225"/>
      <c r="BJ638" s="225"/>
      <c r="BK638" s="225"/>
    </row>
    <row r="639" spans="48:63" ht="15.75" customHeight="1" x14ac:dyDescent="0.2">
      <c r="AV639" s="225"/>
      <c r="AW639" s="225"/>
      <c r="AX639" s="225"/>
      <c r="AY639" s="225"/>
      <c r="AZ639" s="225"/>
      <c r="BA639" s="225"/>
      <c r="BB639" s="225"/>
      <c r="BC639" s="225"/>
      <c r="BD639" s="225"/>
      <c r="BE639" s="225"/>
      <c r="BF639" s="225"/>
      <c r="BG639" s="225"/>
      <c r="BH639" s="225"/>
      <c r="BI639" s="225"/>
      <c r="BJ639" s="225"/>
      <c r="BK639" s="225"/>
    </row>
    <row r="640" spans="48:63" ht="15.75" customHeight="1" x14ac:dyDescent="0.2">
      <c r="AV640" s="225"/>
      <c r="AW640" s="225"/>
      <c r="AX640" s="225"/>
      <c r="AY640" s="225"/>
      <c r="AZ640" s="225"/>
      <c r="BA640" s="225"/>
      <c r="BB640" s="225"/>
      <c r="BC640" s="225"/>
      <c r="BD640" s="225"/>
      <c r="BE640" s="225"/>
      <c r="BF640" s="225"/>
      <c r="BG640" s="225"/>
      <c r="BH640" s="225"/>
      <c r="BI640" s="225"/>
      <c r="BJ640" s="225"/>
      <c r="BK640" s="225"/>
    </row>
    <row r="641" spans="48:63" ht="15.75" customHeight="1" x14ac:dyDescent="0.2">
      <c r="AV641" s="225"/>
      <c r="AW641" s="225"/>
      <c r="AX641" s="225"/>
      <c r="AY641" s="225"/>
      <c r="AZ641" s="225"/>
      <c r="BA641" s="225"/>
      <c r="BB641" s="225"/>
      <c r="BC641" s="225"/>
      <c r="BD641" s="225"/>
      <c r="BE641" s="225"/>
      <c r="BF641" s="225"/>
      <c r="BG641" s="225"/>
      <c r="BH641" s="225"/>
      <c r="BI641" s="225"/>
      <c r="BJ641" s="225"/>
      <c r="BK641" s="225"/>
    </row>
    <row r="642" spans="48:63" ht="15.75" customHeight="1" x14ac:dyDescent="0.2">
      <c r="AV642" s="225"/>
      <c r="AW642" s="225"/>
      <c r="AX642" s="225"/>
      <c r="AY642" s="225"/>
      <c r="AZ642" s="225"/>
      <c r="BA642" s="225"/>
      <c r="BB642" s="225"/>
      <c r="BC642" s="225"/>
      <c r="BD642" s="225"/>
      <c r="BE642" s="225"/>
      <c r="BF642" s="225"/>
      <c r="BG642" s="225"/>
      <c r="BH642" s="225"/>
      <c r="BI642" s="225"/>
      <c r="BJ642" s="225"/>
      <c r="BK642" s="225"/>
    </row>
    <row r="643" spans="48:63" ht="15.75" customHeight="1" x14ac:dyDescent="0.2">
      <c r="AV643" s="225"/>
      <c r="AW643" s="225"/>
      <c r="AX643" s="225"/>
      <c r="AY643" s="225"/>
      <c r="AZ643" s="225"/>
      <c r="BA643" s="225"/>
      <c r="BB643" s="225"/>
      <c r="BC643" s="225"/>
      <c r="BD643" s="225"/>
      <c r="BE643" s="225"/>
      <c r="BF643" s="225"/>
      <c r="BG643" s="225"/>
      <c r="BH643" s="225"/>
      <c r="BI643" s="225"/>
      <c r="BJ643" s="225"/>
      <c r="BK643" s="225"/>
    </row>
    <row r="644" spans="48:63" ht="15.75" customHeight="1" x14ac:dyDescent="0.2">
      <c r="AV644" s="225"/>
      <c r="AW644" s="225"/>
      <c r="AX644" s="225"/>
      <c r="AY644" s="225"/>
      <c r="AZ644" s="225"/>
      <c r="BA644" s="225"/>
      <c r="BB644" s="225"/>
      <c r="BC644" s="225"/>
      <c r="BD644" s="225"/>
      <c r="BE644" s="225"/>
      <c r="BF644" s="225"/>
      <c r="BG644" s="225"/>
      <c r="BH644" s="225"/>
      <c r="BI644" s="225"/>
      <c r="BJ644" s="225"/>
      <c r="BK644" s="225"/>
    </row>
    <row r="645" spans="48:63" ht="15.75" customHeight="1" x14ac:dyDescent="0.2">
      <c r="AV645" s="225"/>
      <c r="AW645" s="225"/>
      <c r="AX645" s="225"/>
      <c r="AY645" s="225"/>
      <c r="AZ645" s="225"/>
      <c r="BA645" s="225"/>
      <c r="BB645" s="225"/>
      <c r="BC645" s="225"/>
      <c r="BD645" s="225"/>
      <c r="BE645" s="225"/>
      <c r="BF645" s="225"/>
      <c r="BG645" s="225"/>
      <c r="BH645" s="225"/>
      <c r="BI645" s="225"/>
      <c r="BJ645" s="225"/>
      <c r="BK645" s="225"/>
    </row>
    <row r="646" spans="48:63" ht="15.75" customHeight="1" x14ac:dyDescent="0.2">
      <c r="AV646" s="225"/>
      <c r="AW646" s="225"/>
      <c r="AX646" s="225"/>
      <c r="AY646" s="225"/>
      <c r="AZ646" s="225"/>
      <c r="BA646" s="225"/>
      <c r="BB646" s="225"/>
      <c r="BC646" s="225"/>
      <c r="BD646" s="225"/>
      <c r="BE646" s="225"/>
      <c r="BF646" s="225"/>
      <c r="BG646" s="225"/>
      <c r="BH646" s="225"/>
      <c r="BI646" s="225"/>
      <c r="BJ646" s="225"/>
      <c r="BK646" s="225"/>
    </row>
    <row r="647" spans="48:63" ht="15.75" customHeight="1" x14ac:dyDescent="0.2">
      <c r="AV647" s="225"/>
      <c r="AW647" s="225"/>
      <c r="AX647" s="225"/>
      <c r="AY647" s="225"/>
      <c r="AZ647" s="225"/>
      <c r="BA647" s="225"/>
      <c r="BB647" s="225"/>
      <c r="BC647" s="225"/>
      <c r="BD647" s="225"/>
      <c r="BE647" s="225"/>
      <c r="BF647" s="225"/>
      <c r="BG647" s="225"/>
      <c r="BH647" s="225"/>
      <c r="BI647" s="225"/>
      <c r="BJ647" s="225"/>
      <c r="BK647" s="225"/>
    </row>
    <row r="648" spans="48:63" ht="15.75" customHeight="1" x14ac:dyDescent="0.2">
      <c r="AV648" s="225"/>
      <c r="AW648" s="225"/>
      <c r="AX648" s="225"/>
      <c r="AY648" s="225"/>
      <c r="AZ648" s="225"/>
      <c r="BA648" s="225"/>
      <c r="BB648" s="225"/>
      <c r="BC648" s="225"/>
      <c r="BD648" s="225"/>
      <c r="BE648" s="225"/>
      <c r="BF648" s="225"/>
      <c r="BG648" s="225"/>
      <c r="BH648" s="225"/>
      <c r="BI648" s="225"/>
      <c r="BJ648" s="225"/>
      <c r="BK648" s="225"/>
    </row>
    <row r="649" spans="48:63" ht="15.75" customHeight="1" x14ac:dyDescent="0.2">
      <c r="AV649" s="225"/>
      <c r="AW649" s="225"/>
      <c r="AX649" s="225"/>
      <c r="AY649" s="225"/>
      <c r="AZ649" s="225"/>
      <c r="BA649" s="225"/>
      <c r="BB649" s="225"/>
      <c r="BC649" s="225"/>
      <c r="BD649" s="225"/>
      <c r="BE649" s="225"/>
      <c r="BF649" s="225"/>
      <c r="BG649" s="225"/>
      <c r="BH649" s="225"/>
      <c r="BI649" s="225"/>
      <c r="BJ649" s="225"/>
      <c r="BK649" s="225"/>
    </row>
    <row r="650" spans="48:63" ht="15.75" customHeight="1" x14ac:dyDescent="0.2">
      <c r="AV650" s="225"/>
      <c r="AW650" s="225"/>
      <c r="AX650" s="225"/>
      <c r="AY650" s="225"/>
      <c r="AZ650" s="225"/>
      <c r="BA650" s="225"/>
      <c r="BB650" s="225"/>
      <c r="BC650" s="225"/>
      <c r="BD650" s="225"/>
      <c r="BE650" s="225"/>
      <c r="BF650" s="225"/>
      <c r="BG650" s="225"/>
      <c r="BH650" s="225"/>
      <c r="BI650" s="225"/>
      <c r="BJ650" s="225"/>
      <c r="BK650" s="225"/>
    </row>
    <row r="651" spans="48:63" ht="15.75" customHeight="1" x14ac:dyDescent="0.2">
      <c r="AV651" s="225"/>
      <c r="AW651" s="225"/>
      <c r="AX651" s="225"/>
      <c r="AY651" s="225"/>
      <c r="AZ651" s="225"/>
      <c r="BA651" s="225"/>
      <c r="BB651" s="225"/>
      <c r="BC651" s="225"/>
      <c r="BD651" s="225"/>
      <c r="BE651" s="225"/>
      <c r="BF651" s="225"/>
      <c r="BG651" s="225"/>
      <c r="BH651" s="225"/>
      <c r="BI651" s="225"/>
      <c r="BJ651" s="225"/>
      <c r="BK651" s="225"/>
    </row>
    <row r="652" spans="48:63" ht="15.75" customHeight="1" x14ac:dyDescent="0.2">
      <c r="AV652" s="225"/>
      <c r="AW652" s="225"/>
      <c r="AX652" s="225"/>
      <c r="AY652" s="225"/>
      <c r="AZ652" s="225"/>
      <c r="BA652" s="225"/>
      <c r="BB652" s="225"/>
      <c r="BC652" s="225"/>
      <c r="BD652" s="225"/>
      <c r="BE652" s="225"/>
      <c r="BF652" s="225"/>
      <c r="BG652" s="225"/>
      <c r="BH652" s="225"/>
      <c r="BI652" s="225"/>
      <c r="BJ652" s="225"/>
      <c r="BK652" s="225"/>
    </row>
    <row r="653" spans="48:63" ht="15.75" customHeight="1" x14ac:dyDescent="0.2">
      <c r="AV653" s="225"/>
      <c r="AW653" s="225"/>
      <c r="AX653" s="225"/>
      <c r="AY653" s="225"/>
      <c r="AZ653" s="225"/>
      <c r="BA653" s="225"/>
      <c r="BB653" s="225"/>
      <c r="BC653" s="225"/>
      <c r="BD653" s="225"/>
      <c r="BE653" s="225"/>
      <c r="BF653" s="225"/>
      <c r="BG653" s="225"/>
      <c r="BH653" s="225"/>
      <c r="BI653" s="225"/>
      <c r="BJ653" s="225"/>
      <c r="BK653" s="225"/>
    </row>
    <row r="654" spans="48:63" ht="15.75" customHeight="1" x14ac:dyDescent="0.2">
      <c r="AV654" s="225"/>
      <c r="AW654" s="225"/>
      <c r="AX654" s="225"/>
      <c r="AY654" s="225"/>
      <c r="AZ654" s="225"/>
      <c r="BA654" s="225"/>
      <c r="BB654" s="225"/>
      <c r="BC654" s="225"/>
      <c r="BD654" s="225"/>
      <c r="BE654" s="225"/>
      <c r="BF654" s="225"/>
      <c r="BG654" s="225"/>
      <c r="BH654" s="225"/>
      <c r="BI654" s="225"/>
      <c r="BJ654" s="225"/>
      <c r="BK654" s="225"/>
    </row>
    <row r="655" spans="48:63" ht="15.75" customHeight="1" x14ac:dyDescent="0.2">
      <c r="AV655" s="225"/>
      <c r="AW655" s="225"/>
      <c r="AX655" s="225"/>
      <c r="AY655" s="225"/>
      <c r="AZ655" s="225"/>
      <c r="BA655" s="225"/>
      <c r="BB655" s="225"/>
      <c r="BC655" s="225"/>
      <c r="BD655" s="225"/>
      <c r="BE655" s="225"/>
      <c r="BF655" s="225"/>
      <c r="BG655" s="225"/>
      <c r="BH655" s="225"/>
      <c r="BI655" s="225"/>
      <c r="BJ655" s="225"/>
      <c r="BK655" s="225"/>
    </row>
    <row r="656" spans="48:63" ht="15.75" customHeight="1" x14ac:dyDescent="0.2">
      <c r="AV656" s="225"/>
      <c r="AW656" s="225"/>
      <c r="AX656" s="225"/>
      <c r="AY656" s="225"/>
      <c r="AZ656" s="225"/>
      <c r="BA656" s="225"/>
      <c r="BB656" s="225"/>
      <c r="BC656" s="225"/>
      <c r="BD656" s="225"/>
      <c r="BE656" s="225"/>
      <c r="BF656" s="225"/>
      <c r="BG656" s="225"/>
      <c r="BH656" s="225"/>
      <c r="BI656" s="225"/>
      <c r="BJ656" s="225"/>
      <c r="BK656" s="225"/>
    </row>
    <row r="657" spans="48:63" ht="15.75" customHeight="1" x14ac:dyDescent="0.2">
      <c r="AV657" s="225"/>
      <c r="AW657" s="225"/>
      <c r="AX657" s="225"/>
      <c r="AY657" s="225"/>
      <c r="AZ657" s="225"/>
      <c r="BA657" s="225"/>
      <c r="BB657" s="225"/>
      <c r="BC657" s="225"/>
      <c r="BD657" s="225"/>
      <c r="BE657" s="225"/>
      <c r="BF657" s="225"/>
      <c r="BG657" s="225"/>
      <c r="BH657" s="225"/>
      <c r="BI657" s="225"/>
      <c r="BJ657" s="225"/>
      <c r="BK657" s="225"/>
    </row>
    <row r="658" spans="48:63" ht="15.75" customHeight="1" x14ac:dyDescent="0.2">
      <c r="AV658" s="225"/>
      <c r="AW658" s="225"/>
      <c r="AX658" s="225"/>
      <c r="AY658" s="225"/>
      <c r="AZ658" s="225"/>
      <c r="BA658" s="225"/>
      <c r="BB658" s="225"/>
      <c r="BC658" s="225"/>
      <c r="BD658" s="225"/>
      <c r="BE658" s="225"/>
      <c r="BF658" s="225"/>
      <c r="BG658" s="225"/>
      <c r="BH658" s="225"/>
      <c r="BI658" s="225"/>
      <c r="BJ658" s="225"/>
      <c r="BK658" s="225"/>
    </row>
    <row r="659" spans="48:63" ht="15.75" customHeight="1" x14ac:dyDescent="0.2">
      <c r="AV659" s="225"/>
      <c r="AW659" s="225"/>
      <c r="AX659" s="225"/>
      <c r="AY659" s="225"/>
      <c r="AZ659" s="225"/>
      <c r="BA659" s="225"/>
      <c r="BB659" s="225"/>
      <c r="BC659" s="225"/>
      <c r="BD659" s="225"/>
      <c r="BE659" s="225"/>
      <c r="BF659" s="225"/>
      <c r="BG659" s="225"/>
      <c r="BH659" s="225"/>
      <c r="BI659" s="225"/>
      <c r="BJ659" s="225"/>
      <c r="BK659" s="225"/>
    </row>
    <row r="660" spans="48:63" ht="15.75" customHeight="1" x14ac:dyDescent="0.2">
      <c r="AV660" s="225"/>
      <c r="AW660" s="225"/>
      <c r="AX660" s="225"/>
      <c r="AY660" s="225"/>
      <c r="AZ660" s="225"/>
      <c r="BA660" s="225"/>
      <c r="BB660" s="225"/>
      <c r="BC660" s="225"/>
      <c r="BD660" s="225"/>
      <c r="BE660" s="225"/>
      <c r="BF660" s="225"/>
      <c r="BG660" s="225"/>
      <c r="BH660" s="225"/>
      <c r="BI660" s="225"/>
      <c r="BJ660" s="225"/>
      <c r="BK660" s="225"/>
    </row>
    <row r="661" spans="48:63" ht="15.75" customHeight="1" x14ac:dyDescent="0.2">
      <c r="AV661" s="225"/>
      <c r="AW661" s="225"/>
      <c r="AX661" s="225"/>
      <c r="AY661" s="225"/>
      <c r="AZ661" s="225"/>
      <c r="BA661" s="225"/>
      <c r="BB661" s="225"/>
      <c r="BC661" s="225"/>
      <c r="BD661" s="225"/>
      <c r="BE661" s="225"/>
      <c r="BF661" s="225"/>
      <c r="BG661" s="225"/>
      <c r="BH661" s="225"/>
      <c r="BI661" s="225"/>
      <c r="BJ661" s="225"/>
      <c r="BK661" s="225"/>
    </row>
    <row r="662" spans="48:63" ht="15.75" customHeight="1" x14ac:dyDescent="0.2">
      <c r="AV662" s="225"/>
      <c r="AW662" s="225"/>
      <c r="AX662" s="225"/>
      <c r="AY662" s="225"/>
      <c r="AZ662" s="225"/>
      <c r="BA662" s="225"/>
      <c r="BB662" s="225"/>
      <c r="BC662" s="225"/>
      <c r="BD662" s="225"/>
      <c r="BE662" s="225"/>
      <c r="BF662" s="225"/>
      <c r="BG662" s="225"/>
      <c r="BH662" s="225"/>
      <c r="BI662" s="225"/>
      <c r="BJ662" s="225"/>
      <c r="BK662" s="225"/>
    </row>
    <row r="663" spans="48:63" ht="15.75" customHeight="1" x14ac:dyDescent="0.2">
      <c r="AV663" s="225"/>
      <c r="AW663" s="225"/>
      <c r="AX663" s="225"/>
      <c r="AY663" s="225"/>
      <c r="AZ663" s="225"/>
      <c r="BA663" s="225"/>
      <c r="BB663" s="225"/>
      <c r="BC663" s="225"/>
      <c r="BD663" s="225"/>
      <c r="BE663" s="225"/>
      <c r="BF663" s="225"/>
      <c r="BG663" s="225"/>
      <c r="BH663" s="225"/>
      <c r="BI663" s="225"/>
      <c r="BJ663" s="225"/>
      <c r="BK663" s="225"/>
    </row>
    <row r="664" spans="48:63" ht="15.75" customHeight="1" x14ac:dyDescent="0.2">
      <c r="AV664" s="225"/>
      <c r="AW664" s="225"/>
      <c r="AX664" s="225"/>
      <c r="AY664" s="225"/>
      <c r="AZ664" s="225"/>
      <c r="BA664" s="225"/>
      <c r="BB664" s="225"/>
      <c r="BC664" s="225"/>
      <c r="BD664" s="225"/>
      <c r="BE664" s="225"/>
      <c r="BF664" s="225"/>
      <c r="BG664" s="225"/>
      <c r="BH664" s="225"/>
      <c r="BI664" s="225"/>
      <c r="BJ664" s="225"/>
      <c r="BK664" s="225"/>
    </row>
    <row r="665" spans="48:63" ht="15.75" customHeight="1" x14ac:dyDescent="0.2">
      <c r="AV665" s="225"/>
      <c r="AW665" s="225"/>
      <c r="AX665" s="225"/>
      <c r="AY665" s="225"/>
      <c r="AZ665" s="225"/>
      <c r="BA665" s="225"/>
      <c r="BB665" s="225"/>
      <c r="BC665" s="225"/>
      <c r="BD665" s="225"/>
      <c r="BE665" s="225"/>
      <c r="BF665" s="225"/>
      <c r="BG665" s="225"/>
      <c r="BH665" s="225"/>
      <c r="BI665" s="225"/>
      <c r="BJ665" s="225"/>
      <c r="BK665" s="225"/>
    </row>
    <row r="666" spans="48:63" ht="15.75" customHeight="1" x14ac:dyDescent="0.2">
      <c r="AV666" s="225"/>
      <c r="AW666" s="225"/>
      <c r="AX666" s="225"/>
      <c r="AY666" s="225"/>
      <c r="AZ666" s="225"/>
      <c r="BA666" s="225"/>
      <c r="BB666" s="225"/>
      <c r="BC666" s="225"/>
      <c r="BD666" s="225"/>
      <c r="BE666" s="225"/>
      <c r="BF666" s="225"/>
      <c r="BG666" s="225"/>
      <c r="BH666" s="225"/>
      <c r="BI666" s="225"/>
      <c r="BJ666" s="225"/>
      <c r="BK666" s="225"/>
    </row>
    <row r="667" spans="48:63" ht="15.75" customHeight="1" x14ac:dyDescent="0.2">
      <c r="AV667" s="225"/>
      <c r="AW667" s="225"/>
      <c r="AX667" s="225"/>
      <c r="AY667" s="225"/>
      <c r="AZ667" s="225"/>
      <c r="BA667" s="225"/>
      <c r="BB667" s="225"/>
      <c r="BC667" s="225"/>
      <c r="BD667" s="225"/>
      <c r="BE667" s="225"/>
      <c r="BF667" s="225"/>
      <c r="BG667" s="225"/>
      <c r="BH667" s="225"/>
      <c r="BI667" s="225"/>
      <c r="BJ667" s="225"/>
      <c r="BK667" s="225"/>
    </row>
    <row r="668" spans="48:63" ht="15.75" customHeight="1" x14ac:dyDescent="0.2">
      <c r="AV668" s="225"/>
      <c r="AW668" s="225"/>
      <c r="AX668" s="225"/>
      <c r="AY668" s="225"/>
      <c r="AZ668" s="225"/>
      <c r="BA668" s="225"/>
      <c r="BB668" s="225"/>
      <c r="BC668" s="225"/>
      <c r="BD668" s="225"/>
      <c r="BE668" s="225"/>
      <c r="BF668" s="225"/>
      <c r="BG668" s="225"/>
      <c r="BH668" s="225"/>
      <c r="BI668" s="225"/>
      <c r="BJ668" s="225"/>
      <c r="BK668" s="225"/>
    </row>
    <row r="669" spans="48:63" ht="15.75" customHeight="1" x14ac:dyDescent="0.2">
      <c r="AV669" s="225"/>
      <c r="AW669" s="225"/>
      <c r="AX669" s="225"/>
      <c r="AY669" s="225"/>
      <c r="AZ669" s="225"/>
      <c r="BA669" s="225"/>
      <c r="BB669" s="225"/>
      <c r="BC669" s="225"/>
      <c r="BD669" s="225"/>
      <c r="BE669" s="225"/>
      <c r="BF669" s="225"/>
      <c r="BG669" s="225"/>
      <c r="BH669" s="225"/>
      <c r="BI669" s="225"/>
      <c r="BJ669" s="225"/>
      <c r="BK669" s="225"/>
    </row>
    <row r="670" spans="48:63" ht="15.75" customHeight="1" x14ac:dyDescent="0.2">
      <c r="AV670" s="225"/>
      <c r="AW670" s="225"/>
      <c r="AX670" s="225"/>
      <c r="AY670" s="225"/>
      <c r="AZ670" s="225"/>
      <c r="BA670" s="225"/>
      <c r="BB670" s="225"/>
      <c r="BC670" s="225"/>
      <c r="BD670" s="225"/>
      <c r="BE670" s="225"/>
      <c r="BF670" s="225"/>
      <c r="BG670" s="225"/>
      <c r="BH670" s="225"/>
      <c r="BI670" s="225"/>
      <c r="BJ670" s="225"/>
      <c r="BK670" s="225"/>
    </row>
    <row r="671" spans="48:63" ht="15.75" customHeight="1" x14ac:dyDescent="0.2">
      <c r="AV671" s="225"/>
      <c r="AW671" s="225"/>
      <c r="AX671" s="225"/>
      <c r="AY671" s="225"/>
      <c r="AZ671" s="225"/>
      <c r="BA671" s="225"/>
      <c r="BB671" s="225"/>
      <c r="BC671" s="225"/>
      <c r="BD671" s="225"/>
      <c r="BE671" s="225"/>
      <c r="BF671" s="225"/>
      <c r="BG671" s="225"/>
      <c r="BH671" s="225"/>
      <c r="BI671" s="225"/>
      <c r="BJ671" s="225"/>
      <c r="BK671" s="225"/>
    </row>
    <row r="672" spans="48:63" ht="15.75" customHeight="1" x14ac:dyDescent="0.2">
      <c r="AV672" s="225"/>
      <c r="AW672" s="225"/>
      <c r="AX672" s="225"/>
      <c r="AY672" s="225"/>
      <c r="AZ672" s="225"/>
      <c r="BA672" s="225"/>
      <c r="BB672" s="225"/>
      <c r="BC672" s="225"/>
      <c r="BD672" s="225"/>
      <c r="BE672" s="225"/>
      <c r="BF672" s="225"/>
      <c r="BG672" s="225"/>
      <c r="BH672" s="225"/>
      <c r="BI672" s="225"/>
      <c r="BJ672" s="225"/>
      <c r="BK672" s="225"/>
    </row>
    <row r="673" spans="48:63" ht="15.75" customHeight="1" x14ac:dyDescent="0.2">
      <c r="AV673" s="225"/>
      <c r="AW673" s="225"/>
      <c r="AX673" s="225"/>
      <c r="AY673" s="225"/>
      <c r="AZ673" s="225"/>
      <c r="BA673" s="225"/>
      <c r="BB673" s="225"/>
      <c r="BC673" s="225"/>
      <c r="BD673" s="225"/>
      <c r="BE673" s="225"/>
      <c r="BF673" s="225"/>
      <c r="BG673" s="225"/>
      <c r="BH673" s="225"/>
      <c r="BI673" s="225"/>
      <c r="BJ673" s="225"/>
      <c r="BK673" s="225"/>
    </row>
    <row r="674" spans="48:63" ht="15.75" customHeight="1" x14ac:dyDescent="0.2">
      <c r="AV674" s="225"/>
      <c r="AW674" s="225"/>
      <c r="AX674" s="225"/>
      <c r="AY674" s="225"/>
      <c r="AZ674" s="225"/>
      <c r="BA674" s="225"/>
      <c r="BB674" s="225"/>
      <c r="BC674" s="225"/>
      <c r="BD674" s="225"/>
      <c r="BE674" s="225"/>
      <c r="BF674" s="225"/>
      <c r="BG674" s="225"/>
      <c r="BH674" s="225"/>
      <c r="BI674" s="225"/>
      <c r="BJ674" s="225"/>
      <c r="BK674" s="225"/>
    </row>
    <row r="675" spans="48:63" ht="15.75" customHeight="1" x14ac:dyDescent="0.2">
      <c r="AV675" s="225"/>
      <c r="AW675" s="225"/>
      <c r="AX675" s="225"/>
      <c r="AY675" s="225"/>
      <c r="AZ675" s="225"/>
      <c r="BA675" s="225"/>
      <c r="BB675" s="225"/>
      <c r="BC675" s="225"/>
      <c r="BD675" s="225"/>
      <c r="BE675" s="225"/>
      <c r="BF675" s="225"/>
      <c r="BG675" s="225"/>
      <c r="BH675" s="225"/>
      <c r="BI675" s="225"/>
      <c r="BJ675" s="225"/>
      <c r="BK675" s="225"/>
    </row>
    <row r="676" spans="48:63" ht="15.75" customHeight="1" x14ac:dyDescent="0.2">
      <c r="AV676" s="225"/>
      <c r="AW676" s="225"/>
      <c r="AX676" s="225"/>
      <c r="AY676" s="225"/>
      <c r="AZ676" s="225"/>
      <c r="BA676" s="225"/>
      <c r="BB676" s="225"/>
      <c r="BC676" s="225"/>
      <c r="BD676" s="225"/>
      <c r="BE676" s="225"/>
      <c r="BF676" s="225"/>
      <c r="BG676" s="225"/>
      <c r="BH676" s="225"/>
      <c r="BI676" s="225"/>
      <c r="BJ676" s="225"/>
      <c r="BK676" s="225"/>
    </row>
    <row r="677" spans="48:63" ht="15.75" customHeight="1" x14ac:dyDescent="0.2">
      <c r="AV677" s="225"/>
      <c r="AW677" s="225"/>
      <c r="AX677" s="225"/>
      <c r="AY677" s="225"/>
      <c r="AZ677" s="225"/>
      <c r="BA677" s="225"/>
      <c r="BB677" s="225"/>
      <c r="BC677" s="225"/>
      <c r="BD677" s="225"/>
      <c r="BE677" s="225"/>
      <c r="BF677" s="225"/>
      <c r="BG677" s="225"/>
      <c r="BH677" s="225"/>
      <c r="BI677" s="225"/>
      <c r="BJ677" s="225"/>
      <c r="BK677" s="225"/>
    </row>
    <row r="678" spans="48:63" ht="15.75" customHeight="1" x14ac:dyDescent="0.2">
      <c r="AV678" s="225"/>
      <c r="AW678" s="225"/>
      <c r="AX678" s="225"/>
      <c r="AY678" s="225"/>
      <c r="AZ678" s="225"/>
      <c r="BA678" s="225"/>
      <c r="BB678" s="225"/>
      <c r="BC678" s="225"/>
      <c r="BD678" s="225"/>
      <c r="BE678" s="225"/>
      <c r="BF678" s="225"/>
      <c r="BG678" s="225"/>
      <c r="BH678" s="225"/>
      <c r="BI678" s="225"/>
      <c r="BJ678" s="225"/>
      <c r="BK678" s="225"/>
    </row>
    <row r="679" spans="48:63" ht="15.75" customHeight="1" x14ac:dyDescent="0.2">
      <c r="AV679" s="225"/>
      <c r="AW679" s="225"/>
      <c r="AX679" s="225"/>
      <c r="AY679" s="225"/>
      <c r="AZ679" s="225"/>
      <c r="BA679" s="225"/>
      <c r="BB679" s="225"/>
      <c r="BC679" s="225"/>
      <c r="BD679" s="225"/>
      <c r="BE679" s="225"/>
      <c r="BF679" s="225"/>
      <c r="BG679" s="225"/>
      <c r="BH679" s="225"/>
      <c r="BI679" s="225"/>
      <c r="BJ679" s="225"/>
      <c r="BK679" s="225"/>
    </row>
    <row r="680" spans="48:63" ht="15.75" customHeight="1" x14ac:dyDescent="0.2">
      <c r="AV680" s="225"/>
      <c r="AW680" s="225"/>
      <c r="AX680" s="225"/>
      <c r="AY680" s="225"/>
      <c r="AZ680" s="225"/>
      <c r="BA680" s="225"/>
      <c r="BB680" s="225"/>
      <c r="BC680" s="225"/>
      <c r="BD680" s="225"/>
      <c r="BE680" s="225"/>
      <c r="BF680" s="225"/>
      <c r="BG680" s="225"/>
      <c r="BH680" s="225"/>
      <c r="BI680" s="225"/>
      <c r="BJ680" s="225"/>
      <c r="BK680" s="225"/>
    </row>
    <row r="681" spans="48:63" ht="15.75" customHeight="1" x14ac:dyDescent="0.2">
      <c r="AV681" s="225"/>
      <c r="AW681" s="225"/>
      <c r="AX681" s="225"/>
      <c r="AY681" s="225"/>
      <c r="AZ681" s="225"/>
      <c r="BA681" s="225"/>
      <c r="BB681" s="225"/>
      <c r="BC681" s="225"/>
      <c r="BD681" s="225"/>
      <c r="BE681" s="225"/>
      <c r="BF681" s="225"/>
      <c r="BG681" s="225"/>
      <c r="BH681" s="225"/>
      <c r="BI681" s="225"/>
      <c r="BJ681" s="225"/>
      <c r="BK681" s="225"/>
    </row>
    <row r="682" spans="48:63" ht="15.75" customHeight="1" x14ac:dyDescent="0.2">
      <c r="AV682" s="225"/>
      <c r="AW682" s="225"/>
      <c r="AX682" s="225"/>
      <c r="AY682" s="225"/>
      <c r="AZ682" s="225"/>
      <c r="BA682" s="225"/>
      <c r="BB682" s="225"/>
      <c r="BC682" s="225"/>
      <c r="BD682" s="225"/>
      <c r="BE682" s="225"/>
      <c r="BF682" s="225"/>
      <c r="BG682" s="225"/>
      <c r="BH682" s="225"/>
      <c r="BI682" s="225"/>
      <c r="BJ682" s="225"/>
      <c r="BK682" s="225"/>
    </row>
    <row r="683" spans="48:63" ht="15.75" customHeight="1" x14ac:dyDescent="0.2">
      <c r="AV683" s="225"/>
      <c r="AW683" s="225"/>
      <c r="AX683" s="225"/>
      <c r="AY683" s="225"/>
      <c r="AZ683" s="225"/>
      <c r="BA683" s="225"/>
      <c r="BB683" s="225"/>
      <c r="BC683" s="225"/>
      <c r="BD683" s="225"/>
      <c r="BE683" s="225"/>
      <c r="BF683" s="225"/>
      <c r="BG683" s="225"/>
      <c r="BH683" s="225"/>
      <c r="BI683" s="225"/>
      <c r="BJ683" s="225"/>
      <c r="BK683" s="225"/>
    </row>
    <row r="684" spans="48:63" ht="15.75" customHeight="1" x14ac:dyDescent="0.2">
      <c r="AV684" s="225"/>
      <c r="AW684" s="225"/>
      <c r="AX684" s="225"/>
      <c r="AY684" s="225"/>
      <c r="AZ684" s="225"/>
      <c r="BA684" s="225"/>
      <c r="BB684" s="225"/>
      <c r="BC684" s="225"/>
      <c r="BD684" s="225"/>
      <c r="BE684" s="225"/>
      <c r="BF684" s="225"/>
      <c r="BG684" s="225"/>
      <c r="BH684" s="225"/>
      <c r="BI684" s="225"/>
      <c r="BJ684" s="225"/>
      <c r="BK684" s="225"/>
    </row>
    <row r="685" spans="48:63" ht="15.75" customHeight="1" x14ac:dyDescent="0.2">
      <c r="AV685" s="225"/>
      <c r="AW685" s="225"/>
      <c r="AX685" s="225"/>
      <c r="AY685" s="225"/>
      <c r="AZ685" s="225"/>
      <c r="BA685" s="225"/>
      <c r="BB685" s="225"/>
      <c r="BC685" s="225"/>
      <c r="BD685" s="225"/>
      <c r="BE685" s="225"/>
      <c r="BF685" s="225"/>
      <c r="BG685" s="225"/>
      <c r="BH685" s="225"/>
      <c r="BI685" s="225"/>
      <c r="BJ685" s="225"/>
      <c r="BK685" s="225"/>
    </row>
    <row r="686" spans="48:63" ht="15.75" customHeight="1" x14ac:dyDescent="0.2">
      <c r="AV686" s="225"/>
      <c r="AW686" s="225"/>
      <c r="AX686" s="225"/>
      <c r="AY686" s="225"/>
      <c r="AZ686" s="225"/>
      <c r="BA686" s="225"/>
      <c r="BB686" s="225"/>
      <c r="BC686" s="225"/>
      <c r="BD686" s="225"/>
      <c r="BE686" s="225"/>
      <c r="BF686" s="225"/>
      <c r="BG686" s="225"/>
      <c r="BH686" s="225"/>
      <c r="BI686" s="225"/>
      <c r="BJ686" s="225"/>
      <c r="BK686" s="225"/>
    </row>
    <row r="687" spans="48:63" ht="15.75" customHeight="1" x14ac:dyDescent="0.2">
      <c r="AV687" s="225"/>
      <c r="AW687" s="225"/>
      <c r="AX687" s="225"/>
      <c r="AY687" s="225"/>
      <c r="AZ687" s="225"/>
      <c r="BA687" s="225"/>
      <c r="BB687" s="225"/>
      <c r="BC687" s="225"/>
      <c r="BD687" s="225"/>
      <c r="BE687" s="225"/>
      <c r="BF687" s="225"/>
      <c r="BG687" s="225"/>
      <c r="BH687" s="225"/>
      <c r="BI687" s="225"/>
      <c r="BJ687" s="225"/>
      <c r="BK687" s="225"/>
    </row>
    <row r="688" spans="48:63" ht="15.75" customHeight="1" x14ac:dyDescent="0.2">
      <c r="AV688" s="225"/>
      <c r="AW688" s="225"/>
      <c r="AX688" s="225"/>
      <c r="AY688" s="225"/>
      <c r="AZ688" s="225"/>
      <c r="BA688" s="225"/>
      <c r="BB688" s="225"/>
      <c r="BC688" s="225"/>
      <c r="BD688" s="225"/>
      <c r="BE688" s="225"/>
      <c r="BF688" s="225"/>
      <c r="BG688" s="225"/>
      <c r="BH688" s="225"/>
      <c r="BI688" s="225"/>
      <c r="BJ688" s="225"/>
      <c r="BK688" s="225"/>
    </row>
    <row r="689" spans="48:63" ht="15.75" customHeight="1" x14ac:dyDescent="0.2">
      <c r="AV689" s="225"/>
      <c r="AW689" s="225"/>
      <c r="AX689" s="225"/>
      <c r="AY689" s="225"/>
      <c r="AZ689" s="225"/>
      <c r="BA689" s="225"/>
      <c r="BB689" s="225"/>
      <c r="BC689" s="225"/>
      <c r="BD689" s="225"/>
      <c r="BE689" s="225"/>
      <c r="BF689" s="225"/>
      <c r="BG689" s="225"/>
      <c r="BH689" s="225"/>
      <c r="BI689" s="225"/>
      <c r="BJ689" s="225"/>
      <c r="BK689" s="225"/>
    </row>
    <row r="690" spans="48:63" ht="15.75" customHeight="1" x14ac:dyDescent="0.2">
      <c r="AV690" s="225"/>
      <c r="AW690" s="225"/>
      <c r="AX690" s="225"/>
      <c r="AY690" s="225"/>
      <c r="AZ690" s="225"/>
      <c r="BA690" s="225"/>
      <c r="BB690" s="225"/>
      <c r="BC690" s="225"/>
      <c r="BD690" s="225"/>
      <c r="BE690" s="225"/>
      <c r="BF690" s="225"/>
      <c r="BG690" s="225"/>
      <c r="BH690" s="225"/>
      <c r="BI690" s="225"/>
      <c r="BJ690" s="225"/>
      <c r="BK690" s="225"/>
    </row>
    <row r="691" spans="48:63" ht="15.75" customHeight="1" x14ac:dyDescent="0.2">
      <c r="AV691" s="225"/>
      <c r="AW691" s="225"/>
      <c r="AX691" s="225"/>
      <c r="AY691" s="225"/>
      <c r="AZ691" s="225"/>
      <c r="BA691" s="225"/>
      <c r="BB691" s="225"/>
      <c r="BC691" s="225"/>
      <c r="BD691" s="225"/>
      <c r="BE691" s="225"/>
      <c r="BF691" s="225"/>
      <c r="BG691" s="225"/>
      <c r="BH691" s="225"/>
      <c r="BI691" s="225"/>
      <c r="BJ691" s="225"/>
      <c r="BK691" s="225"/>
    </row>
    <row r="692" spans="48:63" ht="15.75" customHeight="1" x14ac:dyDescent="0.2">
      <c r="AV692" s="225"/>
      <c r="AW692" s="225"/>
      <c r="AX692" s="225"/>
      <c r="AY692" s="225"/>
      <c r="AZ692" s="225"/>
      <c r="BA692" s="225"/>
      <c r="BB692" s="225"/>
      <c r="BC692" s="225"/>
      <c r="BD692" s="225"/>
      <c r="BE692" s="225"/>
      <c r="BF692" s="225"/>
      <c r="BG692" s="225"/>
      <c r="BH692" s="225"/>
      <c r="BI692" s="225"/>
      <c r="BJ692" s="225"/>
      <c r="BK692" s="225"/>
    </row>
    <row r="693" spans="48:63" ht="15.75" customHeight="1" x14ac:dyDescent="0.2">
      <c r="AV693" s="225"/>
      <c r="AW693" s="225"/>
      <c r="AX693" s="225"/>
      <c r="AY693" s="225"/>
      <c r="AZ693" s="225"/>
      <c r="BA693" s="225"/>
      <c r="BB693" s="225"/>
      <c r="BC693" s="225"/>
      <c r="BD693" s="225"/>
      <c r="BE693" s="225"/>
      <c r="BF693" s="225"/>
      <c r="BG693" s="225"/>
      <c r="BH693" s="225"/>
      <c r="BI693" s="225"/>
      <c r="BJ693" s="225"/>
      <c r="BK693" s="225"/>
    </row>
    <row r="694" spans="48:63" ht="15.75" customHeight="1" x14ac:dyDescent="0.2">
      <c r="AV694" s="225"/>
      <c r="AW694" s="225"/>
      <c r="AX694" s="225"/>
      <c r="AY694" s="225"/>
      <c r="AZ694" s="225"/>
      <c r="BA694" s="225"/>
      <c r="BB694" s="225"/>
      <c r="BC694" s="225"/>
      <c r="BD694" s="225"/>
      <c r="BE694" s="225"/>
      <c r="BF694" s="225"/>
      <c r="BG694" s="225"/>
      <c r="BH694" s="225"/>
      <c r="BI694" s="225"/>
      <c r="BJ694" s="225"/>
      <c r="BK694" s="225"/>
    </row>
    <row r="695" spans="48:63" ht="15.75" customHeight="1" x14ac:dyDescent="0.2">
      <c r="AV695" s="225"/>
      <c r="AW695" s="225"/>
      <c r="AX695" s="225"/>
      <c r="AY695" s="225"/>
      <c r="AZ695" s="225"/>
      <c r="BA695" s="225"/>
      <c r="BB695" s="225"/>
      <c r="BC695" s="225"/>
      <c r="BD695" s="225"/>
      <c r="BE695" s="225"/>
      <c r="BF695" s="225"/>
      <c r="BG695" s="225"/>
      <c r="BH695" s="225"/>
      <c r="BI695" s="225"/>
      <c r="BJ695" s="225"/>
      <c r="BK695" s="225"/>
    </row>
    <row r="696" spans="48:63" ht="15.75" customHeight="1" x14ac:dyDescent="0.2">
      <c r="AV696" s="225"/>
      <c r="AW696" s="225"/>
      <c r="AX696" s="225"/>
      <c r="AY696" s="225"/>
      <c r="AZ696" s="225"/>
      <c r="BA696" s="225"/>
      <c r="BB696" s="225"/>
      <c r="BC696" s="225"/>
      <c r="BD696" s="225"/>
      <c r="BE696" s="225"/>
      <c r="BF696" s="225"/>
      <c r="BG696" s="225"/>
      <c r="BH696" s="225"/>
      <c r="BI696" s="225"/>
      <c r="BJ696" s="225"/>
      <c r="BK696" s="225"/>
    </row>
    <row r="697" spans="48:63" ht="15.75" customHeight="1" x14ac:dyDescent="0.2">
      <c r="AV697" s="225"/>
      <c r="AW697" s="225"/>
      <c r="AX697" s="225"/>
      <c r="AY697" s="225"/>
      <c r="AZ697" s="225"/>
      <c r="BA697" s="225"/>
      <c r="BB697" s="225"/>
      <c r="BC697" s="225"/>
      <c r="BD697" s="225"/>
      <c r="BE697" s="225"/>
      <c r="BF697" s="225"/>
      <c r="BG697" s="225"/>
      <c r="BH697" s="225"/>
      <c r="BI697" s="225"/>
      <c r="BJ697" s="225"/>
      <c r="BK697" s="225"/>
    </row>
    <row r="698" spans="48:63" ht="15.75" customHeight="1" x14ac:dyDescent="0.2">
      <c r="AV698" s="225"/>
      <c r="AW698" s="225"/>
      <c r="AX698" s="225"/>
      <c r="AY698" s="225"/>
      <c r="AZ698" s="225"/>
      <c r="BA698" s="225"/>
      <c r="BB698" s="225"/>
      <c r="BC698" s="225"/>
      <c r="BD698" s="225"/>
      <c r="BE698" s="225"/>
      <c r="BF698" s="225"/>
      <c r="BG698" s="225"/>
      <c r="BH698" s="225"/>
      <c r="BI698" s="225"/>
      <c r="BJ698" s="225"/>
      <c r="BK698" s="225"/>
    </row>
    <row r="699" spans="48:63" ht="15.75" customHeight="1" x14ac:dyDescent="0.2">
      <c r="AV699" s="225"/>
      <c r="AW699" s="225"/>
      <c r="AX699" s="225"/>
      <c r="AY699" s="225"/>
      <c r="AZ699" s="225"/>
      <c r="BA699" s="225"/>
      <c r="BB699" s="225"/>
      <c r="BC699" s="225"/>
      <c r="BD699" s="225"/>
      <c r="BE699" s="225"/>
      <c r="BF699" s="225"/>
      <c r="BG699" s="225"/>
      <c r="BH699" s="225"/>
      <c r="BI699" s="225"/>
      <c r="BJ699" s="225"/>
      <c r="BK699" s="225"/>
    </row>
    <row r="700" spans="48:63" ht="15.75" customHeight="1" x14ac:dyDescent="0.2">
      <c r="AV700" s="225"/>
      <c r="AW700" s="225"/>
      <c r="AX700" s="225"/>
      <c r="AY700" s="225"/>
      <c r="AZ700" s="225"/>
      <c r="BA700" s="225"/>
      <c r="BB700" s="225"/>
      <c r="BC700" s="225"/>
      <c r="BD700" s="225"/>
      <c r="BE700" s="225"/>
      <c r="BF700" s="225"/>
      <c r="BG700" s="225"/>
      <c r="BH700" s="225"/>
      <c r="BI700" s="225"/>
      <c r="BJ700" s="225"/>
      <c r="BK700" s="225"/>
    </row>
    <row r="701" spans="48:63" ht="15.75" customHeight="1" x14ac:dyDescent="0.2">
      <c r="AV701" s="225"/>
      <c r="AW701" s="225"/>
      <c r="AX701" s="225"/>
      <c r="AY701" s="225"/>
      <c r="AZ701" s="225"/>
      <c r="BA701" s="225"/>
      <c r="BB701" s="225"/>
      <c r="BC701" s="225"/>
      <c r="BD701" s="225"/>
      <c r="BE701" s="225"/>
      <c r="BF701" s="225"/>
      <c r="BG701" s="225"/>
      <c r="BH701" s="225"/>
      <c r="BI701" s="225"/>
      <c r="BJ701" s="225"/>
      <c r="BK701" s="225"/>
    </row>
    <row r="702" spans="48:63" ht="15.75" customHeight="1" x14ac:dyDescent="0.2">
      <c r="AV702" s="225"/>
      <c r="AW702" s="225"/>
      <c r="AX702" s="225"/>
      <c r="AY702" s="225"/>
      <c r="AZ702" s="225"/>
      <c r="BA702" s="225"/>
      <c r="BB702" s="225"/>
      <c r="BC702" s="225"/>
      <c r="BD702" s="225"/>
      <c r="BE702" s="225"/>
      <c r="BF702" s="225"/>
      <c r="BG702" s="225"/>
      <c r="BH702" s="225"/>
      <c r="BI702" s="225"/>
      <c r="BJ702" s="225"/>
      <c r="BK702" s="225"/>
    </row>
    <row r="703" spans="48:63" ht="15.75" customHeight="1" x14ac:dyDescent="0.2">
      <c r="AV703" s="225"/>
      <c r="AW703" s="225"/>
      <c r="AX703" s="225"/>
      <c r="AY703" s="225"/>
      <c r="AZ703" s="225"/>
      <c r="BA703" s="225"/>
      <c r="BB703" s="225"/>
      <c r="BC703" s="225"/>
      <c r="BD703" s="225"/>
      <c r="BE703" s="225"/>
      <c r="BF703" s="225"/>
      <c r="BG703" s="225"/>
      <c r="BH703" s="225"/>
      <c r="BI703" s="225"/>
      <c r="BJ703" s="225"/>
      <c r="BK703" s="225"/>
    </row>
    <row r="704" spans="48:63" ht="15.75" customHeight="1" x14ac:dyDescent="0.2">
      <c r="AV704" s="225"/>
      <c r="AW704" s="225"/>
      <c r="AX704" s="225"/>
      <c r="AY704" s="225"/>
      <c r="AZ704" s="225"/>
      <c r="BA704" s="225"/>
      <c r="BB704" s="225"/>
      <c r="BC704" s="225"/>
      <c r="BD704" s="225"/>
      <c r="BE704" s="225"/>
      <c r="BF704" s="225"/>
      <c r="BG704" s="225"/>
      <c r="BH704" s="225"/>
      <c r="BI704" s="225"/>
      <c r="BJ704" s="225"/>
      <c r="BK704" s="225"/>
    </row>
    <row r="705" spans="48:63" ht="15.75" customHeight="1" x14ac:dyDescent="0.2">
      <c r="AV705" s="225"/>
      <c r="AW705" s="225"/>
      <c r="AX705" s="225"/>
      <c r="AY705" s="225"/>
      <c r="AZ705" s="225"/>
      <c r="BA705" s="225"/>
      <c r="BB705" s="225"/>
      <c r="BC705" s="225"/>
      <c r="BD705" s="225"/>
      <c r="BE705" s="225"/>
      <c r="BF705" s="225"/>
      <c r="BG705" s="225"/>
      <c r="BH705" s="225"/>
      <c r="BI705" s="225"/>
      <c r="BJ705" s="225"/>
      <c r="BK705" s="225"/>
    </row>
    <row r="706" spans="48:63" ht="15.75" customHeight="1" x14ac:dyDescent="0.2">
      <c r="AV706" s="225"/>
      <c r="AW706" s="225"/>
      <c r="AX706" s="225"/>
      <c r="AY706" s="225"/>
      <c r="AZ706" s="225"/>
      <c r="BA706" s="225"/>
      <c r="BB706" s="225"/>
      <c r="BC706" s="225"/>
      <c r="BD706" s="225"/>
      <c r="BE706" s="225"/>
      <c r="BF706" s="225"/>
      <c r="BG706" s="225"/>
      <c r="BH706" s="225"/>
      <c r="BI706" s="225"/>
      <c r="BJ706" s="225"/>
      <c r="BK706" s="225"/>
    </row>
    <row r="707" spans="48:63" ht="15.75" customHeight="1" x14ac:dyDescent="0.2">
      <c r="AV707" s="225"/>
      <c r="AW707" s="225"/>
      <c r="AX707" s="225"/>
      <c r="AY707" s="225"/>
      <c r="AZ707" s="225"/>
      <c r="BA707" s="225"/>
      <c r="BB707" s="225"/>
      <c r="BC707" s="225"/>
      <c r="BD707" s="225"/>
      <c r="BE707" s="225"/>
      <c r="BF707" s="225"/>
      <c r="BG707" s="225"/>
      <c r="BH707" s="225"/>
      <c r="BI707" s="225"/>
      <c r="BJ707" s="225"/>
      <c r="BK707" s="225"/>
    </row>
    <row r="708" spans="48:63" ht="15.75" customHeight="1" x14ac:dyDescent="0.2">
      <c r="AV708" s="225"/>
      <c r="AW708" s="225"/>
      <c r="AX708" s="225"/>
      <c r="AY708" s="225"/>
      <c r="AZ708" s="225"/>
      <c r="BA708" s="225"/>
      <c r="BB708" s="225"/>
      <c r="BC708" s="225"/>
      <c r="BD708" s="225"/>
      <c r="BE708" s="225"/>
      <c r="BF708" s="225"/>
      <c r="BG708" s="225"/>
      <c r="BH708" s="225"/>
      <c r="BI708" s="225"/>
      <c r="BJ708" s="225"/>
      <c r="BK708" s="225"/>
    </row>
    <row r="709" spans="48:63" ht="15.75" customHeight="1" x14ac:dyDescent="0.2">
      <c r="AV709" s="225"/>
      <c r="AW709" s="225"/>
      <c r="AX709" s="225"/>
      <c r="AY709" s="225"/>
      <c r="AZ709" s="225"/>
      <c r="BA709" s="225"/>
      <c r="BB709" s="225"/>
      <c r="BC709" s="225"/>
      <c r="BD709" s="225"/>
      <c r="BE709" s="225"/>
      <c r="BF709" s="225"/>
      <c r="BG709" s="225"/>
      <c r="BH709" s="225"/>
      <c r="BI709" s="225"/>
      <c r="BJ709" s="225"/>
      <c r="BK709" s="225"/>
    </row>
    <row r="710" spans="48:63" ht="15.75" customHeight="1" x14ac:dyDescent="0.2">
      <c r="AV710" s="225"/>
      <c r="AW710" s="225"/>
      <c r="AX710" s="225"/>
      <c r="AY710" s="225"/>
      <c r="AZ710" s="225"/>
      <c r="BA710" s="225"/>
      <c r="BB710" s="225"/>
      <c r="BC710" s="225"/>
      <c r="BD710" s="225"/>
      <c r="BE710" s="225"/>
      <c r="BF710" s="225"/>
      <c r="BG710" s="225"/>
      <c r="BH710" s="225"/>
      <c r="BI710" s="225"/>
      <c r="BJ710" s="225"/>
      <c r="BK710" s="225"/>
    </row>
    <row r="711" spans="48:63" ht="15.75" customHeight="1" x14ac:dyDescent="0.2">
      <c r="AV711" s="225"/>
      <c r="AW711" s="225"/>
      <c r="AX711" s="225"/>
      <c r="AY711" s="225"/>
      <c r="AZ711" s="225"/>
      <c r="BA711" s="225"/>
      <c r="BB711" s="225"/>
      <c r="BC711" s="225"/>
      <c r="BD711" s="225"/>
      <c r="BE711" s="225"/>
      <c r="BF711" s="225"/>
      <c r="BG711" s="225"/>
      <c r="BH711" s="225"/>
      <c r="BI711" s="225"/>
      <c r="BJ711" s="225"/>
      <c r="BK711" s="225"/>
    </row>
    <row r="712" spans="48:63" ht="15.75" customHeight="1" x14ac:dyDescent="0.2">
      <c r="AV712" s="225"/>
      <c r="AW712" s="225"/>
      <c r="AX712" s="225"/>
      <c r="AY712" s="225"/>
      <c r="AZ712" s="225"/>
      <c r="BA712" s="225"/>
      <c r="BB712" s="225"/>
      <c r="BC712" s="225"/>
      <c r="BD712" s="225"/>
      <c r="BE712" s="225"/>
      <c r="BF712" s="225"/>
      <c r="BG712" s="225"/>
      <c r="BH712" s="225"/>
      <c r="BI712" s="225"/>
      <c r="BJ712" s="225"/>
      <c r="BK712" s="225"/>
    </row>
    <row r="713" spans="48:63" ht="15.75" customHeight="1" x14ac:dyDescent="0.2">
      <c r="AV713" s="225"/>
      <c r="AW713" s="225"/>
      <c r="AX713" s="225"/>
      <c r="AY713" s="225"/>
      <c r="AZ713" s="225"/>
      <c r="BA713" s="225"/>
      <c r="BB713" s="225"/>
      <c r="BC713" s="225"/>
      <c r="BD713" s="225"/>
      <c r="BE713" s="225"/>
      <c r="BF713" s="225"/>
      <c r="BG713" s="225"/>
      <c r="BH713" s="225"/>
      <c r="BI713" s="225"/>
      <c r="BJ713" s="225"/>
      <c r="BK713" s="225"/>
    </row>
    <row r="714" spans="48:63" ht="15.75" customHeight="1" x14ac:dyDescent="0.2">
      <c r="AV714" s="225"/>
      <c r="AW714" s="225"/>
      <c r="AX714" s="225"/>
      <c r="AY714" s="225"/>
      <c r="AZ714" s="225"/>
      <c r="BA714" s="225"/>
      <c r="BB714" s="225"/>
      <c r="BC714" s="225"/>
      <c r="BD714" s="225"/>
      <c r="BE714" s="225"/>
      <c r="BF714" s="225"/>
      <c r="BG714" s="225"/>
      <c r="BH714" s="225"/>
      <c r="BI714" s="225"/>
      <c r="BJ714" s="225"/>
      <c r="BK714" s="225"/>
    </row>
    <row r="715" spans="48:63" ht="15.75" customHeight="1" x14ac:dyDescent="0.2">
      <c r="AV715" s="225"/>
      <c r="AW715" s="225"/>
      <c r="AX715" s="225"/>
      <c r="AY715" s="225"/>
      <c r="AZ715" s="225"/>
      <c r="BA715" s="225"/>
      <c r="BB715" s="225"/>
      <c r="BC715" s="225"/>
      <c r="BD715" s="225"/>
      <c r="BE715" s="225"/>
      <c r="BF715" s="225"/>
      <c r="BG715" s="225"/>
      <c r="BH715" s="225"/>
      <c r="BI715" s="225"/>
      <c r="BJ715" s="225"/>
      <c r="BK715" s="225"/>
    </row>
    <row r="716" spans="48:63" ht="15.75" customHeight="1" x14ac:dyDescent="0.2">
      <c r="AV716" s="225"/>
      <c r="AW716" s="225"/>
      <c r="AX716" s="225"/>
      <c r="AY716" s="225"/>
      <c r="AZ716" s="225"/>
      <c r="BA716" s="225"/>
      <c r="BB716" s="225"/>
      <c r="BC716" s="225"/>
      <c r="BD716" s="225"/>
      <c r="BE716" s="225"/>
      <c r="BF716" s="225"/>
      <c r="BG716" s="225"/>
      <c r="BH716" s="225"/>
      <c r="BI716" s="225"/>
      <c r="BJ716" s="225"/>
      <c r="BK716" s="225"/>
    </row>
    <row r="717" spans="48:63" ht="15.75" customHeight="1" x14ac:dyDescent="0.2">
      <c r="AV717" s="225"/>
      <c r="AW717" s="225"/>
      <c r="AX717" s="225"/>
      <c r="AY717" s="225"/>
      <c r="AZ717" s="225"/>
      <c r="BA717" s="225"/>
      <c r="BB717" s="225"/>
      <c r="BC717" s="225"/>
      <c r="BD717" s="225"/>
      <c r="BE717" s="225"/>
      <c r="BF717" s="225"/>
      <c r="BG717" s="225"/>
      <c r="BH717" s="225"/>
      <c r="BI717" s="225"/>
      <c r="BJ717" s="225"/>
      <c r="BK717" s="225"/>
    </row>
    <row r="718" spans="48:63" ht="15.75" customHeight="1" x14ac:dyDescent="0.2">
      <c r="AV718" s="225"/>
      <c r="AW718" s="225"/>
      <c r="AX718" s="225"/>
      <c r="AY718" s="225"/>
      <c r="AZ718" s="225"/>
      <c r="BA718" s="225"/>
      <c r="BB718" s="225"/>
      <c r="BC718" s="225"/>
      <c r="BD718" s="225"/>
      <c r="BE718" s="225"/>
      <c r="BF718" s="225"/>
      <c r="BG718" s="225"/>
      <c r="BH718" s="225"/>
      <c r="BI718" s="225"/>
      <c r="BJ718" s="225"/>
      <c r="BK718" s="225"/>
    </row>
    <row r="719" spans="48:63" ht="15.75" customHeight="1" x14ac:dyDescent="0.2">
      <c r="AV719" s="225"/>
      <c r="AW719" s="225"/>
      <c r="AX719" s="225"/>
      <c r="AY719" s="225"/>
      <c r="AZ719" s="225"/>
      <c r="BA719" s="225"/>
      <c r="BB719" s="225"/>
      <c r="BC719" s="225"/>
      <c r="BD719" s="225"/>
      <c r="BE719" s="225"/>
      <c r="BF719" s="225"/>
      <c r="BG719" s="225"/>
      <c r="BH719" s="225"/>
      <c r="BI719" s="225"/>
      <c r="BJ719" s="225"/>
      <c r="BK719" s="225"/>
    </row>
    <row r="720" spans="48:63" ht="15.75" customHeight="1" x14ac:dyDescent="0.2">
      <c r="AV720" s="225"/>
      <c r="AW720" s="225"/>
      <c r="AX720" s="225"/>
      <c r="AY720" s="225"/>
      <c r="AZ720" s="225"/>
      <c r="BA720" s="225"/>
      <c r="BB720" s="225"/>
      <c r="BC720" s="225"/>
      <c r="BD720" s="225"/>
      <c r="BE720" s="225"/>
      <c r="BF720" s="225"/>
      <c r="BG720" s="225"/>
      <c r="BH720" s="225"/>
      <c r="BI720" s="225"/>
      <c r="BJ720" s="225"/>
      <c r="BK720" s="225"/>
    </row>
    <row r="721" spans="48:63" ht="15.75" customHeight="1" x14ac:dyDescent="0.2">
      <c r="AV721" s="225"/>
      <c r="AW721" s="225"/>
      <c r="AX721" s="225"/>
      <c r="AY721" s="225"/>
      <c r="AZ721" s="225"/>
      <c r="BA721" s="225"/>
      <c r="BB721" s="225"/>
      <c r="BC721" s="225"/>
      <c r="BD721" s="225"/>
      <c r="BE721" s="225"/>
      <c r="BF721" s="225"/>
      <c r="BG721" s="225"/>
      <c r="BH721" s="225"/>
      <c r="BI721" s="225"/>
      <c r="BJ721" s="225"/>
      <c r="BK721" s="225"/>
    </row>
    <row r="722" spans="48:63" ht="15.75" customHeight="1" x14ac:dyDescent="0.2">
      <c r="AV722" s="225"/>
      <c r="AW722" s="225"/>
      <c r="AX722" s="225"/>
      <c r="AY722" s="225"/>
      <c r="AZ722" s="225"/>
      <c r="BA722" s="225"/>
      <c r="BB722" s="225"/>
      <c r="BC722" s="225"/>
      <c r="BD722" s="225"/>
      <c r="BE722" s="225"/>
      <c r="BF722" s="225"/>
      <c r="BG722" s="225"/>
      <c r="BH722" s="225"/>
      <c r="BI722" s="225"/>
      <c r="BJ722" s="225"/>
      <c r="BK722" s="225"/>
    </row>
    <row r="723" spans="48:63" ht="15.75" customHeight="1" x14ac:dyDescent="0.2">
      <c r="AV723" s="225"/>
      <c r="AW723" s="225"/>
      <c r="AX723" s="225"/>
      <c r="AY723" s="225"/>
      <c r="AZ723" s="225"/>
      <c r="BA723" s="225"/>
      <c r="BB723" s="225"/>
      <c r="BC723" s="225"/>
      <c r="BD723" s="225"/>
      <c r="BE723" s="225"/>
      <c r="BF723" s="225"/>
      <c r="BG723" s="225"/>
      <c r="BH723" s="225"/>
      <c r="BI723" s="225"/>
      <c r="BJ723" s="225"/>
      <c r="BK723" s="225"/>
    </row>
    <row r="724" spans="48:63" ht="15.75" customHeight="1" x14ac:dyDescent="0.2">
      <c r="AV724" s="225"/>
      <c r="AW724" s="225"/>
      <c r="AX724" s="225"/>
      <c r="AY724" s="225"/>
      <c r="AZ724" s="225"/>
      <c r="BA724" s="225"/>
      <c r="BB724" s="225"/>
      <c r="BC724" s="225"/>
      <c r="BD724" s="225"/>
      <c r="BE724" s="225"/>
      <c r="BF724" s="225"/>
      <c r="BG724" s="225"/>
      <c r="BH724" s="225"/>
      <c r="BI724" s="225"/>
      <c r="BJ724" s="225"/>
      <c r="BK724" s="225"/>
    </row>
    <row r="725" spans="48:63" ht="15.75" customHeight="1" x14ac:dyDescent="0.2">
      <c r="AV725" s="225"/>
      <c r="AW725" s="225"/>
      <c r="AX725" s="225"/>
      <c r="AY725" s="225"/>
      <c r="AZ725" s="225"/>
      <c r="BA725" s="225"/>
      <c r="BB725" s="225"/>
      <c r="BC725" s="225"/>
      <c r="BD725" s="225"/>
      <c r="BE725" s="225"/>
      <c r="BF725" s="225"/>
      <c r="BG725" s="225"/>
      <c r="BH725" s="225"/>
      <c r="BI725" s="225"/>
      <c r="BJ725" s="225"/>
      <c r="BK725" s="225"/>
    </row>
    <row r="726" spans="48:63" ht="15.75" customHeight="1" x14ac:dyDescent="0.2">
      <c r="AV726" s="225"/>
      <c r="AW726" s="225"/>
      <c r="AX726" s="225"/>
      <c r="AY726" s="225"/>
      <c r="AZ726" s="225"/>
      <c r="BA726" s="225"/>
      <c r="BB726" s="225"/>
      <c r="BC726" s="225"/>
      <c r="BD726" s="225"/>
      <c r="BE726" s="225"/>
      <c r="BF726" s="225"/>
      <c r="BG726" s="225"/>
      <c r="BH726" s="225"/>
      <c r="BI726" s="225"/>
      <c r="BJ726" s="225"/>
      <c r="BK726" s="225"/>
    </row>
    <row r="727" spans="48:63" ht="15.75" customHeight="1" x14ac:dyDescent="0.2">
      <c r="AV727" s="225"/>
      <c r="AW727" s="225"/>
      <c r="AX727" s="225"/>
      <c r="AY727" s="225"/>
      <c r="AZ727" s="225"/>
      <c r="BA727" s="225"/>
      <c r="BB727" s="225"/>
      <c r="BC727" s="225"/>
      <c r="BD727" s="225"/>
      <c r="BE727" s="225"/>
      <c r="BF727" s="225"/>
      <c r="BG727" s="225"/>
      <c r="BH727" s="225"/>
      <c r="BI727" s="225"/>
      <c r="BJ727" s="225"/>
      <c r="BK727" s="225"/>
    </row>
    <row r="728" spans="48:63" ht="15.75" customHeight="1" x14ac:dyDescent="0.2">
      <c r="AV728" s="225"/>
      <c r="AW728" s="225"/>
      <c r="AX728" s="225"/>
      <c r="AY728" s="225"/>
      <c r="AZ728" s="225"/>
      <c r="BA728" s="225"/>
      <c r="BB728" s="225"/>
      <c r="BC728" s="225"/>
      <c r="BD728" s="225"/>
      <c r="BE728" s="225"/>
      <c r="BF728" s="225"/>
      <c r="BG728" s="225"/>
      <c r="BH728" s="225"/>
      <c r="BI728" s="225"/>
      <c r="BJ728" s="225"/>
      <c r="BK728" s="225"/>
    </row>
    <row r="729" spans="48:63" ht="15.75" customHeight="1" x14ac:dyDescent="0.2">
      <c r="AV729" s="225"/>
      <c r="AW729" s="225"/>
      <c r="AX729" s="225"/>
      <c r="AY729" s="225"/>
      <c r="AZ729" s="225"/>
      <c r="BA729" s="225"/>
      <c r="BB729" s="225"/>
      <c r="BC729" s="225"/>
      <c r="BD729" s="225"/>
      <c r="BE729" s="225"/>
      <c r="BF729" s="225"/>
      <c r="BG729" s="225"/>
      <c r="BH729" s="225"/>
      <c r="BI729" s="225"/>
      <c r="BJ729" s="225"/>
      <c r="BK729" s="225"/>
    </row>
    <row r="730" spans="48:63" ht="15.75" customHeight="1" x14ac:dyDescent="0.2">
      <c r="AV730" s="225"/>
      <c r="AW730" s="225"/>
      <c r="AX730" s="225"/>
      <c r="AY730" s="225"/>
      <c r="AZ730" s="225"/>
      <c r="BA730" s="225"/>
      <c r="BB730" s="225"/>
      <c r="BC730" s="225"/>
      <c r="BD730" s="225"/>
      <c r="BE730" s="225"/>
      <c r="BF730" s="225"/>
      <c r="BG730" s="225"/>
      <c r="BH730" s="225"/>
      <c r="BI730" s="225"/>
      <c r="BJ730" s="225"/>
      <c r="BK730" s="225"/>
    </row>
    <row r="731" spans="48:63" ht="15.75" customHeight="1" x14ac:dyDescent="0.2">
      <c r="AV731" s="225"/>
      <c r="AW731" s="225"/>
      <c r="AX731" s="225"/>
      <c r="AY731" s="225"/>
      <c r="AZ731" s="225"/>
      <c r="BA731" s="225"/>
      <c r="BB731" s="225"/>
      <c r="BC731" s="225"/>
      <c r="BD731" s="225"/>
      <c r="BE731" s="225"/>
      <c r="BF731" s="225"/>
      <c r="BG731" s="225"/>
      <c r="BH731" s="225"/>
      <c r="BI731" s="225"/>
      <c r="BJ731" s="225"/>
      <c r="BK731" s="225"/>
    </row>
    <row r="732" spans="48:63" ht="15.75" customHeight="1" x14ac:dyDescent="0.2">
      <c r="AV732" s="225"/>
      <c r="AW732" s="225"/>
      <c r="AX732" s="225"/>
      <c r="AY732" s="225"/>
      <c r="AZ732" s="225"/>
      <c r="BA732" s="225"/>
      <c r="BB732" s="225"/>
      <c r="BC732" s="225"/>
      <c r="BD732" s="225"/>
      <c r="BE732" s="225"/>
      <c r="BF732" s="225"/>
      <c r="BG732" s="225"/>
      <c r="BH732" s="225"/>
      <c r="BI732" s="225"/>
      <c r="BJ732" s="225"/>
      <c r="BK732" s="225"/>
    </row>
    <row r="733" spans="48:63" ht="15.75" customHeight="1" x14ac:dyDescent="0.2">
      <c r="AV733" s="225"/>
      <c r="AW733" s="225"/>
      <c r="AX733" s="225"/>
      <c r="AY733" s="225"/>
      <c r="AZ733" s="225"/>
      <c r="BA733" s="225"/>
      <c r="BB733" s="225"/>
      <c r="BC733" s="225"/>
      <c r="BD733" s="225"/>
      <c r="BE733" s="225"/>
      <c r="BF733" s="225"/>
      <c r="BG733" s="225"/>
      <c r="BH733" s="225"/>
      <c r="BI733" s="225"/>
      <c r="BJ733" s="225"/>
      <c r="BK733" s="225"/>
    </row>
    <row r="734" spans="48:63" ht="15.75" customHeight="1" x14ac:dyDescent="0.2">
      <c r="AV734" s="225"/>
      <c r="AW734" s="225"/>
      <c r="AX734" s="225"/>
      <c r="AY734" s="225"/>
      <c r="AZ734" s="225"/>
      <c r="BA734" s="225"/>
      <c r="BB734" s="225"/>
      <c r="BC734" s="225"/>
      <c r="BD734" s="225"/>
      <c r="BE734" s="225"/>
      <c r="BF734" s="225"/>
      <c r="BG734" s="225"/>
      <c r="BH734" s="225"/>
      <c r="BI734" s="225"/>
      <c r="BJ734" s="225"/>
      <c r="BK734" s="225"/>
    </row>
    <row r="735" spans="48:63" ht="15.75" customHeight="1" x14ac:dyDescent="0.2">
      <c r="AV735" s="225"/>
      <c r="AW735" s="225"/>
      <c r="AX735" s="225"/>
      <c r="AY735" s="225"/>
      <c r="AZ735" s="225"/>
      <c r="BA735" s="225"/>
      <c r="BB735" s="225"/>
      <c r="BC735" s="225"/>
      <c r="BD735" s="225"/>
      <c r="BE735" s="225"/>
      <c r="BF735" s="225"/>
      <c r="BG735" s="225"/>
      <c r="BH735" s="225"/>
      <c r="BI735" s="225"/>
      <c r="BJ735" s="225"/>
      <c r="BK735" s="225"/>
    </row>
    <row r="736" spans="48:63" ht="15.75" customHeight="1" x14ac:dyDescent="0.2">
      <c r="AV736" s="225"/>
      <c r="AW736" s="225"/>
      <c r="AX736" s="225"/>
      <c r="AY736" s="225"/>
      <c r="AZ736" s="225"/>
      <c r="BA736" s="225"/>
      <c r="BB736" s="225"/>
      <c r="BC736" s="225"/>
      <c r="BD736" s="225"/>
      <c r="BE736" s="225"/>
      <c r="BF736" s="225"/>
      <c r="BG736" s="225"/>
      <c r="BH736" s="225"/>
      <c r="BI736" s="225"/>
      <c r="BJ736" s="225"/>
      <c r="BK736" s="225"/>
    </row>
    <row r="737" spans="48:63" ht="15.75" customHeight="1" x14ac:dyDescent="0.2">
      <c r="AV737" s="225"/>
      <c r="AW737" s="225"/>
      <c r="AX737" s="225"/>
      <c r="AY737" s="225"/>
      <c r="AZ737" s="225"/>
      <c r="BA737" s="225"/>
      <c r="BB737" s="225"/>
      <c r="BC737" s="225"/>
      <c r="BD737" s="225"/>
      <c r="BE737" s="225"/>
      <c r="BF737" s="225"/>
      <c r="BG737" s="225"/>
      <c r="BH737" s="225"/>
      <c r="BI737" s="225"/>
      <c r="BJ737" s="225"/>
      <c r="BK737" s="225"/>
    </row>
    <row r="738" spans="48:63" ht="15.75" customHeight="1" x14ac:dyDescent="0.2">
      <c r="AV738" s="225"/>
      <c r="AW738" s="225"/>
      <c r="AX738" s="225"/>
      <c r="AY738" s="225"/>
      <c r="AZ738" s="225"/>
      <c r="BA738" s="225"/>
      <c r="BB738" s="225"/>
      <c r="BC738" s="225"/>
      <c r="BD738" s="225"/>
      <c r="BE738" s="225"/>
      <c r="BF738" s="225"/>
      <c r="BG738" s="225"/>
      <c r="BH738" s="225"/>
      <c r="BI738" s="225"/>
      <c r="BJ738" s="225"/>
      <c r="BK738" s="225"/>
    </row>
    <row r="739" spans="48:63" ht="15.75" customHeight="1" x14ac:dyDescent="0.2">
      <c r="AV739" s="225"/>
      <c r="AW739" s="225"/>
      <c r="AX739" s="225"/>
      <c r="AY739" s="225"/>
      <c r="AZ739" s="225"/>
      <c r="BA739" s="225"/>
      <c r="BB739" s="225"/>
      <c r="BC739" s="225"/>
      <c r="BD739" s="225"/>
      <c r="BE739" s="225"/>
      <c r="BF739" s="225"/>
      <c r="BG739" s="225"/>
      <c r="BH739" s="225"/>
      <c r="BI739" s="225"/>
      <c r="BJ739" s="225"/>
      <c r="BK739" s="225"/>
    </row>
    <row r="740" spans="48:63" ht="15.75" customHeight="1" x14ac:dyDescent="0.2">
      <c r="AV740" s="225"/>
      <c r="AW740" s="225"/>
      <c r="AX740" s="225"/>
      <c r="AY740" s="225"/>
      <c r="AZ740" s="225"/>
      <c r="BA740" s="225"/>
      <c r="BB740" s="225"/>
      <c r="BC740" s="225"/>
      <c r="BD740" s="225"/>
      <c r="BE740" s="225"/>
      <c r="BF740" s="225"/>
      <c r="BG740" s="225"/>
      <c r="BH740" s="225"/>
      <c r="BI740" s="225"/>
      <c r="BJ740" s="225"/>
      <c r="BK740" s="225"/>
    </row>
    <row r="741" spans="48:63" ht="15.75" customHeight="1" x14ac:dyDescent="0.2">
      <c r="AV741" s="225"/>
      <c r="AW741" s="225"/>
      <c r="AX741" s="225"/>
      <c r="AY741" s="225"/>
      <c r="AZ741" s="225"/>
      <c r="BA741" s="225"/>
      <c r="BB741" s="225"/>
      <c r="BC741" s="225"/>
      <c r="BD741" s="225"/>
      <c r="BE741" s="225"/>
      <c r="BF741" s="225"/>
      <c r="BG741" s="225"/>
      <c r="BH741" s="225"/>
      <c r="BI741" s="225"/>
      <c r="BJ741" s="225"/>
      <c r="BK741" s="225"/>
    </row>
    <row r="742" spans="48:63" ht="15.75" customHeight="1" x14ac:dyDescent="0.2">
      <c r="AV742" s="225"/>
      <c r="AW742" s="225"/>
      <c r="AX742" s="225"/>
      <c r="AY742" s="225"/>
      <c r="AZ742" s="225"/>
      <c r="BA742" s="225"/>
      <c r="BB742" s="225"/>
      <c r="BC742" s="225"/>
      <c r="BD742" s="225"/>
      <c r="BE742" s="225"/>
      <c r="BF742" s="225"/>
      <c r="BG742" s="225"/>
      <c r="BH742" s="225"/>
      <c r="BI742" s="225"/>
      <c r="BJ742" s="225"/>
      <c r="BK742" s="225"/>
    </row>
    <row r="743" spans="48:63" ht="15.75" customHeight="1" x14ac:dyDescent="0.2">
      <c r="AV743" s="225"/>
      <c r="AW743" s="225"/>
      <c r="AX743" s="225"/>
      <c r="AY743" s="225"/>
      <c r="AZ743" s="225"/>
      <c r="BA743" s="225"/>
      <c r="BB743" s="225"/>
      <c r="BC743" s="225"/>
      <c r="BD743" s="225"/>
      <c r="BE743" s="225"/>
      <c r="BF743" s="225"/>
      <c r="BG743" s="225"/>
      <c r="BH743" s="225"/>
      <c r="BI743" s="225"/>
      <c r="BJ743" s="225"/>
      <c r="BK743" s="225"/>
    </row>
    <row r="744" spans="48:63" ht="15.75" customHeight="1" x14ac:dyDescent="0.2">
      <c r="AV744" s="225"/>
      <c r="AW744" s="225"/>
      <c r="AX744" s="225"/>
      <c r="AY744" s="225"/>
      <c r="AZ744" s="225"/>
      <c r="BA744" s="225"/>
      <c r="BB744" s="225"/>
      <c r="BC744" s="225"/>
      <c r="BD744" s="225"/>
      <c r="BE744" s="225"/>
      <c r="BF744" s="225"/>
      <c r="BG744" s="225"/>
      <c r="BH744" s="225"/>
      <c r="BI744" s="225"/>
      <c r="BJ744" s="225"/>
      <c r="BK744" s="225"/>
    </row>
    <row r="745" spans="48:63" ht="15.75" customHeight="1" x14ac:dyDescent="0.2">
      <c r="AV745" s="225"/>
      <c r="AW745" s="225"/>
      <c r="AX745" s="225"/>
      <c r="AY745" s="225"/>
      <c r="AZ745" s="225"/>
      <c r="BA745" s="225"/>
      <c r="BB745" s="225"/>
      <c r="BC745" s="225"/>
      <c r="BD745" s="225"/>
      <c r="BE745" s="225"/>
      <c r="BF745" s="225"/>
      <c r="BG745" s="225"/>
      <c r="BH745" s="225"/>
      <c r="BI745" s="225"/>
      <c r="BJ745" s="225"/>
      <c r="BK745" s="225"/>
    </row>
    <row r="746" spans="48:63" ht="15.75" customHeight="1" x14ac:dyDescent="0.2">
      <c r="AV746" s="225"/>
      <c r="AW746" s="225"/>
      <c r="AX746" s="225"/>
      <c r="AY746" s="225"/>
      <c r="AZ746" s="225"/>
      <c r="BA746" s="225"/>
      <c r="BB746" s="225"/>
      <c r="BC746" s="225"/>
      <c r="BD746" s="225"/>
      <c r="BE746" s="225"/>
      <c r="BF746" s="225"/>
      <c r="BG746" s="225"/>
      <c r="BH746" s="225"/>
      <c r="BI746" s="225"/>
      <c r="BJ746" s="225"/>
      <c r="BK746" s="225"/>
    </row>
    <row r="747" spans="48:63" ht="15.75" customHeight="1" x14ac:dyDescent="0.2">
      <c r="AV747" s="225"/>
      <c r="AW747" s="225"/>
      <c r="AX747" s="225"/>
      <c r="AY747" s="225"/>
      <c r="AZ747" s="225"/>
      <c r="BA747" s="225"/>
      <c r="BB747" s="225"/>
      <c r="BC747" s="225"/>
      <c r="BD747" s="225"/>
      <c r="BE747" s="225"/>
      <c r="BF747" s="225"/>
      <c r="BG747" s="225"/>
      <c r="BH747" s="225"/>
      <c r="BI747" s="225"/>
      <c r="BJ747" s="225"/>
      <c r="BK747" s="225"/>
    </row>
    <row r="748" spans="48:63" ht="15.75" customHeight="1" x14ac:dyDescent="0.2">
      <c r="AV748" s="225"/>
      <c r="AW748" s="225"/>
      <c r="AX748" s="225"/>
      <c r="AY748" s="225"/>
      <c r="AZ748" s="225"/>
      <c r="BA748" s="225"/>
      <c r="BB748" s="225"/>
      <c r="BC748" s="225"/>
      <c r="BD748" s="225"/>
      <c r="BE748" s="225"/>
      <c r="BF748" s="225"/>
      <c r="BG748" s="225"/>
      <c r="BH748" s="225"/>
      <c r="BI748" s="225"/>
      <c r="BJ748" s="225"/>
      <c r="BK748" s="225"/>
    </row>
    <row r="749" spans="48:63" ht="15.75" customHeight="1" x14ac:dyDescent="0.2">
      <c r="AV749" s="225"/>
      <c r="AW749" s="225"/>
      <c r="AX749" s="225"/>
      <c r="AY749" s="225"/>
      <c r="AZ749" s="225"/>
      <c r="BA749" s="225"/>
      <c r="BB749" s="225"/>
      <c r="BC749" s="225"/>
      <c r="BD749" s="225"/>
      <c r="BE749" s="225"/>
      <c r="BF749" s="225"/>
      <c r="BG749" s="225"/>
      <c r="BH749" s="225"/>
      <c r="BI749" s="225"/>
      <c r="BJ749" s="225"/>
      <c r="BK749" s="225"/>
    </row>
    <row r="750" spans="48:63" ht="15.75" customHeight="1" x14ac:dyDescent="0.2">
      <c r="AV750" s="225"/>
      <c r="AW750" s="225"/>
      <c r="AX750" s="225"/>
      <c r="AY750" s="225"/>
      <c r="AZ750" s="225"/>
      <c r="BA750" s="225"/>
      <c r="BB750" s="225"/>
      <c r="BC750" s="225"/>
      <c r="BD750" s="225"/>
      <c r="BE750" s="225"/>
      <c r="BF750" s="225"/>
      <c r="BG750" s="225"/>
      <c r="BH750" s="225"/>
      <c r="BI750" s="225"/>
      <c r="BJ750" s="225"/>
      <c r="BK750" s="225"/>
    </row>
    <row r="751" spans="48:63" ht="15.75" customHeight="1" x14ac:dyDescent="0.2">
      <c r="AV751" s="225"/>
      <c r="AW751" s="225"/>
      <c r="AX751" s="225"/>
      <c r="AY751" s="225"/>
      <c r="AZ751" s="225"/>
      <c r="BA751" s="225"/>
      <c r="BB751" s="225"/>
      <c r="BC751" s="225"/>
      <c r="BD751" s="225"/>
      <c r="BE751" s="225"/>
      <c r="BF751" s="225"/>
      <c r="BG751" s="225"/>
      <c r="BH751" s="225"/>
      <c r="BI751" s="225"/>
      <c r="BJ751" s="225"/>
      <c r="BK751" s="225"/>
    </row>
    <row r="752" spans="48:63" ht="15.75" customHeight="1" x14ac:dyDescent="0.2">
      <c r="AV752" s="225"/>
      <c r="AW752" s="225"/>
      <c r="AX752" s="225"/>
      <c r="AY752" s="225"/>
      <c r="AZ752" s="225"/>
      <c r="BA752" s="225"/>
      <c r="BB752" s="225"/>
      <c r="BC752" s="225"/>
      <c r="BD752" s="225"/>
      <c r="BE752" s="225"/>
      <c r="BF752" s="225"/>
      <c r="BG752" s="225"/>
      <c r="BH752" s="225"/>
      <c r="BI752" s="225"/>
      <c r="BJ752" s="225"/>
      <c r="BK752" s="225"/>
    </row>
    <row r="753" spans="48:63" ht="15.75" customHeight="1" x14ac:dyDescent="0.2">
      <c r="AV753" s="225"/>
      <c r="AW753" s="225"/>
      <c r="AX753" s="225"/>
      <c r="AY753" s="225"/>
      <c r="AZ753" s="225"/>
      <c r="BA753" s="225"/>
      <c r="BB753" s="225"/>
      <c r="BC753" s="225"/>
      <c r="BD753" s="225"/>
      <c r="BE753" s="225"/>
      <c r="BF753" s="225"/>
      <c r="BG753" s="225"/>
      <c r="BH753" s="225"/>
      <c r="BI753" s="225"/>
      <c r="BJ753" s="225"/>
      <c r="BK753" s="225"/>
    </row>
    <row r="754" spans="48:63" ht="15.75" customHeight="1" x14ac:dyDescent="0.2">
      <c r="AV754" s="225"/>
      <c r="AW754" s="225"/>
      <c r="AX754" s="225"/>
      <c r="AY754" s="225"/>
      <c r="AZ754" s="225"/>
      <c r="BA754" s="225"/>
      <c r="BB754" s="225"/>
      <c r="BC754" s="225"/>
      <c r="BD754" s="225"/>
      <c r="BE754" s="225"/>
      <c r="BF754" s="225"/>
      <c r="BG754" s="225"/>
      <c r="BH754" s="225"/>
      <c r="BI754" s="225"/>
      <c r="BJ754" s="225"/>
      <c r="BK754" s="225"/>
    </row>
    <row r="755" spans="48:63" ht="15.75" customHeight="1" x14ac:dyDescent="0.2">
      <c r="AV755" s="225"/>
      <c r="AW755" s="225"/>
      <c r="AX755" s="225"/>
      <c r="AY755" s="225"/>
      <c r="AZ755" s="225"/>
      <c r="BA755" s="225"/>
      <c r="BB755" s="225"/>
      <c r="BC755" s="225"/>
      <c r="BD755" s="225"/>
      <c r="BE755" s="225"/>
      <c r="BF755" s="225"/>
      <c r="BG755" s="225"/>
      <c r="BH755" s="225"/>
      <c r="BI755" s="225"/>
      <c r="BJ755" s="225"/>
      <c r="BK755" s="225"/>
    </row>
    <row r="756" spans="48:63" ht="15.75" customHeight="1" x14ac:dyDescent="0.2">
      <c r="AV756" s="225"/>
      <c r="AW756" s="225"/>
      <c r="AX756" s="225"/>
      <c r="AY756" s="225"/>
      <c r="AZ756" s="225"/>
      <c r="BA756" s="225"/>
      <c r="BB756" s="225"/>
      <c r="BC756" s="225"/>
      <c r="BD756" s="225"/>
      <c r="BE756" s="225"/>
      <c r="BF756" s="225"/>
      <c r="BG756" s="225"/>
      <c r="BH756" s="225"/>
      <c r="BI756" s="225"/>
      <c r="BJ756" s="225"/>
      <c r="BK756" s="225"/>
    </row>
    <row r="757" spans="48:63" ht="15.75" customHeight="1" x14ac:dyDescent="0.2">
      <c r="AV757" s="225"/>
      <c r="AW757" s="225"/>
      <c r="AX757" s="225"/>
      <c r="AY757" s="225"/>
      <c r="AZ757" s="225"/>
      <c r="BA757" s="225"/>
      <c r="BB757" s="225"/>
      <c r="BC757" s="225"/>
      <c r="BD757" s="225"/>
      <c r="BE757" s="225"/>
      <c r="BF757" s="225"/>
      <c r="BG757" s="225"/>
      <c r="BH757" s="225"/>
      <c r="BI757" s="225"/>
      <c r="BJ757" s="225"/>
      <c r="BK757" s="225"/>
    </row>
    <row r="758" spans="48:63" ht="15.75" customHeight="1" x14ac:dyDescent="0.2">
      <c r="AV758" s="225"/>
      <c r="AW758" s="225"/>
      <c r="AX758" s="225"/>
      <c r="AY758" s="225"/>
      <c r="AZ758" s="225"/>
      <c r="BA758" s="225"/>
      <c r="BB758" s="225"/>
      <c r="BC758" s="225"/>
      <c r="BD758" s="225"/>
      <c r="BE758" s="225"/>
      <c r="BF758" s="225"/>
      <c r="BG758" s="225"/>
      <c r="BH758" s="225"/>
      <c r="BI758" s="225"/>
      <c r="BJ758" s="225"/>
      <c r="BK758" s="225"/>
    </row>
    <row r="759" spans="48:63" ht="15.75" customHeight="1" x14ac:dyDescent="0.2">
      <c r="AV759" s="225"/>
      <c r="AW759" s="225"/>
      <c r="AX759" s="225"/>
      <c r="AY759" s="225"/>
      <c r="AZ759" s="225"/>
      <c r="BA759" s="225"/>
      <c r="BB759" s="225"/>
      <c r="BC759" s="225"/>
      <c r="BD759" s="225"/>
      <c r="BE759" s="225"/>
      <c r="BF759" s="225"/>
      <c r="BG759" s="225"/>
      <c r="BH759" s="225"/>
      <c r="BI759" s="225"/>
      <c r="BJ759" s="225"/>
      <c r="BK759" s="225"/>
    </row>
    <row r="760" spans="48:63" ht="15.75" customHeight="1" x14ac:dyDescent="0.2">
      <c r="AV760" s="225"/>
      <c r="AW760" s="225"/>
      <c r="AX760" s="225"/>
      <c r="AY760" s="225"/>
      <c r="AZ760" s="225"/>
      <c r="BA760" s="225"/>
      <c r="BB760" s="225"/>
      <c r="BC760" s="225"/>
      <c r="BD760" s="225"/>
      <c r="BE760" s="225"/>
      <c r="BF760" s="225"/>
      <c r="BG760" s="225"/>
      <c r="BH760" s="225"/>
      <c r="BI760" s="225"/>
      <c r="BJ760" s="225"/>
      <c r="BK760" s="225"/>
    </row>
    <row r="761" spans="48:63" ht="15.75" customHeight="1" x14ac:dyDescent="0.2">
      <c r="AV761" s="225"/>
      <c r="AW761" s="225"/>
      <c r="AX761" s="225"/>
      <c r="AY761" s="225"/>
      <c r="AZ761" s="225"/>
      <c r="BA761" s="225"/>
      <c r="BB761" s="225"/>
      <c r="BC761" s="225"/>
      <c r="BD761" s="225"/>
      <c r="BE761" s="225"/>
      <c r="BF761" s="225"/>
      <c r="BG761" s="225"/>
      <c r="BH761" s="225"/>
      <c r="BI761" s="225"/>
      <c r="BJ761" s="225"/>
      <c r="BK761" s="225"/>
    </row>
    <row r="762" spans="48:63" ht="15.75" customHeight="1" x14ac:dyDescent="0.2">
      <c r="AV762" s="225"/>
      <c r="AW762" s="225"/>
      <c r="AX762" s="225"/>
      <c r="AY762" s="225"/>
      <c r="AZ762" s="225"/>
      <c r="BA762" s="225"/>
      <c r="BB762" s="225"/>
      <c r="BC762" s="225"/>
      <c r="BD762" s="225"/>
      <c r="BE762" s="225"/>
      <c r="BF762" s="225"/>
      <c r="BG762" s="225"/>
      <c r="BH762" s="225"/>
      <c r="BI762" s="225"/>
      <c r="BJ762" s="225"/>
      <c r="BK762" s="225"/>
    </row>
    <row r="763" spans="48:63" ht="15.75" customHeight="1" x14ac:dyDescent="0.2">
      <c r="AV763" s="225"/>
      <c r="AW763" s="225"/>
      <c r="AX763" s="225"/>
      <c r="AY763" s="225"/>
      <c r="AZ763" s="225"/>
      <c r="BA763" s="225"/>
      <c r="BB763" s="225"/>
      <c r="BC763" s="225"/>
      <c r="BD763" s="225"/>
      <c r="BE763" s="225"/>
      <c r="BF763" s="225"/>
      <c r="BG763" s="225"/>
      <c r="BH763" s="225"/>
      <c r="BI763" s="225"/>
      <c r="BJ763" s="225"/>
      <c r="BK763" s="225"/>
    </row>
    <row r="764" spans="48:63" ht="15.75" customHeight="1" x14ac:dyDescent="0.2">
      <c r="AV764" s="225"/>
      <c r="AW764" s="225"/>
      <c r="AX764" s="225"/>
      <c r="AY764" s="225"/>
      <c r="AZ764" s="225"/>
      <c r="BA764" s="225"/>
      <c r="BB764" s="225"/>
      <c r="BC764" s="225"/>
      <c r="BD764" s="225"/>
      <c r="BE764" s="225"/>
      <c r="BF764" s="225"/>
      <c r="BG764" s="225"/>
      <c r="BH764" s="225"/>
      <c r="BI764" s="225"/>
      <c r="BJ764" s="225"/>
      <c r="BK764" s="225"/>
    </row>
    <row r="765" spans="48:63" ht="15.75" customHeight="1" x14ac:dyDescent="0.2">
      <c r="AV765" s="225"/>
      <c r="AW765" s="225"/>
      <c r="AX765" s="225"/>
      <c r="AY765" s="225"/>
      <c r="AZ765" s="225"/>
      <c r="BA765" s="225"/>
      <c r="BB765" s="225"/>
      <c r="BC765" s="225"/>
      <c r="BD765" s="225"/>
      <c r="BE765" s="225"/>
      <c r="BF765" s="225"/>
      <c r="BG765" s="225"/>
      <c r="BH765" s="225"/>
      <c r="BI765" s="225"/>
      <c r="BJ765" s="225"/>
      <c r="BK765" s="225"/>
    </row>
    <row r="766" spans="48:63" ht="15.75" customHeight="1" x14ac:dyDescent="0.2">
      <c r="AV766" s="225"/>
      <c r="AW766" s="225"/>
      <c r="AX766" s="225"/>
      <c r="AY766" s="225"/>
      <c r="AZ766" s="225"/>
      <c r="BA766" s="225"/>
      <c r="BB766" s="225"/>
      <c r="BC766" s="225"/>
      <c r="BD766" s="225"/>
      <c r="BE766" s="225"/>
      <c r="BF766" s="225"/>
      <c r="BG766" s="225"/>
      <c r="BH766" s="225"/>
      <c r="BI766" s="225"/>
      <c r="BJ766" s="225"/>
      <c r="BK766" s="225"/>
    </row>
    <row r="767" spans="48:63" ht="15.75" customHeight="1" x14ac:dyDescent="0.2">
      <c r="AV767" s="225"/>
      <c r="AW767" s="225"/>
      <c r="AX767" s="225"/>
      <c r="AY767" s="225"/>
      <c r="AZ767" s="225"/>
      <c r="BA767" s="225"/>
      <c r="BB767" s="225"/>
      <c r="BC767" s="225"/>
      <c r="BD767" s="225"/>
      <c r="BE767" s="225"/>
      <c r="BF767" s="225"/>
      <c r="BG767" s="225"/>
      <c r="BH767" s="225"/>
      <c r="BI767" s="225"/>
      <c r="BJ767" s="225"/>
      <c r="BK767" s="225"/>
    </row>
    <row r="768" spans="48:63" ht="15.75" customHeight="1" x14ac:dyDescent="0.2">
      <c r="AV768" s="225"/>
      <c r="AW768" s="225"/>
      <c r="AX768" s="225"/>
      <c r="AY768" s="225"/>
      <c r="AZ768" s="225"/>
      <c r="BA768" s="225"/>
      <c r="BB768" s="225"/>
      <c r="BC768" s="225"/>
      <c r="BD768" s="225"/>
      <c r="BE768" s="225"/>
      <c r="BF768" s="225"/>
      <c r="BG768" s="225"/>
      <c r="BH768" s="225"/>
      <c r="BI768" s="225"/>
      <c r="BJ768" s="225"/>
      <c r="BK768" s="225"/>
    </row>
    <row r="769" spans="48:63" ht="15.75" customHeight="1" x14ac:dyDescent="0.2">
      <c r="AV769" s="225"/>
      <c r="AW769" s="225"/>
      <c r="AX769" s="225"/>
      <c r="AY769" s="225"/>
      <c r="AZ769" s="225"/>
      <c r="BA769" s="225"/>
      <c r="BB769" s="225"/>
      <c r="BC769" s="225"/>
      <c r="BD769" s="225"/>
      <c r="BE769" s="225"/>
      <c r="BF769" s="225"/>
      <c r="BG769" s="225"/>
      <c r="BH769" s="225"/>
      <c r="BI769" s="225"/>
      <c r="BJ769" s="225"/>
      <c r="BK769" s="225"/>
    </row>
    <row r="770" spans="48:63" ht="15.75" customHeight="1" x14ac:dyDescent="0.2">
      <c r="AV770" s="225"/>
      <c r="AW770" s="225"/>
      <c r="AX770" s="225"/>
      <c r="AY770" s="225"/>
      <c r="AZ770" s="225"/>
      <c r="BA770" s="225"/>
      <c r="BB770" s="225"/>
      <c r="BC770" s="225"/>
      <c r="BD770" s="225"/>
      <c r="BE770" s="225"/>
      <c r="BF770" s="225"/>
      <c r="BG770" s="225"/>
      <c r="BH770" s="225"/>
      <c r="BI770" s="225"/>
      <c r="BJ770" s="225"/>
      <c r="BK770" s="225"/>
    </row>
    <row r="771" spans="48:63" ht="15.75" customHeight="1" x14ac:dyDescent="0.2">
      <c r="AV771" s="225"/>
      <c r="AW771" s="225"/>
      <c r="AX771" s="225"/>
      <c r="AY771" s="225"/>
      <c r="AZ771" s="225"/>
      <c r="BA771" s="225"/>
      <c r="BB771" s="225"/>
      <c r="BC771" s="225"/>
      <c r="BD771" s="225"/>
      <c r="BE771" s="225"/>
      <c r="BF771" s="225"/>
      <c r="BG771" s="225"/>
      <c r="BH771" s="225"/>
      <c r="BI771" s="225"/>
      <c r="BJ771" s="225"/>
      <c r="BK771" s="225"/>
    </row>
    <row r="772" spans="48:63" ht="15.75" customHeight="1" x14ac:dyDescent="0.2">
      <c r="AV772" s="225"/>
      <c r="AW772" s="225"/>
      <c r="AX772" s="225"/>
      <c r="AY772" s="225"/>
      <c r="AZ772" s="225"/>
      <c r="BA772" s="225"/>
      <c r="BB772" s="225"/>
      <c r="BC772" s="225"/>
      <c r="BD772" s="225"/>
      <c r="BE772" s="225"/>
      <c r="BF772" s="225"/>
      <c r="BG772" s="225"/>
      <c r="BH772" s="225"/>
      <c r="BI772" s="225"/>
      <c r="BJ772" s="225"/>
      <c r="BK772" s="225"/>
    </row>
    <row r="773" spans="48:63" ht="15.75" customHeight="1" x14ac:dyDescent="0.2">
      <c r="AV773" s="225"/>
      <c r="AW773" s="225"/>
      <c r="AX773" s="225"/>
      <c r="AY773" s="225"/>
      <c r="AZ773" s="225"/>
      <c r="BA773" s="225"/>
      <c r="BB773" s="225"/>
      <c r="BC773" s="225"/>
      <c r="BD773" s="225"/>
      <c r="BE773" s="225"/>
      <c r="BF773" s="225"/>
      <c r="BG773" s="225"/>
      <c r="BH773" s="225"/>
      <c r="BI773" s="225"/>
      <c r="BJ773" s="225"/>
      <c r="BK773" s="225"/>
    </row>
    <row r="774" spans="48:63" ht="15.75" customHeight="1" x14ac:dyDescent="0.2">
      <c r="AV774" s="225"/>
      <c r="AW774" s="225"/>
      <c r="AX774" s="225"/>
      <c r="AY774" s="225"/>
      <c r="AZ774" s="225"/>
      <c r="BA774" s="225"/>
      <c r="BB774" s="225"/>
      <c r="BC774" s="225"/>
      <c r="BD774" s="225"/>
      <c r="BE774" s="225"/>
      <c r="BF774" s="225"/>
      <c r="BG774" s="225"/>
      <c r="BH774" s="225"/>
      <c r="BI774" s="225"/>
      <c r="BJ774" s="225"/>
      <c r="BK774" s="225"/>
    </row>
    <row r="775" spans="48:63" ht="15.75" customHeight="1" x14ac:dyDescent="0.2">
      <c r="AV775" s="225"/>
      <c r="AW775" s="225"/>
      <c r="AX775" s="225"/>
      <c r="AY775" s="225"/>
      <c r="AZ775" s="225"/>
      <c r="BA775" s="225"/>
      <c r="BB775" s="225"/>
      <c r="BC775" s="225"/>
      <c r="BD775" s="225"/>
      <c r="BE775" s="225"/>
      <c r="BF775" s="225"/>
      <c r="BG775" s="225"/>
      <c r="BH775" s="225"/>
      <c r="BI775" s="225"/>
      <c r="BJ775" s="225"/>
      <c r="BK775" s="225"/>
    </row>
    <row r="776" spans="48:63" ht="15.75" customHeight="1" x14ac:dyDescent="0.2">
      <c r="AV776" s="225"/>
      <c r="AW776" s="225"/>
      <c r="AX776" s="225"/>
      <c r="AY776" s="225"/>
      <c r="AZ776" s="225"/>
      <c r="BA776" s="225"/>
      <c r="BB776" s="225"/>
      <c r="BC776" s="225"/>
      <c r="BD776" s="225"/>
      <c r="BE776" s="225"/>
      <c r="BF776" s="225"/>
      <c r="BG776" s="225"/>
      <c r="BH776" s="225"/>
      <c r="BI776" s="225"/>
      <c r="BJ776" s="225"/>
      <c r="BK776" s="225"/>
    </row>
    <row r="777" spans="48:63" ht="15.75" customHeight="1" x14ac:dyDescent="0.2">
      <c r="AV777" s="225"/>
      <c r="AW777" s="225"/>
      <c r="AX777" s="225"/>
      <c r="AY777" s="225"/>
      <c r="AZ777" s="225"/>
      <c r="BA777" s="225"/>
      <c r="BB777" s="225"/>
      <c r="BC777" s="225"/>
      <c r="BD777" s="225"/>
      <c r="BE777" s="225"/>
      <c r="BF777" s="225"/>
      <c r="BG777" s="225"/>
      <c r="BH777" s="225"/>
      <c r="BI777" s="225"/>
      <c r="BJ777" s="225"/>
      <c r="BK777" s="225"/>
    </row>
    <row r="778" spans="48:63" ht="15.75" customHeight="1" x14ac:dyDescent="0.2">
      <c r="AV778" s="225"/>
      <c r="AW778" s="225"/>
      <c r="AX778" s="225"/>
      <c r="AY778" s="225"/>
      <c r="AZ778" s="225"/>
      <c r="BA778" s="225"/>
      <c r="BB778" s="225"/>
      <c r="BC778" s="225"/>
      <c r="BD778" s="225"/>
      <c r="BE778" s="225"/>
      <c r="BF778" s="225"/>
      <c r="BG778" s="225"/>
      <c r="BH778" s="225"/>
      <c r="BI778" s="225"/>
      <c r="BJ778" s="225"/>
      <c r="BK778" s="225"/>
    </row>
    <row r="779" spans="48:63" ht="15.75" customHeight="1" x14ac:dyDescent="0.2">
      <c r="AV779" s="225"/>
      <c r="AW779" s="225"/>
      <c r="AX779" s="225"/>
      <c r="AY779" s="225"/>
      <c r="AZ779" s="225"/>
      <c r="BA779" s="225"/>
      <c r="BB779" s="225"/>
      <c r="BC779" s="225"/>
      <c r="BD779" s="225"/>
      <c r="BE779" s="225"/>
      <c r="BF779" s="225"/>
      <c r="BG779" s="225"/>
      <c r="BH779" s="225"/>
      <c r="BI779" s="225"/>
      <c r="BJ779" s="225"/>
      <c r="BK779" s="225"/>
    </row>
    <row r="780" spans="48:63" ht="15.75" customHeight="1" x14ac:dyDescent="0.2">
      <c r="AV780" s="225"/>
      <c r="AW780" s="225"/>
      <c r="AX780" s="225"/>
      <c r="AY780" s="225"/>
      <c r="AZ780" s="225"/>
      <c r="BA780" s="225"/>
      <c r="BB780" s="225"/>
      <c r="BC780" s="225"/>
      <c r="BD780" s="225"/>
      <c r="BE780" s="225"/>
      <c r="BF780" s="225"/>
      <c r="BG780" s="225"/>
      <c r="BH780" s="225"/>
      <c r="BI780" s="225"/>
      <c r="BJ780" s="225"/>
      <c r="BK780" s="225"/>
    </row>
    <row r="781" spans="48:63" ht="15.75" customHeight="1" x14ac:dyDescent="0.2">
      <c r="AV781" s="225"/>
      <c r="AW781" s="225"/>
      <c r="AX781" s="225"/>
      <c r="AY781" s="225"/>
      <c r="AZ781" s="225"/>
      <c r="BA781" s="225"/>
      <c r="BB781" s="225"/>
      <c r="BC781" s="225"/>
      <c r="BD781" s="225"/>
      <c r="BE781" s="225"/>
      <c r="BF781" s="225"/>
      <c r="BG781" s="225"/>
      <c r="BH781" s="225"/>
      <c r="BI781" s="225"/>
      <c r="BJ781" s="225"/>
      <c r="BK781" s="225"/>
    </row>
    <row r="782" spans="48:63" ht="15.75" customHeight="1" x14ac:dyDescent="0.2">
      <c r="AV782" s="225"/>
      <c r="AW782" s="225"/>
      <c r="AX782" s="225"/>
      <c r="AY782" s="225"/>
      <c r="AZ782" s="225"/>
      <c r="BA782" s="225"/>
      <c r="BB782" s="225"/>
      <c r="BC782" s="225"/>
      <c r="BD782" s="225"/>
      <c r="BE782" s="225"/>
      <c r="BF782" s="225"/>
      <c r="BG782" s="225"/>
      <c r="BH782" s="225"/>
      <c r="BI782" s="225"/>
      <c r="BJ782" s="225"/>
      <c r="BK782" s="225"/>
    </row>
    <row r="783" spans="48:63" ht="15.75" customHeight="1" x14ac:dyDescent="0.2">
      <c r="AV783" s="225"/>
      <c r="AW783" s="225"/>
      <c r="AX783" s="225"/>
      <c r="AY783" s="225"/>
      <c r="AZ783" s="225"/>
      <c r="BA783" s="225"/>
      <c r="BB783" s="225"/>
      <c r="BC783" s="225"/>
      <c r="BD783" s="225"/>
      <c r="BE783" s="225"/>
      <c r="BF783" s="225"/>
      <c r="BG783" s="225"/>
      <c r="BH783" s="225"/>
      <c r="BI783" s="225"/>
      <c r="BJ783" s="225"/>
      <c r="BK783" s="225"/>
    </row>
    <row r="784" spans="48:63" ht="15.75" customHeight="1" x14ac:dyDescent="0.2">
      <c r="AV784" s="225"/>
      <c r="AW784" s="225"/>
      <c r="AX784" s="225"/>
      <c r="AY784" s="225"/>
      <c r="AZ784" s="225"/>
      <c r="BA784" s="225"/>
      <c r="BB784" s="225"/>
      <c r="BC784" s="225"/>
      <c r="BD784" s="225"/>
      <c r="BE784" s="225"/>
      <c r="BF784" s="225"/>
      <c r="BG784" s="225"/>
      <c r="BH784" s="225"/>
      <c r="BI784" s="225"/>
      <c r="BJ784" s="225"/>
      <c r="BK784" s="225"/>
    </row>
    <row r="785" spans="48:63" ht="15.75" customHeight="1" x14ac:dyDescent="0.2">
      <c r="AV785" s="225"/>
      <c r="AW785" s="225"/>
      <c r="AX785" s="225"/>
      <c r="AY785" s="225"/>
      <c r="AZ785" s="225"/>
      <c r="BA785" s="225"/>
      <c r="BB785" s="225"/>
      <c r="BC785" s="225"/>
      <c r="BD785" s="225"/>
      <c r="BE785" s="225"/>
      <c r="BF785" s="225"/>
      <c r="BG785" s="225"/>
      <c r="BH785" s="225"/>
      <c r="BI785" s="225"/>
      <c r="BJ785" s="225"/>
      <c r="BK785" s="225"/>
    </row>
    <row r="786" spans="48:63" ht="15.75" customHeight="1" x14ac:dyDescent="0.2">
      <c r="AV786" s="225"/>
      <c r="AW786" s="225"/>
      <c r="AX786" s="225"/>
      <c r="AY786" s="225"/>
      <c r="AZ786" s="225"/>
      <c r="BA786" s="225"/>
      <c r="BB786" s="225"/>
      <c r="BC786" s="225"/>
      <c r="BD786" s="225"/>
      <c r="BE786" s="225"/>
      <c r="BF786" s="225"/>
      <c r="BG786" s="225"/>
      <c r="BH786" s="225"/>
      <c r="BI786" s="225"/>
      <c r="BJ786" s="225"/>
      <c r="BK786" s="225"/>
    </row>
    <row r="787" spans="48:63" ht="15.75" customHeight="1" x14ac:dyDescent="0.2">
      <c r="AV787" s="225"/>
      <c r="AW787" s="225"/>
      <c r="AX787" s="225"/>
      <c r="AY787" s="225"/>
      <c r="AZ787" s="225"/>
      <c r="BA787" s="225"/>
      <c r="BB787" s="225"/>
      <c r="BC787" s="225"/>
      <c r="BD787" s="225"/>
      <c r="BE787" s="225"/>
      <c r="BF787" s="225"/>
      <c r="BG787" s="225"/>
      <c r="BH787" s="225"/>
      <c r="BI787" s="225"/>
      <c r="BJ787" s="225"/>
      <c r="BK787" s="225"/>
    </row>
    <row r="788" spans="48:63" ht="15.75" customHeight="1" x14ac:dyDescent="0.2">
      <c r="AV788" s="225"/>
      <c r="AW788" s="225"/>
      <c r="AX788" s="225"/>
      <c r="AY788" s="225"/>
      <c r="AZ788" s="225"/>
      <c r="BA788" s="225"/>
      <c r="BB788" s="225"/>
      <c r="BC788" s="225"/>
      <c r="BD788" s="225"/>
      <c r="BE788" s="225"/>
      <c r="BF788" s="225"/>
      <c r="BG788" s="225"/>
      <c r="BH788" s="225"/>
      <c r="BI788" s="225"/>
      <c r="BJ788" s="225"/>
      <c r="BK788" s="225"/>
    </row>
    <row r="789" spans="48:63" ht="15.75" customHeight="1" x14ac:dyDescent="0.2">
      <c r="AV789" s="225"/>
      <c r="AW789" s="225"/>
      <c r="AX789" s="225"/>
      <c r="AY789" s="225"/>
      <c r="AZ789" s="225"/>
      <c r="BA789" s="225"/>
      <c r="BB789" s="225"/>
      <c r="BC789" s="225"/>
      <c r="BD789" s="225"/>
      <c r="BE789" s="225"/>
      <c r="BF789" s="225"/>
      <c r="BG789" s="225"/>
      <c r="BH789" s="225"/>
      <c r="BI789" s="225"/>
      <c r="BJ789" s="225"/>
      <c r="BK789" s="225"/>
    </row>
    <row r="790" spans="48:63" ht="15.75" customHeight="1" x14ac:dyDescent="0.2">
      <c r="AV790" s="225"/>
      <c r="AW790" s="225"/>
      <c r="AX790" s="225"/>
      <c r="AY790" s="225"/>
      <c r="AZ790" s="225"/>
      <c r="BA790" s="225"/>
      <c r="BB790" s="225"/>
      <c r="BC790" s="225"/>
      <c r="BD790" s="225"/>
      <c r="BE790" s="225"/>
      <c r="BF790" s="225"/>
      <c r="BG790" s="225"/>
      <c r="BH790" s="225"/>
      <c r="BI790" s="225"/>
      <c r="BJ790" s="225"/>
      <c r="BK790" s="225"/>
    </row>
    <row r="791" spans="48:63" ht="15.75" customHeight="1" x14ac:dyDescent="0.2">
      <c r="AV791" s="225"/>
      <c r="AW791" s="225"/>
      <c r="AX791" s="225"/>
      <c r="AY791" s="225"/>
      <c r="AZ791" s="225"/>
      <c r="BA791" s="225"/>
      <c r="BB791" s="225"/>
      <c r="BC791" s="225"/>
      <c r="BD791" s="225"/>
      <c r="BE791" s="225"/>
      <c r="BF791" s="225"/>
      <c r="BG791" s="225"/>
      <c r="BH791" s="225"/>
      <c r="BI791" s="225"/>
      <c r="BJ791" s="225"/>
      <c r="BK791" s="225"/>
    </row>
    <row r="792" spans="48:63" ht="15.75" customHeight="1" x14ac:dyDescent="0.2">
      <c r="AV792" s="225"/>
      <c r="AW792" s="225"/>
      <c r="AX792" s="225"/>
      <c r="AY792" s="225"/>
      <c r="AZ792" s="225"/>
      <c r="BA792" s="225"/>
      <c r="BB792" s="225"/>
      <c r="BC792" s="225"/>
      <c r="BD792" s="225"/>
      <c r="BE792" s="225"/>
      <c r="BF792" s="225"/>
      <c r="BG792" s="225"/>
      <c r="BH792" s="225"/>
      <c r="BI792" s="225"/>
      <c r="BJ792" s="225"/>
      <c r="BK792" s="225"/>
    </row>
    <row r="793" spans="48:63" ht="15.75" customHeight="1" x14ac:dyDescent="0.2">
      <c r="AV793" s="225"/>
      <c r="AW793" s="225"/>
      <c r="AX793" s="225"/>
      <c r="AY793" s="225"/>
      <c r="AZ793" s="225"/>
      <c r="BA793" s="225"/>
      <c r="BB793" s="225"/>
      <c r="BC793" s="225"/>
      <c r="BD793" s="225"/>
      <c r="BE793" s="225"/>
      <c r="BF793" s="225"/>
      <c r="BG793" s="225"/>
      <c r="BH793" s="225"/>
      <c r="BI793" s="225"/>
      <c r="BJ793" s="225"/>
      <c r="BK793" s="225"/>
    </row>
    <row r="794" spans="48:63" ht="15.75" customHeight="1" x14ac:dyDescent="0.2">
      <c r="AV794" s="225"/>
      <c r="AW794" s="225"/>
      <c r="AX794" s="225"/>
      <c r="AY794" s="225"/>
      <c r="AZ794" s="225"/>
      <c r="BA794" s="225"/>
      <c r="BB794" s="225"/>
      <c r="BC794" s="225"/>
      <c r="BD794" s="225"/>
      <c r="BE794" s="225"/>
      <c r="BF794" s="225"/>
      <c r="BG794" s="225"/>
      <c r="BH794" s="225"/>
      <c r="BI794" s="225"/>
      <c r="BJ794" s="225"/>
      <c r="BK794" s="225"/>
    </row>
    <row r="795" spans="48:63" ht="15.75" customHeight="1" x14ac:dyDescent="0.2">
      <c r="AV795" s="225"/>
      <c r="AW795" s="225"/>
      <c r="AX795" s="225"/>
      <c r="AY795" s="225"/>
      <c r="AZ795" s="225"/>
      <c r="BA795" s="225"/>
      <c r="BB795" s="225"/>
      <c r="BC795" s="225"/>
      <c r="BD795" s="225"/>
      <c r="BE795" s="225"/>
      <c r="BF795" s="225"/>
      <c r="BG795" s="225"/>
      <c r="BH795" s="225"/>
      <c r="BI795" s="225"/>
      <c r="BJ795" s="225"/>
      <c r="BK795" s="225"/>
    </row>
    <row r="796" spans="48:63" ht="15.75" customHeight="1" x14ac:dyDescent="0.2">
      <c r="AV796" s="225"/>
      <c r="AW796" s="225"/>
      <c r="AX796" s="225"/>
      <c r="AY796" s="225"/>
      <c r="AZ796" s="225"/>
      <c r="BA796" s="225"/>
      <c r="BB796" s="225"/>
      <c r="BC796" s="225"/>
      <c r="BD796" s="225"/>
      <c r="BE796" s="225"/>
      <c r="BF796" s="225"/>
      <c r="BG796" s="225"/>
      <c r="BH796" s="225"/>
      <c r="BI796" s="225"/>
      <c r="BJ796" s="225"/>
      <c r="BK796" s="225"/>
    </row>
    <row r="797" spans="48:63" ht="15.75" customHeight="1" x14ac:dyDescent="0.2">
      <c r="AV797" s="225"/>
      <c r="AW797" s="225"/>
      <c r="AX797" s="225"/>
      <c r="AY797" s="225"/>
      <c r="AZ797" s="225"/>
      <c r="BA797" s="225"/>
      <c r="BB797" s="225"/>
      <c r="BC797" s="225"/>
      <c r="BD797" s="225"/>
      <c r="BE797" s="225"/>
      <c r="BF797" s="225"/>
      <c r="BG797" s="225"/>
      <c r="BH797" s="225"/>
      <c r="BI797" s="225"/>
      <c r="BJ797" s="225"/>
      <c r="BK797" s="225"/>
    </row>
    <row r="798" spans="48:63" ht="15.75" customHeight="1" x14ac:dyDescent="0.2">
      <c r="AV798" s="225"/>
      <c r="AW798" s="225"/>
      <c r="AX798" s="225"/>
      <c r="AY798" s="225"/>
      <c r="AZ798" s="225"/>
      <c r="BA798" s="225"/>
      <c r="BB798" s="225"/>
      <c r="BC798" s="225"/>
      <c r="BD798" s="225"/>
      <c r="BE798" s="225"/>
      <c r="BF798" s="225"/>
      <c r="BG798" s="225"/>
      <c r="BH798" s="225"/>
      <c r="BI798" s="225"/>
      <c r="BJ798" s="225"/>
      <c r="BK798" s="225"/>
    </row>
    <row r="799" spans="48:63" ht="15.75" customHeight="1" x14ac:dyDescent="0.2">
      <c r="AV799" s="225"/>
      <c r="AW799" s="225"/>
      <c r="AX799" s="225"/>
      <c r="AY799" s="225"/>
      <c r="AZ799" s="225"/>
      <c r="BA799" s="225"/>
      <c r="BB799" s="225"/>
      <c r="BC799" s="225"/>
      <c r="BD799" s="225"/>
      <c r="BE799" s="225"/>
      <c r="BF799" s="225"/>
      <c r="BG799" s="225"/>
      <c r="BH799" s="225"/>
      <c r="BI799" s="225"/>
      <c r="BJ799" s="225"/>
      <c r="BK799" s="225"/>
    </row>
    <row r="800" spans="48:63" ht="15.75" customHeight="1" x14ac:dyDescent="0.2">
      <c r="AV800" s="225"/>
      <c r="AW800" s="225"/>
      <c r="AX800" s="225"/>
      <c r="AY800" s="225"/>
      <c r="AZ800" s="225"/>
      <c r="BA800" s="225"/>
      <c r="BB800" s="225"/>
      <c r="BC800" s="225"/>
      <c r="BD800" s="225"/>
      <c r="BE800" s="225"/>
      <c r="BF800" s="225"/>
      <c r="BG800" s="225"/>
      <c r="BH800" s="225"/>
      <c r="BI800" s="225"/>
      <c r="BJ800" s="225"/>
      <c r="BK800" s="225"/>
    </row>
    <row r="801" spans="48:63" ht="15.75" customHeight="1" x14ac:dyDescent="0.2">
      <c r="AV801" s="225"/>
      <c r="AW801" s="225"/>
      <c r="AX801" s="225"/>
      <c r="AY801" s="225"/>
      <c r="AZ801" s="225"/>
      <c r="BA801" s="225"/>
      <c r="BB801" s="225"/>
      <c r="BC801" s="225"/>
      <c r="BD801" s="225"/>
      <c r="BE801" s="225"/>
      <c r="BF801" s="225"/>
      <c r="BG801" s="225"/>
      <c r="BH801" s="225"/>
      <c r="BI801" s="225"/>
      <c r="BJ801" s="225"/>
      <c r="BK801" s="225"/>
    </row>
    <row r="802" spans="48:63" ht="15.75" customHeight="1" x14ac:dyDescent="0.2">
      <c r="AV802" s="225"/>
      <c r="AW802" s="225"/>
      <c r="AX802" s="225"/>
      <c r="AY802" s="225"/>
      <c r="AZ802" s="225"/>
      <c r="BA802" s="225"/>
      <c r="BB802" s="225"/>
      <c r="BC802" s="225"/>
      <c r="BD802" s="225"/>
      <c r="BE802" s="225"/>
      <c r="BF802" s="225"/>
      <c r="BG802" s="225"/>
      <c r="BH802" s="225"/>
      <c r="BI802" s="225"/>
      <c r="BJ802" s="225"/>
      <c r="BK802" s="225"/>
    </row>
    <row r="803" spans="48:63" ht="15.75" customHeight="1" x14ac:dyDescent="0.2">
      <c r="AV803" s="225"/>
      <c r="AW803" s="225"/>
      <c r="AX803" s="225"/>
      <c r="AY803" s="225"/>
      <c r="AZ803" s="225"/>
      <c r="BA803" s="225"/>
      <c r="BB803" s="225"/>
      <c r="BC803" s="225"/>
      <c r="BD803" s="225"/>
      <c r="BE803" s="225"/>
      <c r="BF803" s="225"/>
      <c r="BG803" s="225"/>
      <c r="BH803" s="225"/>
      <c r="BI803" s="225"/>
      <c r="BJ803" s="225"/>
      <c r="BK803" s="225"/>
    </row>
    <row r="804" spans="48:63" ht="15.75" customHeight="1" x14ac:dyDescent="0.2">
      <c r="AV804" s="225"/>
      <c r="AW804" s="225"/>
      <c r="AX804" s="225"/>
      <c r="AY804" s="225"/>
      <c r="AZ804" s="225"/>
      <c r="BA804" s="225"/>
      <c r="BB804" s="225"/>
      <c r="BC804" s="225"/>
      <c r="BD804" s="225"/>
      <c r="BE804" s="225"/>
      <c r="BF804" s="225"/>
      <c r="BG804" s="225"/>
      <c r="BH804" s="225"/>
      <c r="BI804" s="225"/>
      <c r="BJ804" s="225"/>
      <c r="BK804" s="225"/>
    </row>
    <row r="805" spans="48:63" ht="15.75" customHeight="1" x14ac:dyDescent="0.2">
      <c r="AV805" s="225"/>
      <c r="AW805" s="225"/>
      <c r="AX805" s="225"/>
      <c r="AY805" s="225"/>
      <c r="AZ805" s="225"/>
      <c r="BA805" s="225"/>
      <c r="BB805" s="225"/>
      <c r="BC805" s="225"/>
      <c r="BD805" s="225"/>
      <c r="BE805" s="225"/>
      <c r="BF805" s="225"/>
      <c r="BG805" s="225"/>
      <c r="BH805" s="225"/>
      <c r="BI805" s="225"/>
      <c r="BJ805" s="225"/>
      <c r="BK805" s="225"/>
    </row>
    <row r="806" spans="48:63" ht="15.75" customHeight="1" x14ac:dyDescent="0.2">
      <c r="AV806" s="225"/>
      <c r="AW806" s="225"/>
      <c r="AX806" s="225"/>
      <c r="AY806" s="225"/>
      <c r="AZ806" s="225"/>
      <c r="BA806" s="225"/>
      <c r="BB806" s="225"/>
      <c r="BC806" s="225"/>
      <c r="BD806" s="225"/>
      <c r="BE806" s="225"/>
      <c r="BF806" s="225"/>
      <c r="BG806" s="225"/>
      <c r="BH806" s="225"/>
      <c r="BI806" s="225"/>
      <c r="BJ806" s="225"/>
      <c r="BK806" s="225"/>
    </row>
    <row r="807" spans="48:63" ht="15.75" customHeight="1" x14ac:dyDescent="0.2">
      <c r="AV807" s="225"/>
      <c r="AW807" s="225"/>
      <c r="AX807" s="225"/>
      <c r="AY807" s="225"/>
      <c r="AZ807" s="225"/>
      <c r="BA807" s="225"/>
      <c r="BB807" s="225"/>
      <c r="BC807" s="225"/>
      <c r="BD807" s="225"/>
      <c r="BE807" s="225"/>
      <c r="BF807" s="225"/>
      <c r="BG807" s="225"/>
      <c r="BH807" s="225"/>
      <c r="BI807" s="225"/>
      <c r="BJ807" s="225"/>
      <c r="BK807" s="225"/>
    </row>
    <row r="808" spans="48:63" ht="15.75" customHeight="1" x14ac:dyDescent="0.2">
      <c r="AV808" s="225"/>
      <c r="AW808" s="225"/>
      <c r="AX808" s="225"/>
      <c r="AY808" s="225"/>
      <c r="AZ808" s="225"/>
      <c r="BA808" s="225"/>
      <c r="BB808" s="225"/>
      <c r="BC808" s="225"/>
      <c r="BD808" s="225"/>
      <c r="BE808" s="225"/>
      <c r="BF808" s="225"/>
      <c r="BG808" s="225"/>
      <c r="BH808" s="225"/>
      <c r="BI808" s="225"/>
      <c r="BJ808" s="225"/>
      <c r="BK808" s="225"/>
    </row>
    <row r="809" spans="48:63" ht="15.75" customHeight="1" x14ac:dyDescent="0.2">
      <c r="AV809" s="225"/>
      <c r="AW809" s="225"/>
      <c r="AX809" s="225"/>
      <c r="AY809" s="225"/>
      <c r="AZ809" s="225"/>
      <c r="BA809" s="225"/>
      <c r="BB809" s="225"/>
      <c r="BC809" s="225"/>
      <c r="BD809" s="225"/>
      <c r="BE809" s="225"/>
      <c r="BF809" s="225"/>
      <c r="BG809" s="225"/>
      <c r="BH809" s="225"/>
      <c r="BI809" s="225"/>
      <c r="BJ809" s="225"/>
      <c r="BK809" s="225"/>
    </row>
    <row r="810" spans="48:63" ht="15.75" customHeight="1" x14ac:dyDescent="0.2">
      <c r="AV810" s="225"/>
      <c r="AW810" s="225"/>
      <c r="AX810" s="225"/>
      <c r="AY810" s="225"/>
      <c r="AZ810" s="225"/>
      <c r="BA810" s="225"/>
      <c r="BB810" s="225"/>
      <c r="BC810" s="225"/>
      <c r="BD810" s="225"/>
      <c r="BE810" s="225"/>
      <c r="BF810" s="225"/>
      <c r="BG810" s="225"/>
      <c r="BH810" s="225"/>
      <c r="BI810" s="225"/>
      <c r="BJ810" s="225"/>
      <c r="BK810" s="225"/>
    </row>
    <row r="811" spans="48:63" ht="15.75" customHeight="1" x14ac:dyDescent="0.2">
      <c r="AV811" s="225"/>
      <c r="AW811" s="225"/>
      <c r="AX811" s="225"/>
      <c r="AY811" s="225"/>
      <c r="AZ811" s="225"/>
      <c r="BA811" s="225"/>
      <c r="BB811" s="225"/>
      <c r="BC811" s="225"/>
      <c r="BD811" s="225"/>
      <c r="BE811" s="225"/>
      <c r="BF811" s="225"/>
      <c r="BG811" s="225"/>
      <c r="BH811" s="225"/>
      <c r="BI811" s="225"/>
      <c r="BJ811" s="225"/>
      <c r="BK811" s="225"/>
    </row>
    <row r="812" spans="48:63" ht="15.75" customHeight="1" x14ac:dyDescent="0.2">
      <c r="AV812" s="225"/>
      <c r="AW812" s="225"/>
      <c r="AX812" s="225"/>
      <c r="AY812" s="225"/>
      <c r="AZ812" s="225"/>
      <c r="BA812" s="225"/>
      <c r="BB812" s="225"/>
      <c r="BC812" s="225"/>
      <c r="BD812" s="225"/>
      <c r="BE812" s="225"/>
      <c r="BF812" s="225"/>
      <c r="BG812" s="225"/>
      <c r="BH812" s="225"/>
      <c r="BI812" s="225"/>
      <c r="BJ812" s="225"/>
      <c r="BK812" s="225"/>
    </row>
    <row r="813" spans="48:63" ht="15.75" customHeight="1" x14ac:dyDescent="0.2">
      <c r="AV813" s="225"/>
      <c r="AW813" s="225"/>
      <c r="AX813" s="225"/>
      <c r="AY813" s="225"/>
      <c r="AZ813" s="225"/>
      <c r="BA813" s="225"/>
      <c r="BB813" s="225"/>
      <c r="BC813" s="225"/>
      <c r="BD813" s="225"/>
      <c r="BE813" s="225"/>
      <c r="BF813" s="225"/>
      <c r="BG813" s="225"/>
      <c r="BH813" s="225"/>
      <c r="BI813" s="225"/>
      <c r="BJ813" s="225"/>
      <c r="BK813" s="225"/>
    </row>
    <row r="814" spans="48:63" ht="15.75" customHeight="1" x14ac:dyDescent="0.2">
      <c r="AV814" s="225"/>
      <c r="AW814" s="225"/>
      <c r="AX814" s="225"/>
      <c r="AY814" s="225"/>
      <c r="AZ814" s="225"/>
      <c r="BA814" s="225"/>
      <c r="BB814" s="225"/>
      <c r="BC814" s="225"/>
      <c r="BD814" s="225"/>
      <c r="BE814" s="225"/>
      <c r="BF814" s="225"/>
      <c r="BG814" s="225"/>
      <c r="BH814" s="225"/>
      <c r="BI814" s="225"/>
      <c r="BJ814" s="225"/>
      <c r="BK814" s="225"/>
    </row>
    <row r="815" spans="48:63" ht="15.75" customHeight="1" x14ac:dyDescent="0.2">
      <c r="AV815" s="225"/>
      <c r="AW815" s="225"/>
      <c r="AX815" s="225"/>
      <c r="AY815" s="225"/>
      <c r="AZ815" s="225"/>
      <c r="BA815" s="225"/>
      <c r="BB815" s="225"/>
      <c r="BC815" s="225"/>
      <c r="BD815" s="225"/>
      <c r="BE815" s="225"/>
      <c r="BF815" s="225"/>
      <c r="BG815" s="225"/>
      <c r="BH815" s="225"/>
      <c r="BI815" s="225"/>
      <c r="BJ815" s="225"/>
      <c r="BK815" s="225"/>
    </row>
    <row r="816" spans="48:63" ht="15.75" customHeight="1" x14ac:dyDescent="0.2">
      <c r="AV816" s="225"/>
      <c r="AW816" s="225"/>
      <c r="AX816" s="225"/>
      <c r="AY816" s="225"/>
      <c r="AZ816" s="225"/>
      <c r="BA816" s="225"/>
      <c r="BB816" s="225"/>
      <c r="BC816" s="225"/>
      <c r="BD816" s="225"/>
      <c r="BE816" s="225"/>
      <c r="BF816" s="225"/>
      <c r="BG816" s="225"/>
      <c r="BH816" s="225"/>
      <c r="BI816" s="225"/>
      <c r="BJ816" s="225"/>
      <c r="BK816" s="225"/>
    </row>
    <row r="817" spans="48:63" ht="15.75" customHeight="1" x14ac:dyDescent="0.2">
      <c r="AV817" s="225"/>
      <c r="AW817" s="225"/>
      <c r="AX817" s="225"/>
      <c r="AY817" s="225"/>
      <c r="AZ817" s="225"/>
      <c r="BA817" s="225"/>
      <c r="BB817" s="225"/>
      <c r="BC817" s="225"/>
      <c r="BD817" s="225"/>
      <c r="BE817" s="225"/>
      <c r="BF817" s="225"/>
      <c r="BG817" s="225"/>
      <c r="BH817" s="225"/>
      <c r="BI817" s="225"/>
      <c r="BJ817" s="225"/>
      <c r="BK817" s="225"/>
    </row>
    <row r="818" spans="48:63" ht="15.75" customHeight="1" x14ac:dyDescent="0.2">
      <c r="AV818" s="225"/>
      <c r="AW818" s="225"/>
      <c r="AX818" s="225"/>
      <c r="AY818" s="225"/>
      <c r="AZ818" s="225"/>
      <c r="BA818" s="225"/>
      <c r="BB818" s="225"/>
      <c r="BC818" s="225"/>
      <c r="BD818" s="225"/>
      <c r="BE818" s="225"/>
      <c r="BF818" s="225"/>
      <c r="BG818" s="225"/>
      <c r="BH818" s="225"/>
      <c r="BI818" s="225"/>
      <c r="BJ818" s="225"/>
      <c r="BK818" s="225"/>
    </row>
    <row r="819" spans="48:63" ht="15.75" customHeight="1" x14ac:dyDescent="0.2">
      <c r="AV819" s="225"/>
      <c r="AW819" s="225"/>
      <c r="AX819" s="225"/>
      <c r="AY819" s="225"/>
      <c r="AZ819" s="225"/>
      <c r="BA819" s="225"/>
      <c r="BB819" s="225"/>
      <c r="BC819" s="225"/>
      <c r="BD819" s="225"/>
      <c r="BE819" s="225"/>
      <c r="BF819" s="225"/>
      <c r="BG819" s="225"/>
      <c r="BH819" s="225"/>
      <c r="BI819" s="225"/>
      <c r="BJ819" s="225"/>
      <c r="BK819" s="225"/>
    </row>
    <row r="820" spans="48:63" ht="15.75" customHeight="1" x14ac:dyDescent="0.2">
      <c r="AV820" s="225"/>
      <c r="AW820" s="225"/>
      <c r="AX820" s="225"/>
      <c r="AY820" s="225"/>
      <c r="AZ820" s="225"/>
      <c r="BA820" s="225"/>
      <c r="BB820" s="225"/>
      <c r="BC820" s="225"/>
      <c r="BD820" s="225"/>
      <c r="BE820" s="225"/>
      <c r="BF820" s="225"/>
      <c r="BG820" s="225"/>
      <c r="BH820" s="225"/>
      <c r="BI820" s="225"/>
      <c r="BJ820" s="225"/>
      <c r="BK820" s="225"/>
    </row>
    <row r="821" spans="48:63" ht="15.75" customHeight="1" x14ac:dyDescent="0.2">
      <c r="AV821" s="225"/>
      <c r="AW821" s="225"/>
      <c r="AX821" s="225"/>
      <c r="AY821" s="225"/>
      <c r="AZ821" s="225"/>
      <c r="BA821" s="225"/>
      <c r="BB821" s="225"/>
      <c r="BC821" s="225"/>
      <c r="BD821" s="225"/>
      <c r="BE821" s="225"/>
      <c r="BF821" s="225"/>
      <c r="BG821" s="225"/>
      <c r="BH821" s="225"/>
      <c r="BI821" s="225"/>
      <c r="BJ821" s="225"/>
      <c r="BK821" s="225"/>
    </row>
    <row r="822" spans="48:63" ht="15.75" customHeight="1" x14ac:dyDescent="0.2">
      <c r="AV822" s="225"/>
      <c r="AW822" s="225"/>
      <c r="AX822" s="225"/>
      <c r="AY822" s="225"/>
      <c r="AZ822" s="225"/>
      <c r="BA822" s="225"/>
      <c r="BB822" s="225"/>
      <c r="BC822" s="225"/>
      <c r="BD822" s="225"/>
      <c r="BE822" s="225"/>
      <c r="BF822" s="225"/>
      <c r="BG822" s="225"/>
      <c r="BH822" s="225"/>
      <c r="BI822" s="225"/>
      <c r="BJ822" s="225"/>
      <c r="BK822" s="225"/>
    </row>
    <row r="823" spans="48:63" ht="15.75" customHeight="1" x14ac:dyDescent="0.2">
      <c r="AV823" s="225"/>
      <c r="AW823" s="225"/>
      <c r="AX823" s="225"/>
      <c r="AY823" s="225"/>
      <c r="AZ823" s="225"/>
      <c r="BA823" s="225"/>
      <c r="BB823" s="225"/>
      <c r="BC823" s="225"/>
      <c r="BD823" s="225"/>
      <c r="BE823" s="225"/>
      <c r="BF823" s="225"/>
      <c r="BG823" s="225"/>
      <c r="BH823" s="225"/>
      <c r="BI823" s="225"/>
      <c r="BJ823" s="225"/>
      <c r="BK823" s="225"/>
    </row>
    <row r="824" spans="48:63" ht="15.75" customHeight="1" x14ac:dyDescent="0.2">
      <c r="AV824" s="225"/>
      <c r="AW824" s="225"/>
      <c r="AX824" s="225"/>
      <c r="AY824" s="225"/>
      <c r="AZ824" s="225"/>
      <c r="BA824" s="225"/>
      <c r="BB824" s="225"/>
      <c r="BC824" s="225"/>
      <c r="BD824" s="225"/>
      <c r="BE824" s="225"/>
      <c r="BF824" s="225"/>
      <c r="BG824" s="225"/>
      <c r="BH824" s="225"/>
      <c r="BI824" s="225"/>
      <c r="BJ824" s="225"/>
      <c r="BK824" s="225"/>
    </row>
    <row r="825" spans="48:63" ht="15.75" customHeight="1" x14ac:dyDescent="0.2">
      <c r="AV825" s="225"/>
      <c r="AW825" s="225"/>
      <c r="AX825" s="225"/>
      <c r="AY825" s="225"/>
      <c r="AZ825" s="225"/>
      <c r="BA825" s="225"/>
      <c r="BB825" s="225"/>
      <c r="BC825" s="225"/>
      <c r="BD825" s="225"/>
      <c r="BE825" s="225"/>
      <c r="BF825" s="225"/>
      <c r="BG825" s="225"/>
      <c r="BH825" s="225"/>
      <c r="BI825" s="225"/>
      <c r="BJ825" s="225"/>
      <c r="BK825" s="225"/>
    </row>
    <row r="826" spans="48:63" ht="15.75" customHeight="1" x14ac:dyDescent="0.2">
      <c r="AV826" s="225"/>
      <c r="AW826" s="225"/>
      <c r="AX826" s="225"/>
      <c r="AY826" s="225"/>
      <c r="AZ826" s="225"/>
      <c r="BA826" s="225"/>
      <c r="BB826" s="225"/>
      <c r="BC826" s="225"/>
      <c r="BD826" s="225"/>
      <c r="BE826" s="225"/>
      <c r="BF826" s="225"/>
      <c r="BG826" s="225"/>
      <c r="BH826" s="225"/>
      <c r="BI826" s="225"/>
      <c r="BJ826" s="225"/>
      <c r="BK826" s="225"/>
    </row>
    <row r="827" spans="48:63" ht="15.75" customHeight="1" x14ac:dyDescent="0.2">
      <c r="AV827" s="225"/>
      <c r="AW827" s="225"/>
      <c r="AX827" s="225"/>
      <c r="AY827" s="225"/>
      <c r="AZ827" s="225"/>
      <c r="BA827" s="225"/>
      <c r="BB827" s="225"/>
      <c r="BC827" s="225"/>
      <c r="BD827" s="225"/>
      <c r="BE827" s="225"/>
      <c r="BF827" s="225"/>
      <c r="BG827" s="225"/>
      <c r="BH827" s="225"/>
      <c r="BI827" s="225"/>
      <c r="BJ827" s="225"/>
      <c r="BK827" s="225"/>
    </row>
    <row r="828" spans="48:63" ht="15.75" customHeight="1" x14ac:dyDescent="0.2">
      <c r="AV828" s="225"/>
      <c r="AW828" s="225"/>
      <c r="AX828" s="225"/>
      <c r="AY828" s="225"/>
      <c r="AZ828" s="225"/>
      <c r="BA828" s="225"/>
      <c r="BB828" s="225"/>
      <c r="BC828" s="225"/>
      <c r="BD828" s="225"/>
      <c r="BE828" s="225"/>
      <c r="BF828" s="225"/>
      <c r="BG828" s="225"/>
      <c r="BH828" s="225"/>
      <c r="BI828" s="225"/>
      <c r="BJ828" s="225"/>
      <c r="BK828" s="225"/>
    </row>
    <row r="829" spans="48:63" ht="15.75" customHeight="1" x14ac:dyDescent="0.2">
      <c r="AV829" s="225"/>
      <c r="AW829" s="225"/>
      <c r="AX829" s="225"/>
      <c r="AY829" s="225"/>
      <c r="AZ829" s="225"/>
      <c r="BA829" s="225"/>
      <c r="BB829" s="225"/>
      <c r="BC829" s="225"/>
      <c r="BD829" s="225"/>
      <c r="BE829" s="225"/>
      <c r="BF829" s="225"/>
      <c r="BG829" s="225"/>
      <c r="BH829" s="225"/>
      <c r="BI829" s="225"/>
      <c r="BJ829" s="225"/>
      <c r="BK829" s="225"/>
    </row>
    <row r="830" spans="48:63" ht="15.75" customHeight="1" x14ac:dyDescent="0.2">
      <c r="AV830" s="225"/>
      <c r="AW830" s="225"/>
      <c r="AX830" s="225"/>
      <c r="AY830" s="225"/>
      <c r="AZ830" s="225"/>
      <c r="BA830" s="225"/>
      <c r="BB830" s="225"/>
      <c r="BC830" s="225"/>
      <c r="BD830" s="225"/>
      <c r="BE830" s="225"/>
      <c r="BF830" s="225"/>
      <c r="BG830" s="225"/>
      <c r="BH830" s="225"/>
      <c r="BI830" s="225"/>
      <c r="BJ830" s="225"/>
      <c r="BK830" s="225"/>
    </row>
    <row r="831" spans="48:63" ht="15.75" customHeight="1" x14ac:dyDescent="0.2">
      <c r="AV831" s="225"/>
      <c r="AW831" s="225"/>
      <c r="AX831" s="225"/>
      <c r="AY831" s="225"/>
      <c r="AZ831" s="225"/>
      <c r="BA831" s="225"/>
      <c r="BB831" s="225"/>
      <c r="BC831" s="225"/>
      <c r="BD831" s="225"/>
      <c r="BE831" s="225"/>
      <c r="BF831" s="225"/>
      <c r="BG831" s="225"/>
      <c r="BH831" s="225"/>
      <c r="BI831" s="225"/>
      <c r="BJ831" s="225"/>
      <c r="BK831" s="225"/>
    </row>
    <row r="832" spans="48:63" ht="15.75" customHeight="1" x14ac:dyDescent="0.2">
      <c r="AV832" s="225"/>
      <c r="AW832" s="225"/>
      <c r="AX832" s="225"/>
      <c r="AY832" s="225"/>
      <c r="AZ832" s="225"/>
      <c r="BA832" s="225"/>
      <c r="BB832" s="225"/>
      <c r="BC832" s="225"/>
      <c r="BD832" s="225"/>
      <c r="BE832" s="225"/>
      <c r="BF832" s="225"/>
      <c r="BG832" s="225"/>
      <c r="BH832" s="225"/>
      <c r="BI832" s="225"/>
      <c r="BJ832" s="225"/>
      <c r="BK832" s="225"/>
    </row>
    <row r="833" spans="48:63" ht="15.75" customHeight="1" x14ac:dyDescent="0.2">
      <c r="AV833" s="225"/>
      <c r="AW833" s="225"/>
      <c r="AX833" s="225"/>
      <c r="AY833" s="225"/>
      <c r="AZ833" s="225"/>
      <c r="BA833" s="225"/>
      <c r="BB833" s="225"/>
      <c r="BC833" s="225"/>
      <c r="BD833" s="225"/>
      <c r="BE833" s="225"/>
      <c r="BF833" s="225"/>
      <c r="BG833" s="225"/>
      <c r="BH833" s="225"/>
      <c r="BI833" s="225"/>
      <c r="BJ833" s="225"/>
      <c r="BK833" s="225"/>
    </row>
    <row r="834" spans="48:63" ht="15.75" customHeight="1" x14ac:dyDescent="0.2">
      <c r="AV834" s="225"/>
      <c r="AW834" s="225"/>
      <c r="AX834" s="225"/>
      <c r="AY834" s="225"/>
      <c r="AZ834" s="225"/>
      <c r="BA834" s="225"/>
      <c r="BB834" s="225"/>
      <c r="BC834" s="225"/>
      <c r="BD834" s="225"/>
      <c r="BE834" s="225"/>
      <c r="BF834" s="225"/>
      <c r="BG834" s="225"/>
      <c r="BH834" s="225"/>
      <c r="BI834" s="225"/>
      <c r="BJ834" s="225"/>
      <c r="BK834" s="225"/>
    </row>
    <row r="835" spans="48:63" ht="15.75" customHeight="1" x14ac:dyDescent="0.2">
      <c r="AV835" s="225"/>
      <c r="AW835" s="225"/>
      <c r="AX835" s="225"/>
      <c r="AY835" s="225"/>
      <c r="AZ835" s="225"/>
      <c r="BA835" s="225"/>
      <c r="BB835" s="225"/>
      <c r="BC835" s="225"/>
      <c r="BD835" s="225"/>
      <c r="BE835" s="225"/>
      <c r="BF835" s="225"/>
      <c r="BG835" s="225"/>
      <c r="BH835" s="225"/>
      <c r="BI835" s="225"/>
      <c r="BJ835" s="225"/>
      <c r="BK835" s="225"/>
    </row>
    <row r="836" spans="48:63" ht="15.75" customHeight="1" x14ac:dyDescent="0.2">
      <c r="AV836" s="225"/>
      <c r="AW836" s="225"/>
      <c r="AX836" s="225"/>
      <c r="AY836" s="225"/>
      <c r="AZ836" s="225"/>
      <c r="BA836" s="225"/>
      <c r="BB836" s="225"/>
      <c r="BC836" s="225"/>
      <c r="BD836" s="225"/>
      <c r="BE836" s="225"/>
      <c r="BF836" s="225"/>
      <c r="BG836" s="225"/>
      <c r="BH836" s="225"/>
      <c r="BI836" s="225"/>
      <c r="BJ836" s="225"/>
      <c r="BK836" s="225"/>
    </row>
    <row r="837" spans="48:63" ht="15.75" customHeight="1" x14ac:dyDescent="0.2">
      <c r="AV837" s="225"/>
      <c r="AW837" s="225"/>
      <c r="AX837" s="225"/>
      <c r="AY837" s="225"/>
      <c r="AZ837" s="225"/>
      <c r="BA837" s="225"/>
      <c r="BB837" s="225"/>
      <c r="BC837" s="225"/>
      <c r="BD837" s="225"/>
      <c r="BE837" s="225"/>
      <c r="BF837" s="225"/>
      <c r="BG837" s="225"/>
      <c r="BH837" s="225"/>
      <c r="BI837" s="225"/>
      <c r="BJ837" s="225"/>
      <c r="BK837" s="225"/>
    </row>
    <row r="838" spans="48:63" ht="15.75" customHeight="1" x14ac:dyDescent="0.2">
      <c r="AV838" s="225"/>
      <c r="AW838" s="225"/>
      <c r="AX838" s="225"/>
      <c r="AY838" s="225"/>
      <c r="AZ838" s="225"/>
      <c r="BA838" s="225"/>
      <c r="BB838" s="225"/>
      <c r="BC838" s="225"/>
      <c r="BD838" s="225"/>
      <c r="BE838" s="225"/>
      <c r="BF838" s="225"/>
      <c r="BG838" s="225"/>
      <c r="BH838" s="225"/>
      <c r="BI838" s="225"/>
      <c r="BJ838" s="225"/>
      <c r="BK838" s="225"/>
    </row>
    <row r="839" spans="48:63" ht="15.75" customHeight="1" x14ac:dyDescent="0.2">
      <c r="AV839" s="225"/>
      <c r="AW839" s="225"/>
      <c r="AX839" s="225"/>
      <c r="AY839" s="225"/>
      <c r="AZ839" s="225"/>
      <c r="BA839" s="225"/>
      <c r="BB839" s="225"/>
      <c r="BC839" s="225"/>
      <c r="BD839" s="225"/>
      <c r="BE839" s="225"/>
      <c r="BF839" s="225"/>
      <c r="BG839" s="225"/>
      <c r="BH839" s="225"/>
      <c r="BI839" s="225"/>
      <c r="BJ839" s="225"/>
      <c r="BK839" s="225"/>
    </row>
    <row r="840" spans="48:63" ht="15.75" customHeight="1" x14ac:dyDescent="0.2">
      <c r="AV840" s="225"/>
      <c r="AW840" s="225"/>
      <c r="AX840" s="225"/>
      <c r="AY840" s="225"/>
      <c r="AZ840" s="225"/>
      <c r="BA840" s="225"/>
      <c r="BB840" s="225"/>
      <c r="BC840" s="225"/>
      <c r="BD840" s="225"/>
      <c r="BE840" s="225"/>
      <c r="BF840" s="225"/>
      <c r="BG840" s="225"/>
      <c r="BH840" s="225"/>
      <c r="BI840" s="225"/>
      <c r="BJ840" s="225"/>
      <c r="BK840" s="225"/>
    </row>
    <row r="841" spans="48:63" ht="15.75" customHeight="1" x14ac:dyDescent="0.2">
      <c r="AV841" s="225"/>
      <c r="AW841" s="225"/>
      <c r="AX841" s="225"/>
      <c r="AY841" s="225"/>
      <c r="AZ841" s="225"/>
      <c r="BA841" s="225"/>
      <c r="BB841" s="225"/>
      <c r="BC841" s="225"/>
      <c r="BD841" s="225"/>
      <c r="BE841" s="225"/>
      <c r="BF841" s="225"/>
      <c r="BG841" s="225"/>
      <c r="BH841" s="225"/>
      <c r="BI841" s="225"/>
      <c r="BJ841" s="225"/>
      <c r="BK841" s="225"/>
    </row>
    <row r="842" spans="48:63" ht="15.75" customHeight="1" x14ac:dyDescent="0.2">
      <c r="AV842" s="225"/>
      <c r="AW842" s="225"/>
      <c r="AX842" s="225"/>
      <c r="AY842" s="225"/>
      <c r="AZ842" s="225"/>
      <c r="BA842" s="225"/>
      <c r="BB842" s="225"/>
      <c r="BC842" s="225"/>
      <c r="BD842" s="225"/>
      <c r="BE842" s="225"/>
      <c r="BF842" s="225"/>
      <c r="BG842" s="225"/>
      <c r="BH842" s="225"/>
      <c r="BI842" s="225"/>
      <c r="BJ842" s="225"/>
      <c r="BK842" s="225"/>
    </row>
    <row r="843" spans="48:63" ht="15.75" customHeight="1" x14ac:dyDescent="0.2">
      <c r="AV843" s="225"/>
      <c r="AW843" s="225"/>
      <c r="AX843" s="225"/>
      <c r="AY843" s="225"/>
      <c r="AZ843" s="225"/>
      <c r="BA843" s="225"/>
      <c r="BB843" s="225"/>
      <c r="BC843" s="225"/>
      <c r="BD843" s="225"/>
      <c r="BE843" s="225"/>
      <c r="BF843" s="225"/>
      <c r="BG843" s="225"/>
      <c r="BH843" s="225"/>
      <c r="BI843" s="225"/>
      <c r="BJ843" s="225"/>
      <c r="BK843" s="225"/>
    </row>
    <row r="844" spans="48:63" ht="15.75" customHeight="1" x14ac:dyDescent="0.2">
      <c r="AV844" s="225"/>
      <c r="AW844" s="225"/>
      <c r="AX844" s="225"/>
      <c r="AY844" s="225"/>
      <c r="AZ844" s="225"/>
      <c r="BA844" s="225"/>
      <c r="BB844" s="225"/>
      <c r="BC844" s="225"/>
      <c r="BD844" s="225"/>
      <c r="BE844" s="225"/>
      <c r="BF844" s="225"/>
      <c r="BG844" s="225"/>
      <c r="BH844" s="225"/>
      <c r="BI844" s="225"/>
      <c r="BJ844" s="225"/>
      <c r="BK844" s="225"/>
    </row>
    <row r="845" spans="48:63" ht="15.75" customHeight="1" x14ac:dyDescent="0.2">
      <c r="AV845" s="225"/>
      <c r="AW845" s="225"/>
      <c r="AX845" s="225"/>
      <c r="AY845" s="225"/>
      <c r="AZ845" s="225"/>
      <c r="BA845" s="225"/>
      <c r="BB845" s="225"/>
      <c r="BC845" s="225"/>
      <c r="BD845" s="225"/>
      <c r="BE845" s="225"/>
      <c r="BF845" s="225"/>
      <c r="BG845" s="225"/>
      <c r="BH845" s="225"/>
      <c r="BI845" s="225"/>
      <c r="BJ845" s="225"/>
      <c r="BK845" s="225"/>
    </row>
    <row r="846" spans="48:63" ht="15.75" customHeight="1" x14ac:dyDescent="0.2">
      <c r="AV846" s="225"/>
      <c r="AW846" s="225"/>
      <c r="AX846" s="225"/>
      <c r="AY846" s="225"/>
      <c r="AZ846" s="225"/>
      <c r="BA846" s="225"/>
      <c r="BB846" s="225"/>
      <c r="BC846" s="225"/>
      <c r="BD846" s="225"/>
      <c r="BE846" s="225"/>
      <c r="BF846" s="225"/>
      <c r="BG846" s="225"/>
      <c r="BH846" s="225"/>
      <c r="BI846" s="225"/>
      <c r="BJ846" s="225"/>
      <c r="BK846" s="225"/>
    </row>
    <row r="847" spans="48:63" ht="15.75" customHeight="1" x14ac:dyDescent="0.2">
      <c r="AV847" s="225"/>
      <c r="AW847" s="225"/>
      <c r="AX847" s="225"/>
      <c r="AY847" s="225"/>
      <c r="AZ847" s="225"/>
      <c r="BA847" s="225"/>
      <c r="BB847" s="225"/>
      <c r="BC847" s="225"/>
      <c r="BD847" s="225"/>
      <c r="BE847" s="225"/>
      <c r="BF847" s="225"/>
      <c r="BG847" s="225"/>
      <c r="BH847" s="225"/>
      <c r="BI847" s="225"/>
      <c r="BJ847" s="225"/>
      <c r="BK847" s="225"/>
    </row>
    <row r="848" spans="48:63" ht="15.75" customHeight="1" x14ac:dyDescent="0.2">
      <c r="AV848" s="225"/>
      <c r="AW848" s="225"/>
      <c r="AX848" s="225"/>
      <c r="AY848" s="225"/>
      <c r="AZ848" s="225"/>
      <c r="BA848" s="225"/>
      <c r="BB848" s="225"/>
      <c r="BC848" s="225"/>
      <c r="BD848" s="225"/>
      <c r="BE848" s="225"/>
      <c r="BF848" s="225"/>
      <c r="BG848" s="225"/>
      <c r="BH848" s="225"/>
      <c r="BI848" s="225"/>
      <c r="BJ848" s="225"/>
      <c r="BK848" s="225"/>
    </row>
    <row r="849" spans="48:63" ht="15.75" customHeight="1" x14ac:dyDescent="0.2">
      <c r="AV849" s="225"/>
      <c r="AW849" s="225"/>
      <c r="AX849" s="225"/>
      <c r="AY849" s="225"/>
      <c r="AZ849" s="225"/>
      <c r="BA849" s="225"/>
      <c r="BB849" s="225"/>
      <c r="BC849" s="225"/>
      <c r="BD849" s="225"/>
      <c r="BE849" s="225"/>
      <c r="BF849" s="225"/>
      <c r="BG849" s="225"/>
      <c r="BH849" s="225"/>
      <c r="BI849" s="225"/>
      <c r="BJ849" s="225"/>
      <c r="BK849" s="225"/>
    </row>
    <row r="850" spans="48:63" ht="15.75" customHeight="1" x14ac:dyDescent="0.2">
      <c r="AV850" s="225"/>
      <c r="AW850" s="225"/>
      <c r="AX850" s="225"/>
      <c r="AY850" s="225"/>
      <c r="AZ850" s="225"/>
      <c r="BA850" s="225"/>
      <c r="BB850" s="225"/>
      <c r="BC850" s="225"/>
      <c r="BD850" s="225"/>
      <c r="BE850" s="225"/>
      <c r="BF850" s="225"/>
      <c r="BG850" s="225"/>
      <c r="BH850" s="225"/>
      <c r="BI850" s="225"/>
      <c r="BJ850" s="225"/>
      <c r="BK850" s="225"/>
    </row>
    <row r="851" spans="48:63" ht="15.75" customHeight="1" x14ac:dyDescent="0.2">
      <c r="AV851" s="225"/>
      <c r="AW851" s="225"/>
      <c r="AX851" s="225"/>
      <c r="AY851" s="225"/>
      <c r="AZ851" s="225"/>
      <c r="BA851" s="225"/>
      <c r="BB851" s="225"/>
      <c r="BC851" s="225"/>
      <c r="BD851" s="225"/>
      <c r="BE851" s="225"/>
      <c r="BF851" s="225"/>
      <c r="BG851" s="225"/>
      <c r="BH851" s="225"/>
      <c r="BI851" s="225"/>
      <c r="BJ851" s="225"/>
      <c r="BK851" s="225"/>
    </row>
    <row r="852" spans="48:63" ht="15.75" customHeight="1" x14ac:dyDescent="0.2">
      <c r="AV852" s="225"/>
      <c r="AW852" s="225"/>
      <c r="AX852" s="225"/>
      <c r="AY852" s="225"/>
      <c r="AZ852" s="225"/>
      <c r="BA852" s="225"/>
      <c r="BB852" s="225"/>
      <c r="BC852" s="225"/>
      <c r="BD852" s="225"/>
      <c r="BE852" s="225"/>
      <c r="BF852" s="225"/>
      <c r="BG852" s="225"/>
      <c r="BH852" s="225"/>
      <c r="BI852" s="225"/>
      <c r="BJ852" s="225"/>
      <c r="BK852" s="225"/>
    </row>
    <row r="853" spans="48:63" ht="15.75" customHeight="1" x14ac:dyDescent="0.2">
      <c r="AV853" s="225"/>
      <c r="AW853" s="225"/>
      <c r="AX853" s="225"/>
      <c r="AY853" s="225"/>
      <c r="AZ853" s="225"/>
      <c r="BA853" s="225"/>
      <c r="BB853" s="225"/>
      <c r="BC853" s="225"/>
      <c r="BD853" s="225"/>
      <c r="BE853" s="225"/>
      <c r="BF853" s="225"/>
      <c r="BG853" s="225"/>
      <c r="BH853" s="225"/>
      <c r="BI853" s="225"/>
      <c r="BJ853" s="225"/>
      <c r="BK853" s="225"/>
    </row>
    <row r="854" spans="48:63" ht="15.75" customHeight="1" x14ac:dyDescent="0.2">
      <c r="AV854" s="225"/>
      <c r="AW854" s="225"/>
      <c r="AX854" s="225"/>
      <c r="AY854" s="225"/>
      <c r="AZ854" s="225"/>
      <c r="BA854" s="225"/>
      <c r="BB854" s="225"/>
      <c r="BC854" s="225"/>
      <c r="BD854" s="225"/>
      <c r="BE854" s="225"/>
      <c r="BF854" s="225"/>
      <c r="BG854" s="225"/>
      <c r="BH854" s="225"/>
      <c r="BI854" s="225"/>
      <c r="BJ854" s="225"/>
      <c r="BK854" s="225"/>
    </row>
    <row r="855" spans="48:63" ht="15.75" customHeight="1" x14ac:dyDescent="0.2">
      <c r="AV855" s="225"/>
      <c r="AW855" s="225"/>
      <c r="AX855" s="225"/>
      <c r="AY855" s="225"/>
      <c r="AZ855" s="225"/>
      <c r="BA855" s="225"/>
      <c r="BB855" s="225"/>
      <c r="BC855" s="225"/>
      <c r="BD855" s="225"/>
      <c r="BE855" s="225"/>
      <c r="BF855" s="225"/>
      <c r="BG855" s="225"/>
      <c r="BH855" s="225"/>
      <c r="BI855" s="225"/>
      <c r="BJ855" s="225"/>
      <c r="BK855" s="225"/>
    </row>
    <row r="856" spans="48:63" ht="15.75" customHeight="1" x14ac:dyDescent="0.2">
      <c r="AV856" s="225"/>
      <c r="AW856" s="225"/>
      <c r="AX856" s="225"/>
      <c r="AY856" s="225"/>
      <c r="AZ856" s="225"/>
      <c r="BA856" s="225"/>
      <c r="BB856" s="225"/>
      <c r="BC856" s="225"/>
      <c r="BD856" s="225"/>
      <c r="BE856" s="225"/>
      <c r="BF856" s="225"/>
      <c r="BG856" s="225"/>
      <c r="BH856" s="225"/>
      <c r="BI856" s="225"/>
      <c r="BJ856" s="225"/>
      <c r="BK856" s="225"/>
    </row>
    <row r="857" spans="48:63" ht="15.75" customHeight="1" x14ac:dyDescent="0.2">
      <c r="AV857" s="225"/>
      <c r="AW857" s="225"/>
      <c r="AX857" s="225"/>
      <c r="AY857" s="225"/>
      <c r="AZ857" s="225"/>
      <c r="BA857" s="225"/>
      <c r="BB857" s="225"/>
      <c r="BC857" s="225"/>
      <c r="BD857" s="225"/>
      <c r="BE857" s="225"/>
      <c r="BF857" s="225"/>
      <c r="BG857" s="225"/>
      <c r="BH857" s="225"/>
      <c r="BI857" s="225"/>
      <c r="BJ857" s="225"/>
      <c r="BK857" s="225"/>
    </row>
    <row r="858" spans="48:63" ht="15.75" customHeight="1" x14ac:dyDescent="0.2">
      <c r="AV858" s="225"/>
      <c r="AW858" s="225"/>
      <c r="AX858" s="225"/>
      <c r="AY858" s="225"/>
      <c r="AZ858" s="225"/>
      <c r="BA858" s="225"/>
      <c r="BB858" s="225"/>
      <c r="BC858" s="225"/>
      <c r="BD858" s="225"/>
      <c r="BE858" s="225"/>
      <c r="BF858" s="225"/>
      <c r="BG858" s="225"/>
      <c r="BH858" s="225"/>
      <c r="BI858" s="225"/>
      <c r="BJ858" s="225"/>
      <c r="BK858" s="225"/>
    </row>
    <row r="859" spans="48:63" ht="15.75" customHeight="1" x14ac:dyDescent="0.2">
      <c r="AV859" s="225"/>
      <c r="AW859" s="225"/>
      <c r="AX859" s="225"/>
      <c r="AY859" s="225"/>
      <c r="AZ859" s="225"/>
      <c r="BA859" s="225"/>
      <c r="BB859" s="225"/>
      <c r="BC859" s="225"/>
      <c r="BD859" s="225"/>
      <c r="BE859" s="225"/>
      <c r="BF859" s="225"/>
      <c r="BG859" s="225"/>
      <c r="BH859" s="225"/>
      <c r="BI859" s="225"/>
      <c r="BJ859" s="225"/>
      <c r="BK859" s="225"/>
    </row>
    <row r="860" spans="48:63" ht="15.75" customHeight="1" x14ac:dyDescent="0.2">
      <c r="AV860" s="225"/>
      <c r="AW860" s="225"/>
      <c r="AX860" s="225"/>
      <c r="AY860" s="225"/>
      <c r="AZ860" s="225"/>
      <c r="BA860" s="225"/>
      <c r="BB860" s="225"/>
      <c r="BC860" s="225"/>
      <c r="BD860" s="225"/>
      <c r="BE860" s="225"/>
      <c r="BF860" s="225"/>
      <c r="BG860" s="225"/>
      <c r="BH860" s="225"/>
      <c r="BI860" s="225"/>
      <c r="BJ860" s="225"/>
      <c r="BK860" s="225"/>
    </row>
    <row r="861" spans="48:63" ht="15.75" customHeight="1" x14ac:dyDescent="0.2">
      <c r="AV861" s="225"/>
      <c r="AW861" s="225"/>
      <c r="AX861" s="225"/>
      <c r="AY861" s="225"/>
      <c r="AZ861" s="225"/>
      <c r="BA861" s="225"/>
      <c r="BB861" s="225"/>
      <c r="BC861" s="225"/>
      <c r="BD861" s="225"/>
      <c r="BE861" s="225"/>
      <c r="BF861" s="225"/>
      <c r="BG861" s="225"/>
      <c r="BH861" s="225"/>
      <c r="BI861" s="225"/>
      <c r="BJ861" s="225"/>
      <c r="BK861" s="225"/>
    </row>
    <row r="862" spans="48:63" ht="15.75" customHeight="1" x14ac:dyDescent="0.2">
      <c r="AV862" s="225"/>
      <c r="AW862" s="225"/>
      <c r="AX862" s="225"/>
      <c r="AY862" s="225"/>
      <c r="AZ862" s="225"/>
      <c r="BA862" s="225"/>
      <c r="BB862" s="225"/>
      <c r="BC862" s="225"/>
      <c r="BD862" s="225"/>
      <c r="BE862" s="225"/>
      <c r="BF862" s="225"/>
      <c r="BG862" s="225"/>
      <c r="BH862" s="225"/>
      <c r="BI862" s="225"/>
      <c r="BJ862" s="225"/>
      <c r="BK862" s="225"/>
    </row>
    <row r="863" spans="48:63" ht="15.75" customHeight="1" x14ac:dyDescent="0.2">
      <c r="AV863" s="225"/>
      <c r="AW863" s="225"/>
      <c r="AX863" s="225"/>
      <c r="AY863" s="225"/>
      <c r="AZ863" s="225"/>
      <c r="BA863" s="225"/>
      <c r="BB863" s="225"/>
      <c r="BC863" s="225"/>
      <c r="BD863" s="225"/>
      <c r="BE863" s="225"/>
      <c r="BF863" s="225"/>
      <c r="BG863" s="225"/>
      <c r="BH863" s="225"/>
      <c r="BI863" s="225"/>
      <c r="BJ863" s="225"/>
      <c r="BK863" s="225"/>
    </row>
    <row r="864" spans="48:63" ht="15.75" customHeight="1" x14ac:dyDescent="0.2">
      <c r="AV864" s="225"/>
      <c r="AW864" s="225"/>
      <c r="AX864" s="225"/>
      <c r="AY864" s="225"/>
      <c r="AZ864" s="225"/>
      <c r="BA864" s="225"/>
      <c r="BB864" s="225"/>
      <c r="BC864" s="225"/>
      <c r="BD864" s="225"/>
      <c r="BE864" s="225"/>
      <c r="BF864" s="225"/>
      <c r="BG864" s="225"/>
      <c r="BH864" s="225"/>
      <c r="BI864" s="225"/>
      <c r="BJ864" s="225"/>
      <c r="BK864" s="225"/>
    </row>
    <row r="865" spans="48:63" ht="15.75" customHeight="1" x14ac:dyDescent="0.2">
      <c r="AV865" s="225"/>
      <c r="AW865" s="225"/>
      <c r="AX865" s="225"/>
      <c r="AY865" s="225"/>
      <c r="AZ865" s="225"/>
      <c r="BA865" s="225"/>
      <c r="BB865" s="225"/>
      <c r="BC865" s="225"/>
      <c r="BD865" s="225"/>
      <c r="BE865" s="225"/>
      <c r="BF865" s="225"/>
      <c r="BG865" s="225"/>
      <c r="BH865" s="225"/>
      <c r="BI865" s="225"/>
      <c r="BJ865" s="225"/>
      <c r="BK865" s="225"/>
    </row>
    <row r="866" spans="48:63" ht="15.75" customHeight="1" x14ac:dyDescent="0.2">
      <c r="AV866" s="225"/>
      <c r="AW866" s="225"/>
      <c r="AX866" s="225"/>
      <c r="AY866" s="225"/>
      <c r="AZ866" s="225"/>
      <c r="BA866" s="225"/>
      <c r="BB866" s="225"/>
      <c r="BC866" s="225"/>
      <c r="BD866" s="225"/>
      <c r="BE866" s="225"/>
      <c r="BF866" s="225"/>
      <c r="BG866" s="225"/>
      <c r="BH866" s="225"/>
      <c r="BI866" s="225"/>
      <c r="BJ866" s="225"/>
      <c r="BK866" s="225"/>
    </row>
    <row r="867" spans="48:63" ht="15.75" customHeight="1" x14ac:dyDescent="0.2">
      <c r="AV867" s="225"/>
      <c r="AW867" s="225"/>
      <c r="AX867" s="225"/>
      <c r="AY867" s="225"/>
      <c r="AZ867" s="225"/>
      <c r="BA867" s="225"/>
      <c r="BB867" s="225"/>
      <c r="BC867" s="225"/>
      <c r="BD867" s="225"/>
      <c r="BE867" s="225"/>
      <c r="BF867" s="225"/>
      <c r="BG867" s="225"/>
      <c r="BH867" s="225"/>
      <c r="BI867" s="225"/>
      <c r="BJ867" s="225"/>
      <c r="BK867" s="225"/>
    </row>
    <row r="868" spans="48:63" ht="15.75" customHeight="1" x14ac:dyDescent="0.2">
      <c r="AV868" s="225"/>
      <c r="AW868" s="225"/>
      <c r="AX868" s="225"/>
      <c r="AY868" s="225"/>
      <c r="AZ868" s="225"/>
      <c r="BA868" s="225"/>
      <c r="BB868" s="225"/>
      <c r="BC868" s="225"/>
      <c r="BD868" s="225"/>
      <c r="BE868" s="225"/>
      <c r="BF868" s="225"/>
      <c r="BG868" s="225"/>
      <c r="BH868" s="225"/>
      <c r="BI868" s="225"/>
      <c r="BJ868" s="225"/>
      <c r="BK868" s="225"/>
    </row>
    <row r="869" spans="48:63" ht="15.75" customHeight="1" x14ac:dyDescent="0.2">
      <c r="AV869" s="225"/>
      <c r="AW869" s="225"/>
      <c r="AX869" s="225"/>
      <c r="AY869" s="225"/>
      <c r="AZ869" s="225"/>
      <c r="BA869" s="225"/>
      <c r="BB869" s="225"/>
      <c r="BC869" s="225"/>
      <c r="BD869" s="225"/>
      <c r="BE869" s="225"/>
      <c r="BF869" s="225"/>
      <c r="BG869" s="225"/>
      <c r="BH869" s="225"/>
      <c r="BI869" s="225"/>
      <c r="BJ869" s="225"/>
      <c r="BK869" s="225"/>
    </row>
    <row r="870" spans="48:63" ht="15.75" customHeight="1" x14ac:dyDescent="0.2">
      <c r="AV870" s="225"/>
      <c r="AW870" s="225"/>
      <c r="AX870" s="225"/>
      <c r="AY870" s="225"/>
      <c r="AZ870" s="225"/>
      <c r="BA870" s="225"/>
      <c r="BB870" s="225"/>
      <c r="BC870" s="225"/>
      <c r="BD870" s="225"/>
      <c r="BE870" s="225"/>
      <c r="BF870" s="225"/>
      <c r="BG870" s="225"/>
      <c r="BH870" s="225"/>
      <c r="BI870" s="225"/>
      <c r="BJ870" s="225"/>
      <c r="BK870" s="225"/>
    </row>
    <row r="871" spans="48:63" ht="15.75" customHeight="1" x14ac:dyDescent="0.2">
      <c r="AV871" s="225"/>
      <c r="AW871" s="225"/>
      <c r="AX871" s="225"/>
      <c r="AY871" s="225"/>
      <c r="AZ871" s="225"/>
      <c r="BA871" s="225"/>
      <c r="BB871" s="225"/>
      <c r="BC871" s="225"/>
      <c r="BD871" s="225"/>
      <c r="BE871" s="225"/>
      <c r="BF871" s="225"/>
      <c r="BG871" s="225"/>
      <c r="BH871" s="225"/>
      <c r="BI871" s="225"/>
      <c r="BJ871" s="225"/>
      <c r="BK871" s="225"/>
    </row>
    <row r="872" spans="48:63" ht="15.75" customHeight="1" x14ac:dyDescent="0.2">
      <c r="AV872" s="225"/>
      <c r="AW872" s="225"/>
      <c r="AX872" s="225"/>
      <c r="AY872" s="225"/>
      <c r="AZ872" s="225"/>
      <c r="BA872" s="225"/>
      <c r="BB872" s="225"/>
      <c r="BC872" s="225"/>
      <c r="BD872" s="225"/>
      <c r="BE872" s="225"/>
      <c r="BF872" s="225"/>
      <c r="BG872" s="225"/>
      <c r="BH872" s="225"/>
      <c r="BI872" s="225"/>
      <c r="BJ872" s="225"/>
      <c r="BK872" s="225"/>
    </row>
    <row r="873" spans="48:63" ht="15.75" customHeight="1" x14ac:dyDescent="0.2">
      <c r="AV873" s="225"/>
      <c r="AW873" s="225"/>
      <c r="AX873" s="225"/>
      <c r="AY873" s="225"/>
      <c r="AZ873" s="225"/>
      <c r="BA873" s="225"/>
      <c r="BB873" s="225"/>
      <c r="BC873" s="225"/>
      <c r="BD873" s="225"/>
      <c r="BE873" s="225"/>
      <c r="BF873" s="225"/>
      <c r="BG873" s="225"/>
      <c r="BH873" s="225"/>
      <c r="BI873" s="225"/>
      <c r="BJ873" s="225"/>
      <c r="BK873" s="225"/>
    </row>
    <row r="874" spans="48:63" ht="15.75" customHeight="1" x14ac:dyDescent="0.2">
      <c r="AV874" s="225"/>
      <c r="AW874" s="225"/>
      <c r="AX874" s="225"/>
      <c r="AY874" s="225"/>
      <c r="AZ874" s="225"/>
      <c r="BA874" s="225"/>
      <c r="BB874" s="225"/>
      <c r="BC874" s="225"/>
      <c r="BD874" s="225"/>
      <c r="BE874" s="225"/>
      <c r="BF874" s="225"/>
      <c r="BG874" s="225"/>
      <c r="BH874" s="225"/>
      <c r="BI874" s="225"/>
      <c r="BJ874" s="225"/>
      <c r="BK874" s="225"/>
    </row>
    <row r="875" spans="48:63" ht="15.75" customHeight="1" x14ac:dyDescent="0.2">
      <c r="AV875" s="225"/>
      <c r="AW875" s="225"/>
      <c r="AX875" s="225"/>
      <c r="AY875" s="225"/>
      <c r="AZ875" s="225"/>
      <c r="BA875" s="225"/>
      <c r="BB875" s="225"/>
      <c r="BC875" s="225"/>
      <c r="BD875" s="225"/>
      <c r="BE875" s="225"/>
      <c r="BF875" s="225"/>
      <c r="BG875" s="225"/>
      <c r="BH875" s="225"/>
      <c r="BI875" s="225"/>
      <c r="BJ875" s="225"/>
      <c r="BK875" s="225"/>
    </row>
    <row r="876" spans="48:63" ht="15.75" customHeight="1" x14ac:dyDescent="0.2">
      <c r="AV876" s="225"/>
      <c r="AW876" s="225"/>
      <c r="AX876" s="225"/>
      <c r="AY876" s="225"/>
      <c r="AZ876" s="225"/>
      <c r="BA876" s="225"/>
      <c r="BB876" s="225"/>
      <c r="BC876" s="225"/>
      <c r="BD876" s="225"/>
      <c r="BE876" s="225"/>
      <c r="BF876" s="225"/>
      <c r="BG876" s="225"/>
      <c r="BH876" s="225"/>
      <c r="BI876" s="225"/>
      <c r="BJ876" s="225"/>
      <c r="BK876" s="225"/>
    </row>
    <row r="877" spans="48:63" ht="15.75" customHeight="1" x14ac:dyDescent="0.2">
      <c r="AV877" s="225"/>
      <c r="AW877" s="225"/>
      <c r="AX877" s="225"/>
      <c r="AY877" s="225"/>
      <c r="AZ877" s="225"/>
      <c r="BA877" s="225"/>
      <c r="BB877" s="225"/>
      <c r="BC877" s="225"/>
      <c r="BD877" s="225"/>
      <c r="BE877" s="225"/>
      <c r="BF877" s="225"/>
      <c r="BG877" s="225"/>
      <c r="BH877" s="225"/>
      <c r="BI877" s="225"/>
      <c r="BJ877" s="225"/>
      <c r="BK877" s="225"/>
    </row>
    <row r="878" spans="48:63" ht="15.75" customHeight="1" x14ac:dyDescent="0.2">
      <c r="AV878" s="225"/>
      <c r="AW878" s="225"/>
      <c r="AX878" s="225"/>
      <c r="AY878" s="225"/>
      <c r="AZ878" s="225"/>
      <c r="BA878" s="225"/>
      <c r="BB878" s="225"/>
      <c r="BC878" s="225"/>
      <c r="BD878" s="225"/>
      <c r="BE878" s="225"/>
      <c r="BF878" s="225"/>
      <c r="BG878" s="225"/>
      <c r="BH878" s="225"/>
      <c r="BI878" s="225"/>
      <c r="BJ878" s="225"/>
      <c r="BK878" s="225"/>
    </row>
    <row r="879" spans="48:63" ht="15.75" customHeight="1" x14ac:dyDescent="0.2">
      <c r="AV879" s="225"/>
      <c r="AW879" s="225"/>
      <c r="AX879" s="225"/>
      <c r="AY879" s="225"/>
      <c r="AZ879" s="225"/>
      <c r="BA879" s="225"/>
      <c r="BB879" s="225"/>
      <c r="BC879" s="225"/>
      <c r="BD879" s="225"/>
      <c r="BE879" s="225"/>
      <c r="BF879" s="225"/>
      <c r="BG879" s="225"/>
      <c r="BH879" s="225"/>
      <c r="BI879" s="225"/>
      <c r="BJ879" s="225"/>
      <c r="BK879" s="225"/>
    </row>
    <row r="880" spans="48:63" ht="15.75" customHeight="1" x14ac:dyDescent="0.2">
      <c r="AV880" s="225"/>
      <c r="AW880" s="225"/>
      <c r="AX880" s="225"/>
      <c r="AY880" s="225"/>
      <c r="AZ880" s="225"/>
      <c r="BA880" s="225"/>
      <c r="BB880" s="225"/>
      <c r="BC880" s="225"/>
      <c r="BD880" s="225"/>
      <c r="BE880" s="225"/>
      <c r="BF880" s="225"/>
      <c r="BG880" s="225"/>
      <c r="BH880" s="225"/>
      <c r="BI880" s="225"/>
      <c r="BJ880" s="225"/>
      <c r="BK880" s="225"/>
    </row>
    <row r="881" spans="48:63" ht="15.75" customHeight="1" x14ac:dyDescent="0.2">
      <c r="AV881" s="225"/>
      <c r="AW881" s="225"/>
      <c r="AX881" s="225"/>
      <c r="AY881" s="225"/>
      <c r="AZ881" s="225"/>
      <c r="BA881" s="225"/>
      <c r="BB881" s="225"/>
      <c r="BC881" s="225"/>
      <c r="BD881" s="225"/>
      <c r="BE881" s="225"/>
      <c r="BF881" s="225"/>
      <c r="BG881" s="225"/>
      <c r="BH881" s="225"/>
      <c r="BI881" s="225"/>
      <c r="BJ881" s="225"/>
      <c r="BK881" s="225"/>
    </row>
    <row r="882" spans="48:63" ht="15.75" customHeight="1" x14ac:dyDescent="0.2">
      <c r="AV882" s="225"/>
      <c r="AW882" s="225"/>
      <c r="AX882" s="225"/>
      <c r="AY882" s="225"/>
      <c r="AZ882" s="225"/>
      <c r="BA882" s="225"/>
      <c r="BB882" s="225"/>
      <c r="BC882" s="225"/>
      <c r="BD882" s="225"/>
      <c r="BE882" s="225"/>
      <c r="BF882" s="225"/>
      <c r="BG882" s="225"/>
      <c r="BH882" s="225"/>
      <c r="BI882" s="225"/>
      <c r="BJ882" s="225"/>
      <c r="BK882" s="225"/>
    </row>
    <row r="883" spans="48:63" ht="15.75" customHeight="1" x14ac:dyDescent="0.2">
      <c r="AV883" s="225"/>
      <c r="AW883" s="225"/>
      <c r="AX883" s="225"/>
      <c r="AY883" s="225"/>
      <c r="AZ883" s="225"/>
      <c r="BA883" s="225"/>
      <c r="BB883" s="225"/>
      <c r="BC883" s="225"/>
      <c r="BD883" s="225"/>
      <c r="BE883" s="225"/>
      <c r="BF883" s="225"/>
      <c r="BG883" s="225"/>
      <c r="BH883" s="225"/>
      <c r="BI883" s="225"/>
      <c r="BJ883" s="225"/>
      <c r="BK883" s="225"/>
    </row>
    <row r="884" spans="48:63" ht="15.75" customHeight="1" x14ac:dyDescent="0.2">
      <c r="AV884" s="225"/>
      <c r="AW884" s="225"/>
      <c r="AX884" s="225"/>
      <c r="AY884" s="225"/>
      <c r="AZ884" s="225"/>
      <c r="BA884" s="225"/>
      <c r="BB884" s="225"/>
      <c r="BC884" s="225"/>
      <c r="BD884" s="225"/>
      <c r="BE884" s="225"/>
      <c r="BF884" s="225"/>
      <c r="BG884" s="225"/>
      <c r="BH884" s="225"/>
      <c r="BI884" s="225"/>
      <c r="BJ884" s="225"/>
      <c r="BK884" s="225"/>
    </row>
    <row r="885" spans="48:63" ht="15.75" customHeight="1" x14ac:dyDescent="0.2">
      <c r="AV885" s="225"/>
      <c r="AW885" s="225"/>
      <c r="AX885" s="225"/>
      <c r="AY885" s="225"/>
      <c r="AZ885" s="225"/>
      <c r="BA885" s="225"/>
      <c r="BB885" s="225"/>
      <c r="BC885" s="225"/>
      <c r="BD885" s="225"/>
      <c r="BE885" s="225"/>
      <c r="BF885" s="225"/>
      <c r="BG885" s="225"/>
      <c r="BH885" s="225"/>
      <c r="BI885" s="225"/>
      <c r="BJ885" s="225"/>
      <c r="BK885" s="225"/>
    </row>
    <row r="886" spans="48:63" ht="15.75" customHeight="1" x14ac:dyDescent="0.2">
      <c r="AV886" s="225"/>
      <c r="AW886" s="225"/>
      <c r="AX886" s="225"/>
      <c r="AY886" s="225"/>
      <c r="AZ886" s="225"/>
      <c r="BA886" s="225"/>
      <c r="BB886" s="225"/>
      <c r="BC886" s="225"/>
      <c r="BD886" s="225"/>
      <c r="BE886" s="225"/>
      <c r="BF886" s="225"/>
      <c r="BG886" s="225"/>
      <c r="BH886" s="225"/>
      <c r="BI886" s="225"/>
      <c r="BJ886" s="225"/>
      <c r="BK886" s="225"/>
    </row>
    <row r="887" spans="48:63" ht="15.75" customHeight="1" x14ac:dyDescent="0.2">
      <c r="AV887" s="225"/>
      <c r="AW887" s="225"/>
      <c r="AX887" s="225"/>
      <c r="AY887" s="225"/>
      <c r="AZ887" s="225"/>
      <c r="BA887" s="225"/>
      <c r="BB887" s="225"/>
      <c r="BC887" s="225"/>
      <c r="BD887" s="225"/>
      <c r="BE887" s="225"/>
      <c r="BF887" s="225"/>
      <c r="BG887" s="225"/>
      <c r="BH887" s="225"/>
      <c r="BI887" s="225"/>
      <c r="BJ887" s="225"/>
      <c r="BK887" s="225"/>
    </row>
    <row r="888" spans="48:63" ht="15.75" customHeight="1" x14ac:dyDescent="0.2">
      <c r="AV888" s="225"/>
      <c r="AW888" s="225"/>
      <c r="AX888" s="225"/>
      <c r="AY888" s="225"/>
      <c r="AZ888" s="225"/>
      <c r="BA888" s="225"/>
      <c r="BB888" s="225"/>
      <c r="BC888" s="225"/>
      <c r="BD888" s="225"/>
      <c r="BE888" s="225"/>
      <c r="BF888" s="225"/>
      <c r="BG888" s="225"/>
      <c r="BH888" s="225"/>
      <c r="BI888" s="225"/>
      <c r="BJ888" s="225"/>
      <c r="BK888" s="225"/>
    </row>
    <row r="889" spans="48:63" ht="15.75" customHeight="1" x14ac:dyDescent="0.2">
      <c r="AV889" s="225"/>
      <c r="AW889" s="225"/>
      <c r="AX889" s="225"/>
      <c r="AY889" s="225"/>
      <c r="AZ889" s="225"/>
      <c r="BA889" s="225"/>
      <c r="BB889" s="225"/>
      <c r="BC889" s="225"/>
      <c r="BD889" s="225"/>
      <c r="BE889" s="225"/>
      <c r="BF889" s="225"/>
      <c r="BG889" s="225"/>
      <c r="BH889" s="225"/>
      <c r="BI889" s="225"/>
      <c r="BJ889" s="225"/>
      <c r="BK889" s="225"/>
    </row>
    <row r="890" spans="48:63" ht="15.75" customHeight="1" x14ac:dyDescent="0.2">
      <c r="AV890" s="225"/>
      <c r="AW890" s="225"/>
      <c r="AX890" s="225"/>
      <c r="AY890" s="225"/>
      <c r="AZ890" s="225"/>
      <c r="BA890" s="225"/>
      <c r="BB890" s="225"/>
      <c r="BC890" s="225"/>
      <c r="BD890" s="225"/>
      <c r="BE890" s="225"/>
      <c r="BF890" s="225"/>
      <c r="BG890" s="225"/>
      <c r="BH890" s="225"/>
      <c r="BI890" s="225"/>
      <c r="BJ890" s="225"/>
      <c r="BK890" s="225"/>
    </row>
    <row r="891" spans="48:63" ht="15.75" customHeight="1" x14ac:dyDescent="0.2">
      <c r="AV891" s="225"/>
      <c r="AW891" s="225"/>
      <c r="AX891" s="225"/>
      <c r="AY891" s="225"/>
      <c r="AZ891" s="225"/>
      <c r="BA891" s="225"/>
      <c r="BB891" s="225"/>
      <c r="BC891" s="225"/>
      <c r="BD891" s="225"/>
      <c r="BE891" s="225"/>
      <c r="BF891" s="225"/>
      <c r="BG891" s="225"/>
      <c r="BH891" s="225"/>
      <c r="BI891" s="225"/>
      <c r="BJ891" s="225"/>
      <c r="BK891" s="225"/>
    </row>
    <row r="892" spans="48:63" ht="15.75" customHeight="1" x14ac:dyDescent="0.2">
      <c r="AV892" s="225"/>
      <c r="AW892" s="225"/>
      <c r="AX892" s="225"/>
      <c r="AY892" s="225"/>
      <c r="AZ892" s="225"/>
      <c r="BA892" s="225"/>
      <c r="BB892" s="225"/>
      <c r="BC892" s="225"/>
      <c r="BD892" s="225"/>
      <c r="BE892" s="225"/>
      <c r="BF892" s="225"/>
      <c r="BG892" s="225"/>
      <c r="BH892" s="225"/>
      <c r="BI892" s="225"/>
      <c r="BJ892" s="225"/>
      <c r="BK892" s="225"/>
    </row>
    <row r="893" spans="48:63" ht="15.75" customHeight="1" x14ac:dyDescent="0.2">
      <c r="AV893" s="225"/>
      <c r="AW893" s="225"/>
      <c r="AX893" s="225"/>
      <c r="AY893" s="225"/>
      <c r="AZ893" s="225"/>
      <c r="BA893" s="225"/>
      <c r="BB893" s="225"/>
      <c r="BC893" s="225"/>
      <c r="BD893" s="225"/>
      <c r="BE893" s="225"/>
      <c r="BF893" s="225"/>
      <c r="BG893" s="225"/>
      <c r="BH893" s="225"/>
      <c r="BI893" s="225"/>
      <c r="BJ893" s="225"/>
      <c r="BK893" s="225"/>
    </row>
    <row r="894" spans="48:63" ht="15.75" customHeight="1" x14ac:dyDescent="0.2">
      <c r="AV894" s="225"/>
      <c r="AW894" s="225"/>
      <c r="AX894" s="225"/>
      <c r="AY894" s="225"/>
      <c r="AZ894" s="225"/>
      <c r="BA894" s="225"/>
      <c r="BB894" s="225"/>
      <c r="BC894" s="225"/>
      <c r="BD894" s="225"/>
      <c r="BE894" s="225"/>
      <c r="BF894" s="225"/>
      <c r="BG894" s="225"/>
      <c r="BH894" s="225"/>
      <c r="BI894" s="225"/>
      <c r="BJ894" s="225"/>
      <c r="BK894" s="225"/>
    </row>
    <row r="895" spans="48:63" ht="15.75" customHeight="1" x14ac:dyDescent="0.2">
      <c r="AV895" s="225"/>
      <c r="AW895" s="225"/>
      <c r="AX895" s="225"/>
      <c r="AY895" s="225"/>
      <c r="AZ895" s="225"/>
      <c r="BA895" s="225"/>
      <c r="BB895" s="225"/>
      <c r="BC895" s="225"/>
      <c r="BD895" s="225"/>
      <c r="BE895" s="225"/>
      <c r="BF895" s="225"/>
      <c r="BG895" s="225"/>
      <c r="BH895" s="225"/>
      <c r="BI895" s="225"/>
      <c r="BJ895" s="225"/>
      <c r="BK895" s="225"/>
    </row>
    <row r="896" spans="48:63" ht="15.75" customHeight="1" x14ac:dyDescent="0.2">
      <c r="AV896" s="225"/>
      <c r="AW896" s="225"/>
      <c r="AX896" s="225"/>
      <c r="AY896" s="225"/>
      <c r="AZ896" s="225"/>
      <c r="BA896" s="225"/>
      <c r="BB896" s="225"/>
      <c r="BC896" s="225"/>
      <c r="BD896" s="225"/>
      <c r="BE896" s="225"/>
      <c r="BF896" s="225"/>
      <c r="BG896" s="225"/>
      <c r="BH896" s="225"/>
      <c r="BI896" s="225"/>
      <c r="BJ896" s="225"/>
      <c r="BK896" s="225"/>
    </row>
    <row r="897" spans="48:63" ht="15.75" customHeight="1" x14ac:dyDescent="0.2">
      <c r="AV897" s="225"/>
      <c r="AW897" s="225"/>
      <c r="AX897" s="225"/>
      <c r="AY897" s="225"/>
      <c r="AZ897" s="225"/>
      <c r="BA897" s="225"/>
      <c r="BB897" s="225"/>
      <c r="BC897" s="225"/>
      <c r="BD897" s="225"/>
      <c r="BE897" s="225"/>
      <c r="BF897" s="225"/>
      <c r="BG897" s="225"/>
      <c r="BH897" s="225"/>
      <c r="BI897" s="225"/>
      <c r="BJ897" s="225"/>
      <c r="BK897" s="225"/>
    </row>
    <row r="898" spans="48:63" ht="15.75" customHeight="1" x14ac:dyDescent="0.2">
      <c r="AV898" s="225"/>
      <c r="AW898" s="225"/>
      <c r="AX898" s="225"/>
      <c r="AY898" s="225"/>
      <c r="AZ898" s="225"/>
      <c r="BA898" s="225"/>
      <c r="BB898" s="225"/>
      <c r="BC898" s="225"/>
      <c r="BD898" s="225"/>
      <c r="BE898" s="225"/>
      <c r="BF898" s="225"/>
      <c r="BG898" s="225"/>
      <c r="BH898" s="225"/>
      <c r="BI898" s="225"/>
      <c r="BJ898" s="225"/>
      <c r="BK898" s="225"/>
    </row>
    <row r="899" spans="48:63" ht="15.75" customHeight="1" x14ac:dyDescent="0.2">
      <c r="AV899" s="225"/>
      <c r="AW899" s="225"/>
      <c r="AX899" s="225"/>
      <c r="AY899" s="225"/>
      <c r="AZ899" s="225"/>
      <c r="BA899" s="225"/>
      <c r="BB899" s="225"/>
      <c r="BC899" s="225"/>
      <c r="BD899" s="225"/>
      <c r="BE899" s="225"/>
      <c r="BF899" s="225"/>
      <c r="BG899" s="225"/>
      <c r="BH899" s="225"/>
      <c r="BI899" s="225"/>
      <c r="BJ899" s="225"/>
      <c r="BK899" s="225"/>
    </row>
    <row r="900" spans="48:63" ht="15.75" customHeight="1" x14ac:dyDescent="0.2">
      <c r="AV900" s="225"/>
      <c r="AW900" s="225"/>
      <c r="AX900" s="225"/>
      <c r="AY900" s="225"/>
      <c r="AZ900" s="225"/>
      <c r="BA900" s="225"/>
      <c r="BB900" s="225"/>
      <c r="BC900" s="225"/>
      <c r="BD900" s="225"/>
      <c r="BE900" s="225"/>
      <c r="BF900" s="225"/>
      <c r="BG900" s="225"/>
      <c r="BH900" s="225"/>
      <c r="BI900" s="225"/>
      <c r="BJ900" s="225"/>
      <c r="BK900" s="225"/>
    </row>
    <row r="901" spans="48:63" ht="15.75" customHeight="1" x14ac:dyDescent="0.2">
      <c r="AV901" s="225"/>
      <c r="AW901" s="225"/>
      <c r="AX901" s="225"/>
      <c r="AY901" s="225"/>
      <c r="AZ901" s="225"/>
      <c r="BA901" s="225"/>
      <c r="BB901" s="225"/>
      <c r="BC901" s="225"/>
      <c r="BD901" s="225"/>
      <c r="BE901" s="225"/>
      <c r="BF901" s="225"/>
      <c r="BG901" s="225"/>
      <c r="BH901" s="225"/>
      <c r="BI901" s="225"/>
      <c r="BJ901" s="225"/>
      <c r="BK901" s="225"/>
    </row>
    <row r="902" spans="48:63" ht="15.75" customHeight="1" x14ac:dyDescent="0.2">
      <c r="AV902" s="225"/>
      <c r="AW902" s="225"/>
      <c r="AX902" s="225"/>
      <c r="AY902" s="225"/>
      <c r="AZ902" s="225"/>
      <c r="BA902" s="225"/>
      <c r="BB902" s="225"/>
      <c r="BC902" s="225"/>
      <c r="BD902" s="225"/>
      <c r="BE902" s="225"/>
      <c r="BF902" s="225"/>
      <c r="BG902" s="225"/>
      <c r="BH902" s="225"/>
      <c r="BI902" s="225"/>
      <c r="BJ902" s="225"/>
      <c r="BK902" s="225"/>
    </row>
    <row r="903" spans="48:63" ht="15.75" customHeight="1" x14ac:dyDescent="0.2">
      <c r="AV903" s="225"/>
      <c r="AW903" s="225"/>
      <c r="AX903" s="225"/>
      <c r="AY903" s="225"/>
      <c r="AZ903" s="225"/>
      <c r="BA903" s="225"/>
      <c r="BB903" s="225"/>
      <c r="BC903" s="225"/>
      <c r="BD903" s="225"/>
      <c r="BE903" s="225"/>
      <c r="BF903" s="225"/>
      <c r="BG903" s="225"/>
      <c r="BH903" s="225"/>
      <c r="BI903" s="225"/>
      <c r="BJ903" s="225"/>
      <c r="BK903" s="225"/>
    </row>
    <row r="904" spans="48:63" ht="15.75" customHeight="1" x14ac:dyDescent="0.2">
      <c r="AV904" s="225"/>
      <c r="AW904" s="225"/>
      <c r="AX904" s="225"/>
      <c r="AY904" s="225"/>
      <c r="AZ904" s="225"/>
      <c r="BA904" s="225"/>
      <c r="BB904" s="225"/>
      <c r="BC904" s="225"/>
      <c r="BD904" s="225"/>
      <c r="BE904" s="225"/>
      <c r="BF904" s="225"/>
      <c r="BG904" s="225"/>
      <c r="BH904" s="225"/>
      <c r="BI904" s="225"/>
      <c r="BJ904" s="225"/>
      <c r="BK904" s="225"/>
    </row>
    <row r="905" spans="48:63" ht="15.75" customHeight="1" x14ac:dyDescent="0.2">
      <c r="AV905" s="225"/>
      <c r="AW905" s="225"/>
      <c r="AX905" s="225"/>
      <c r="AY905" s="225"/>
      <c r="AZ905" s="225"/>
      <c r="BA905" s="225"/>
      <c r="BB905" s="225"/>
      <c r="BC905" s="225"/>
      <c r="BD905" s="225"/>
      <c r="BE905" s="225"/>
      <c r="BF905" s="225"/>
      <c r="BG905" s="225"/>
      <c r="BH905" s="225"/>
      <c r="BI905" s="225"/>
      <c r="BJ905" s="225"/>
      <c r="BK905" s="225"/>
    </row>
    <row r="906" spans="48:63" ht="15.75" customHeight="1" x14ac:dyDescent="0.2">
      <c r="AV906" s="225"/>
      <c r="AW906" s="225"/>
      <c r="AX906" s="225"/>
      <c r="AY906" s="225"/>
      <c r="AZ906" s="225"/>
      <c r="BA906" s="225"/>
      <c r="BB906" s="225"/>
      <c r="BC906" s="225"/>
      <c r="BD906" s="225"/>
      <c r="BE906" s="225"/>
      <c r="BF906" s="225"/>
      <c r="BG906" s="225"/>
      <c r="BH906" s="225"/>
      <c r="BI906" s="225"/>
      <c r="BJ906" s="225"/>
      <c r="BK906" s="225"/>
    </row>
    <row r="907" spans="48:63" ht="15.75" customHeight="1" x14ac:dyDescent="0.2">
      <c r="AV907" s="225"/>
      <c r="AW907" s="225"/>
      <c r="AX907" s="225"/>
      <c r="AY907" s="225"/>
      <c r="AZ907" s="225"/>
      <c r="BA907" s="225"/>
      <c r="BB907" s="225"/>
      <c r="BC907" s="225"/>
      <c r="BD907" s="225"/>
      <c r="BE907" s="225"/>
      <c r="BF907" s="225"/>
      <c r="BG907" s="225"/>
      <c r="BH907" s="225"/>
      <c r="BI907" s="225"/>
      <c r="BJ907" s="225"/>
      <c r="BK907" s="225"/>
    </row>
    <row r="908" spans="48:63" ht="15.75" customHeight="1" x14ac:dyDescent="0.2">
      <c r="AV908" s="225"/>
      <c r="AW908" s="225"/>
      <c r="AX908" s="225"/>
      <c r="AY908" s="225"/>
      <c r="AZ908" s="225"/>
      <c r="BA908" s="225"/>
      <c r="BB908" s="225"/>
      <c r="BC908" s="225"/>
      <c r="BD908" s="225"/>
      <c r="BE908" s="225"/>
      <c r="BF908" s="225"/>
      <c r="BG908" s="225"/>
      <c r="BH908" s="225"/>
      <c r="BI908" s="225"/>
      <c r="BJ908" s="225"/>
      <c r="BK908" s="225"/>
    </row>
    <row r="909" spans="48:63" ht="15.75" customHeight="1" x14ac:dyDescent="0.2">
      <c r="AV909" s="225"/>
      <c r="AW909" s="225"/>
      <c r="AX909" s="225"/>
      <c r="AY909" s="225"/>
      <c r="AZ909" s="225"/>
      <c r="BA909" s="225"/>
      <c r="BB909" s="225"/>
      <c r="BC909" s="225"/>
      <c r="BD909" s="225"/>
      <c r="BE909" s="225"/>
      <c r="BF909" s="225"/>
      <c r="BG909" s="225"/>
      <c r="BH909" s="225"/>
      <c r="BI909" s="225"/>
      <c r="BJ909" s="225"/>
      <c r="BK909" s="225"/>
    </row>
    <row r="910" spans="48:63" ht="15.75" customHeight="1" x14ac:dyDescent="0.2">
      <c r="AV910" s="225"/>
      <c r="AW910" s="225"/>
      <c r="AX910" s="225"/>
      <c r="AY910" s="225"/>
      <c r="AZ910" s="225"/>
      <c r="BA910" s="225"/>
      <c r="BB910" s="225"/>
      <c r="BC910" s="225"/>
      <c r="BD910" s="225"/>
      <c r="BE910" s="225"/>
      <c r="BF910" s="225"/>
      <c r="BG910" s="225"/>
      <c r="BH910" s="225"/>
      <c r="BI910" s="225"/>
      <c r="BJ910" s="225"/>
      <c r="BK910" s="225"/>
    </row>
    <row r="911" spans="48:63" ht="15.75" customHeight="1" x14ac:dyDescent="0.2">
      <c r="AV911" s="225"/>
      <c r="AW911" s="225"/>
      <c r="AX911" s="225"/>
      <c r="AY911" s="225"/>
      <c r="AZ911" s="225"/>
      <c r="BA911" s="225"/>
      <c r="BB911" s="225"/>
      <c r="BC911" s="225"/>
      <c r="BD911" s="225"/>
      <c r="BE911" s="225"/>
      <c r="BF911" s="225"/>
      <c r="BG911" s="225"/>
      <c r="BH911" s="225"/>
      <c r="BI911" s="225"/>
      <c r="BJ911" s="225"/>
      <c r="BK911" s="225"/>
    </row>
    <row r="912" spans="48:63" ht="15.75" customHeight="1" x14ac:dyDescent="0.2">
      <c r="AV912" s="225"/>
      <c r="AW912" s="225"/>
      <c r="AX912" s="225"/>
      <c r="AY912" s="225"/>
      <c r="AZ912" s="225"/>
      <c r="BA912" s="225"/>
      <c r="BB912" s="225"/>
      <c r="BC912" s="225"/>
      <c r="BD912" s="225"/>
      <c r="BE912" s="225"/>
      <c r="BF912" s="225"/>
      <c r="BG912" s="225"/>
      <c r="BH912" s="225"/>
      <c r="BI912" s="225"/>
      <c r="BJ912" s="225"/>
      <c r="BK912" s="225"/>
    </row>
    <row r="913" spans="48:63" ht="15.75" customHeight="1" x14ac:dyDescent="0.2">
      <c r="AV913" s="225"/>
      <c r="AW913" s="225"/>
      <c r="AX913" s="225"/>
      <c r="AY913" s="225"/>
      <c r="AZ913" s="225"/>
      <c r="BA913" s="225"/>
      <c r="BB913" s="225"/>
      <c r="BC913" s="225"/>
      <c r="BD913" s="225"/>
      <c r="BE913" s="225"/>
      <c r="BF913" s="225"/>
      <c r="BG913" s="225"/>
      <c r="BH913" s="225"/>
      <c r="BI913" s="225"/>
      <c r="BJ913" s="225"/>
      <c r="BK913" s="225"/>
    </row>
    <row r="914" spans="48:63" ht="15.75" customHeight="1" x14ac:dyDescent="0.2">
      <c r="AV914" s="225"/>
      <c r="AW914" s="225"/>
      <c r="AX914" s="225"/>
      <c r="AY914" s="225"/>
      <c r="AZ914" s="225"/>
      <c r="BA914" s="225"/>
      <c r="BB914" s="225"/>
      <c r="BC914" s="225"/>
      <c r="BD914" s="225"/>
      <c r="BE914" s="225"/>
      <c r="BF914" s="225"/>
      <c r="BG914" s="225"/>
      <c r="BH914" s="225"/>
      <c r="BI914" s="225"/>
      <c r="BJ914" s="225"/>
      <c r="BK914" s="225"/>
    </row>
    <row r="915" spans="48:63" ht="15.75" customHeight="1" x14ac:dyDescent="0.2">
      <c r="AV915" s="225"/>
      <c r="AW915" s="225"/>
      <c r="AX915" s="225"/>
      <c r="AY915" s="225"/>
      <c r="AZ915" s="225"/>
      <c r="BA915" s="225"/>
      <c r="BB915" s="225"/>
      <c r="BC915" s="225"/>
      <c r="BD915" s="225"/>
      <c r="BE915" s="225"/>
      <c r="BF915" s="225"/>
      <c r="BG915" s="225"/>
      <c r="BH915" s="225"/>
      <c r="BI915" s="225"/>
      <c r="BJ915" s="225"/>
      <c r="BK915" s="225"/>
    </row>
    <row r="916" spans="48:63" ht="15.75" customHeight="1" x14ac:dyDescent="0.2">
      <c r="AV916" s="225"/>
      <c r="AW916" s="225"/>
      <c r="AX916" s="225"/>
      <c r="AY916" s="225"/>
      <c r="AZ916" s="225"/>
      <c r="BA916" s="225"/>
      <c r="BB916" s="225"/>
      <c r="BC916" s="225"/>
      <c r="BD916" s="225"/>
      <c r="BE916" s="225"/>
      <c r="BF916" s="225"/>
      <c r="BG916" s="225"/>
      <c r="BH916" s="225"/>
      <c r="BI916" s="225"/>
      <c r="BJ916" s="225"/>
      <c r="BK916" s="225"/>
    </row>
    <row r="917" spans="48:63" ht="15.75" customHeight="1" x14ac:dyDescent="0.2">
      <c r="AV917" s="225"/>
      <c r="AW917" s="225"/>
      <c r="AX917" s="225"/>
      <c r="AY917" s="225"/>
      <c r="AZ917" s="225"/>
      <c r="BA917" s="225"/>
      <c r="BB917" s="225"/>
      <c r="BC917" s="225"/>
      <c r="BD917" s="225"/>
      <c r="BE917" s="225"/>
      <c r="BF917" s="225"/>
      <c r="BG917" s="225"/>
      <c r="BH917" s="225"/>
      <c r="BI917" s="225"/>
      <c r="BJ917" s="225"/>
      <c r="BK917" s="225"/>
    </row>
    <row r="918" spans="48:63" ht="15.75" customHeight="1" x14ac:dyDescent="0.2">
      <c r="AV918" s="225"/>
      <c r="AW918" s="225"/>
      <c r="AX918" s="225"/>
      <c r="AY918" s="225"/>
      <c r="AZ918" s="225"/>
      <c r="BA918" s="225"/>
      <c r="BB918" s="225"/>
      <c r="BC918" s="225"/>
      <c r="BD918" s="225"/>
      <c r="BE918" s="225"/>
      <c r="BF918" s="225"/>
      <c r="BG918" s="225"/>
      <c r="BH918" s="225"/>
      <c r="BI918" s="225"/>
      <c r="BJ918" s="225"/>
      <c r="BK918" s="225"/>
    </row>
    <row r="919" spans="48:63" ht="15.75" customHeight="1" x14ac:dyDescent="0.2">
      <c r="AV919" s="225"/>
      <c r="AW919" s="225"/>
      <c r="AX919" s="225"/>
      <c r="AY919" s="225"/>
      <c r="AZ919" s="225"/>
      <c r="BA919" s="225"/>
      <c r="BB919" s="225"/>
      <c r="BC919" s="225"/>
      <c r="BD919" s="225"/>
      <c r="BE919" s="225"/>
      <c r="BF919" s="225"/>
      <c r="BG919" s="225"/>
      <c r="BH919" s="225"/>
      <c r="BI919" s="225"/>
      <c r="BJ919" s="225"/>
      <c r="BK919" s="225"/>
    </row>
    <row r="920" spans="48:63" ht="15.75" customHeight="1" x14ac:dyDescent="0.2">
      <c r="AV920" s="225"/>
      <c r="AW920" s="225"/>
      <c r="AX920" s="225"/>
      <c r="AY920" s="225"/>
      <c r="AZ920" s="225"/>
      <c r="BA920" s="225"/>
      <c r="BB920" s="225"/>
      <c r="BC920" s="225"/>
      <c r="BD920" s="225"/>
      <c r="BE920" s="225"/>
      <c r="BF920" s="225"/>
      <c r="BG920" s="225"/>
      <c r="BH920" s="225"/>
      <c r="BI920" s="225"/>
      <c r="BJ920" s="225"/>
      <c r="BK920" s="225"/>
    </row>
    <row r="921" spans="48:63" ht="15.75" customHeight="1" x14ac:dyDescent="0.2">
      <c r="AV921" s="225"/>
      <c r="AW921" s="225"/>
      <c r="AX921" s="225"/>
      <c r="AY921" s="225"/>
      <c r="AZ921" s="225"/>
      <c r="BA921" s="225"/>
      <c r="BB921" s="225"/>
      <c r="BC921" s="225"/>
      <c r="BD921" s="225"/>
      <c r="BE921" s="225"/>
      <c r="BF921" s="225"/>
      <c r="BG921" s="225"/>
      <c r="BH921" s="225"/>
      <c r="BI921" s="225"/>
      <c r="BJ921" s="225"/>
      <c r="BK921" s="225"/>
    </row>
    <row r="922" spans="48:63" ht="15.75" customHeight="1" x14ac:dyDescent="0.2">
      <c r="AV922" s="225"/>
      <c r="AW922" s="225"/>
      <c r="AX922" s="225"/>
      <c r="AY922" s="225"/>
      <c r="AZ922" s="225"/>
      <c r="BA922" s="225"/>
      <c r="BB922" s="225"/>
      <c r="BC922" s="225"/>
      <c r="BD922" s="225"/>
      <c r="BE922" s="225"/>
      <c r="BF922" s="225"/>
      <c r="BG922" s="225"/>
      <c r="BH922" s="225"/>
      <c r="BI922" s="225"/>
      <c r="BJ922" s="225"/>
      <c r="BK922" s="225"/>
    </row>
    <row r="923" spans="48:63" ht="15.75" customHeight="1" x14ac:dyDescent="0.2">
      <c r="AV923" s="225"/>
      <c r="AW923" s="225"/>
      <c r="AX923" s="225"/>
      <c r="AY923" s="225"/>
      <c r="AZ923" s="225"/>
      <c r="BA923" s="225"/>
      <c r="BB923" s="225"/>
      <c r="BC923" s="225"/>
      <c r="BD923" s="225"/>
      <c r="BE923" s="225"/>
      <c r="BF923" s="225"/>
      <c r="BG923" s="225"/>
      <c r="BH923" s="225"/>
      <c r="BI923" s="225"/>
      <c r="BJ923" s="225"/>
      <c r="BK923" s="225"/>
    </row>
    <row r="924" spans="48:63" ht="15.75" customHeight="1" x14ac:dyDescent="0.2">
      <c r="AV924" s="225"/>
      <c r="AW924" s="225"/>
      <c r="AX924" s="225"/>
      <c r="AY924" s="225"/>
      <c r="AZ924" s="225"/>
      <c r="BA924" s="225"/>
      <c r="BB924" s="225"/>
      <c r="BC924" s="225"/>
      <c r="BD924" s="225"/>
      <c r="BE924" s="225"/>
      <c r="BF924" s="225"/>
      <c r="BG924" s="225"/>
      <c r="BH924" s="225"/>
      <c r="BI924" s="225"/>
      <c r="BJ924" s="225"/>
      <c r="BK924" s="225"/>
    </row>
    <row r="925" spans="48:63" ht="15.75" customHeight="1" x14ac:dyDescent="0.2">
      <c r="AV925" s="225"/>
      <c r="AW925" s="225"/>
      <c r="AX925" s="225"/>
      <c r="AY925" s="225"/>
      <c r="AZ925" s="225"/>
      <c r="BA925" s="225"/>
      <c r="BB925" s="225"/>
      <c r="BC925" s="225"/>
      <c r="BD925" s="225"/>
      <c r="BE925" s="225"/>
      <c r="BF925" s="225"/>
      <c r="BG925" s="225"/>
      <c r="BH925" s="225"/>
      <c r="BI925" s="225"/>
      <c r="BJ925" s="225"/>
      <c r="BK925" s="225"/>
    </row>
    <row r="926" spans="48:63" ht="15.75" customHeight="1" x14ac:dyDescent="0.2">
      <c r="AV926" s="225"/>
      <c r="AW926" s="225"/>
      <c r="AX926" s="225"/>
      <c r="AY926" s="225"/>
      <c r="AZ926" s="225"/>
      <c r="BA926" s="225"/>
      <c r="BB926" s="225"/>
      <c r="BC926" s="225"/>
      <c r="BD926" s="225"/>
      <c r="BE926" s="225"/>
      <c r="BF926" s="225"/>
      <c r="BG926" s="225"/>
      <c r="BH926" s="225"/>
      <c r="BI926" s="225"/>
      <c r="BJ926" s="225"/>
      <c r="BK926" s="225"/>
    </row>
    <row r="927" spans="48:63" ht="15.75" customHeight="1" x14ac:dyDescent="0.2">
      <c r="AV927" s="225"/>
      <c r="AW927" s="225"/>
      <c r="AX927" s="225"/>
      <c r="AY927" s="225"/>
      <c r="AZ927" s="225"/>
      <c r="BA927" s="225"/>
      <c r="BB927" s="225"/>
      <c r="BC927" s="225"/>
      <c r="BD927" s="225"/>
      <c r="BE927" s="225"/>
      <c r="BF927" s="225"/>
      <c r="BG927" s="225"/>
      <c r="BH927" s="225"/>
      <c r="BI927" s="225"/>
      <c r="BJ927" s="225"/>
      <c r="BK927" s="225"/>
    </row>
    <row r="928" spans="48:63" ht="15.75" customHeight="1" x14ac:dyDescent="0.2">
      <c r="AV928" s="225"/>
      <c r="AW928" s="225"/>
      <c r="AX928" s="225"/>
      <c r="AY928" s="225"/>
      <c r="AZ928" s="225"/>
      <c r="BA928" s="225"/>
      <c r="BB928" s="225"/>
      <c r="BC928" s="225"/>
      <c r="BD928" s="225"/>
      <c r="BE928" s="225"/>
      <c r="BF928" s="225"/>
      <c r="BG928" s="225"/>
      <c r="BH928" s="225"/>
      <c r="BI928" s="225"/>
      <c r="BJ928" s="225"/>
      <c r="BK928" s="225"/>
    </row>
    <row r="929" spans="48:63" ht="15.75" customHeight="1" x14ac:dyDescent="0.2">
      <c r="AV929" s="225"/>
      <c r="AW929" s="225"/>
      <c r="AX929" s="225"/>
      <c r="AY929" s="225"/>
      <c r="AZ929" s="225"/>
      <c r="BA929" s="225"/>
      <c r="BB929" s="225"/>
      <c r="BC929" s="225"/>
      <c r="BD929" s="225"/>
      <c r="BE929" s="225"/>
      <c r="BF929" s="225"/>
      <c r="BG929" s="225"/>
      <c r="BH929" s="225"/>
      <c r="BI929" s="225"/>
      <c r="BJ929" s="225"/>
      <c r="BK929" s="225"/>
    </row>
    <row r="930" spans="48:63" ht="15.75" customHeight="1" x14ac:dyDescent="0.2">
      <c r="AV930" s="225"/>
      <c r="AW930" s="225"/>
      <c r="AX930" s="225"/>
      <c r="AY930" s="225"/>
      <c r="AZ930" s="225"/>
      <c r="BA930" s="225"/>
      <c r="BB930" s="225"/>
      <c r="BC930" s="225"/>
      <c r="BD930" s="225"/>
      <c r="BE930" s="225"/>
      <c r="BF930" s="225"/>
      <c r="BG930" s="225"/>
      <c r="BH930" s="225"/>
      <c r="BI930" s="225"/>
      <c r="BJ930" s="225"/>
      <c r="BK930" s="225"/>
    </row>
    <row r="931" spans="48:63" ht="15.75" customHeight="1" x14ac:dyDescent="0.2">
      <c r="AV931" s="225"/>
      <c r="AW931" s="225"/>
      <c r="AX931" s="225"/>
      <c r="AY931" s="225"/>
      <c r="AZ931" s="225"/>
      <c r="BA931" s="225"/>
      <c r="BB931" s="225"/>
      <c r="BC931" s="225"/>
      <c r="BD931" s="225"/>
      <c r="BE931" s="225"/>
      <c r="BF931" s="225"/>
      <c r="BG931" s="225"/>
      <c r="BH931" s="225"/>
      <c r="BI931" s="225"/>
      <c r="BJ931" s="225"/>
      <c r="BK931" s="225"/>
    </row>
    <row r="932" spans="48:63" ht="15.75" customHeight="1" x14ac:dyDescent="0.2">
      <c r="AV932" s="225"/>
      <c r="AW932" s="225"/>
      <c r="AX932" s="225"/>
      <c r="AY932" s="225"/>
      <c r="AZ932" s="225"/>
      <c r="BA932" s="225"/>
      <c r="BB932" s="225"/>
      <c r="BC932" s="225"/>
      <c r="BD932" s="225"/>
      <c r="BE932" s="225"/>
      <c r="BF932" s="225"/>
      <c r="BG932" s="225"/>
      <c r="BH932" s="225"/>
      <c r="BI932" s="225"/>
      <c r="BJ932" s="225"/>
      <c r="BK932" s="225"/>
    </row>
    <row r="933" spans="48:63" ht="15.75" customHeight="1" x14ac:dyDescent="0.2">
      <c r="AV933" s="225"/>
      <c r="AW933" s="225"/>
      <c r="AX933" s="225"/>
      <c r="AY933" s="225"/>
      <c r="AZ933" s="225"/>
      <c r="BA933" s="225"/>
      <c r="BB933" s="225"/>
      <c r="BC933" s="225"/>
      <c r="BD933" s="225"/>
      <c r="BE933" s="225"/>
      <c r="BF933" s="225"/>
      <c r="BG933" s="225"/>
      <c r="BH933" s="225"/>
      <c r="BI933" s="225"/>
      <c r="BJ933" s="225"/>
      <c r="BK933" s="225"/>
    </row>
    <row r="934" spans="48:63" ht="15.75" customHeight="1" x14ac:dyDescent="0.2">
      <c r="AV934" s="225"/>
      <c r="AW934" s="225"/>
      <c r="AX934" s="225"/>
      <c r="AY934" s="225"/>
      <c r="AZ934" s="225"/>
      <c r="BA934" s="225"/>
      <c r="BB934" s="225"/>
      <c r="BC934" s="225"/>
      <c r="BD934" s="225"/>
      <c r="BE934" s="225"/>
      <c r="BF934" s="225"/>
      <c r="BG934" s="225"/>
      <c r="BH934" s="225"/>
      <c r="BI934" s="225"/>
      <c r="BJ934" s="225"/>
      <c r="BK934" s="225"/>
    </row>
    <row r="935" spans="48:63" ht="15.75" customHeight="1" x14ac:dyDescent="0.2">
      <c r="AV935" s="225"/>
      <c r="AW935" s="225"/>
      <c r="AX935" s="225"/>
      <c r="AY935" s="225"/>
      <c r="AZ935" s="225"/>
      <c r="BA935" s="225"/>
      <c r="BB935" s="225"/>
      <c r="BC935" s="225"/>
      <c r="BD935" s="225"/>
      <c r="BE935" s="225"/>
      <c r="BF935" s="225"/>
      <c r="BG935" s="225"/>
      <c r="BH935" s="225"/>
      <c r="BI935" s="225"/>
      <c r="BJ935" s="225"/>
      <c r="BK935" s="225"/>
    </row>
    <row r="936" spans="48:63" ht="15.75" customHeight="1" x14ac:dyDescent="0.2">
      <c r="AV936" s="225"/>
      <c r="AW936" s="225"/>
      <c r="AX936" s="225"/>
      <c r="AY936" s="225"/>
      <c r="AZ936" s="225"/>
      <c r="BA936" s="225"/>
      <c r="BB936" s="225"/>
      <c r="BC936" s="225"/>
      <c r="BD936" s="225"/>
      <c r="BE936" s="225"/>
      <c r="BF936" s="225"/>
      <c r="BG936" s="225"/>
      <c r="BH936" s="225"/>
      <c r="BI936" s="225"/>
      <c r="BJ936" s="225"/>
      <c r="BK936" s="225"/>
    </row>
    <row r="937" spans="48:63" ht="15.75" customHeight="1" x14ac:dyDescent="0.2">
      <c r="AV937" s="225"/>
      <c r="AW937" s="225"/>
      <c r="AX937" s="225"/>
      <c r="AY937" s="225"/>
      <c r="AZ937" s="225"/>
      <c r="BA937" s="225"/>
      <c r="BB937" s="225"/>
      <c r="BC937" s="225"/>
      <c r="BD937" s="225"/>
      <c r="BE937" s="225"/>
      <c r="BF937" s="225"/>
      <c r="BG937" s="225"/>
      <c r="BH937" s="225"/>
      <c r="BI937" s="225"/>
      <c r="BJ937" s="225"/>
      <c r="BK937" s="225"/>
    </row>
    <row r="938" spans="48:63" ht="15.75" customHeight="1" x14ac:dyDescent="0.2">
      <c r="AV938" s="225"/>
      <c r="AW938" s="225"/>
      <c r="AX938" s="225"/>
      <c r="AY938" s="225"/>
      <c r="AZ938" s="225"/>
      <c r="BA938" s="225"/>
      <c r="BB938" s="225"/>
      <c r="BC938" s="225"/>
      <c r="BD938" s="225"/>
      <c r="BE938" s="225"/>
      <c r="BF938" s="225"/>
      <c r="BG938" s="225"/>
      <c r="BH938" s="225"/>
      <c r="BI938" s="225"/>
      <c r="BJ938" s="225"/>
      <c r="BK938" s="225"/>
    </row>
    <row r="939" spans="48:63" ht="15.75" customHeight="1" x14ac:dyDescent="0.2">
      <c r="AV939" s="225"/>
      <c r="AW939" s="225"/>
      <c r="AX939" s="225"/>
      <c r="AY939" s="225"/>
      <c r="AZ939" s="225"/>
      <c r="BA939" s="225"/>
      <c r="BB939" s="225"/>
      <c r="BC939" s="225"/>
      <c r="BD939" s="225"/>
      <c r="BE939" s="225"/>
      <c r="BF939" s="225"/>
      <c r="BG939" s="225"/>
      <c r="BH939" s="225"/>
      <c r="BI939" s="225"/>
      <c r="BJ939" s="225"/>
      <c r="BK939" s="225"/>
    </row>
    <row r="940" spans="48:63" ht="15.75" customHeight="1" x14ac:dyDescent="0.2">
      <c r="AV940" s="225"/>
      <c r="AW940" s="225"/>
      <c r="AX940" s="225"/>
      <c r="AY940" s="225"/>
      <c r="AZ940" s="225"/>
      <c r="BA940" s="225"/>
      <c r="BB940" s="225"/>
      <c r="BC940" s="225"/>
      <c r="BD940" s="225"/>
      <c r="BE940" s="225"/>
      <c r="BF940" s="225"/>
      <c r="BG940" s="225"/>
      <c r="BH940" s="225"/>
      <c r="BI940" s="225"/>
      <c r="BJ940" s="225"/>
      <c r="BK940" s="225"/>
    </row>
    <row r="941" spans="48:63" ht="15.75" customHeight="1" x14ac:dyDescent="0.2">
      <c r="AV941" s="225"/>
      <c r="AW941" s="225"/>
      <c r="AX941" s="225"/>
      <c r="AY941" s="225"/>
      <c r="AZ941" s="225"/>
      <c r="BA941" s="225"/>
      <c r="BB941" s="225"/>
      <c r="BC941" s="225"/>
      <c r="BD941" s="225"/>
      <c r="BE941" s="225"/>
      <c r="BF941" s="225"/>
      <c r="BG941" s="225"/>
      <c r="BH941" s="225"/>
      <c r="BI941" s="225"/>
      <c r="BJ941" s="225"/>
      <c r="BK941" s="225"/>
    </row>
    <row r="942" spans="48:63" ht="15.75" customHeight="1" x14ac:dyDescent="0.2">
      <c r="AV942" s="225"/>
      <c r="AW942" s="225"/>
      <c r="AX942" s="225"/>
      <c r="AY942" s="225"/>
      <c r="AZ942" s="225"/>
      <c r="BA942" s="225"/>
      <c r="BB942" s="225"/>
      <c r="BC942" s="225"/>
      <c r="BD942" s="225"/>
      <c r="BE942" s="225"/>
      <c r="BF942" s="225"/>
      <c r="BG942" s="225"/>
      <c r="BH942" s="225"/>
      <c r="BI942" s="225"/>
      <c r="BJ942" s="225"/>
      <c r="BK942" s="225"/>
    </row>
    <row r="943" spans="48:63" ht="15.75" customHeight="1" x14ac:dyDescent="0.2">
      <c r="AV943" s="225"/>
      <c r="AW943" s="225"/>
      <c r="AX943" s="225"/>
      <c r="AY943" s="225"/>
      <c r="AZ943" s="225"/>
      <c r="BA943" s="225"/>
      <c r="BB943" s="225"/>
      <c r="BC943" s="225"/>
      <c r="BD943" s="225"/>
      <c r="BE943" s="225"/>
      <c r="BF943" s="225"/>
      <c r="BG943" s="225"/>
      <c r="BH943" s="225"/>
      <c r="BI943" s="225"/>
      <c r="BJ943" s="225"/>
      <c r="BK943" s="225"/>
    </row>
    <row r="944" spans="48:63" ht="15.75" customHeight="1" x14ac:dyDescent="0.2">
      <c r="AV944" s="225"/>
      <c r="AW944" s="225"/>
      <c r="AX944" s="225"/>
      <c r="AY944" s="225"/>
      <c r="AZ944" s="225"/>
      <c r="BA944" s="225"/>
      <c r="BB944" s="225"/>
      <c r="BC944" s="225"/>
      <c r="BD944" s="225"/>
      <c r="BE944" s="225"/>
      <c r="BF944" s="225"/>
      <c r="BG944" s="225"/>
      <c r="BH944" s="225"/>
      <c r="BI944" s="225"/>
      <c r="BJ944" s="225"/>
      <c r="BK944" s="225"/>
    </row>
    <row r="945" spans="48:63" ht="15.75" customHeight="1" x14ac:dyDescent="0.2">
      <c r="AV945" s="225"/>
      <c r="AW945" s="225"/>
      <c r="AX945" s="225"/>
      <c r="AY945" s="225"/>
      <c r="AZ945" s="225"/>
      <c r="BA945" s="225"/>
      <c r="BB945" s="225"/>
      <c r="BC945" s="225"/>
      <c r="BD945" s="225"/>
      <c r="BE945" s="225"/>
      <c r="BF945" s="225"/>
      <c r="BG945" s="225"/>
      <c r="BH945" s="225"/>
      <c r="BI945" s="225"/>
      <c r="BJ945" s="225"/>
      <c r="BK945" s="225"/>
    </row>
    <row r="946" spans="48:63" ht="15.75" customHeight="1" x14ac:dyDescent="0.2">
      <c r="AV946" s="225"/>
      <c r="AW946" s="225"/>
      <c r="AX946" s="225"/>
      <c r="AY946" s="225"/>
      <c r="AZ946" s="225"/>
      <c r="BA946" s="225"/>
      <c r="BB946" s="225"/>
      <c r="BC946" s="225"/>
      <c r="BD946" s="225"/>
      <c r="BE946" s="225"/>
      <c r="BF946" s="225"/>
      <c r="BG946" s="225"/>
      <c r="BH946" s="225"/>
      <c r="BI946" s="225"/>
      <c r="BJ946" s="225"/>
      <c r="BK946" s="225"/>
    </row>
    <row r="947" spans="48:63" ht="15.75" customHeight="1" x14ac:dyDescent="0.2">
      <c r="AV947" s="225"/>
      <c r="AW947" s="225"/>
      <c r="AX947" s="225"/>
      <c r="AY947" s="225"/>
      <c r="AZ947" s="225"/>
      <c r="BA947" s="225"/>
      <c r="BB947" s="225"/>
      <c r="BC947" s="225"/>
      <c r="BD947" s="225"/>
      <c r="BE947" s="225"/>
      <c r="BF947" s="225"/>
      <c r="BG947" s="225"/>
      <c r="BH947" s="225"/>
      <c r="BI947" s="225"/>
      <c r="BJ947" s="225"/>
      <c r="BK947" s="225"/>
    </row>
    <row r="948" spans="48:63" ht="15.75" customHeight="1" x14ac:dyDescent="0.2">
      <c r="AV948" s="225"/>
      <c r="AW948" s="225"/>
      <c r="AX948" s="225"/>
      <c r="AY948" s="225"/>
      <c r="AZ948" s="225"/>
      <c r="BA948" s="225"/>
      <c r="BB948" s="225"/>
      <c r="BC948" s="225"/>
      <c r="BD948" s="225"/>
      <c r="BE948" s="225"/>
      <c r="BF948" s="225"/>
      <c r="BG948" s="225"/>
      <c r="BH948" s="225"/>
      <c r="BI948" s="225"/>
      <c r="BJ948" s="225"/>
      <c r="BK948" s="225"/>
    </row>
    <row r="949" spans="48:63" ht="15.75" customHeight="1" x14ac:dyDescent="0.2">
      <c r="AV949" s="225"/>
      <c r="AW949" s="225"/>
      <c r="AX949" s="225"/>
      <c r="AY949" s="225"/>
      <c r="AZ949" s="225"/>
      <c r="BA949" s="225"/>
      <c r="BB949" s="225"/>
      <c r="BC949" s="225"/>
      <c r="BD949" s="225"/>
      <c r="BE949" s="225"/>
      <c r="BF949" s="225"/>
      <c r="BG949" s="225"/>
      <c r="BH949" s="225"/>
      <c r="BI949" s="225"/>
      <c r="BJ949" s="225"/>
      <c r="BK949" s="225"/>
    </row>
    <row r="950" spans="48:63" ht="15.75" customHeight="1" x14ac:dyDescent="0.2">
      <c r="AV950" s="225"/>
      <c r="AW950" s="225"/>
      <c r="AX950" s="225"/>
      <c r="AY950" s="225"/>
      <c r="AZ950" s="225"/>
      <c r="BA950" s="225"/>
      <c r="BB950" s="225"/>
      <c r="BC950" s="225"/>
      <c r="BD950" s="225"/>
      <c r="BE950" s="225"/>
      <c r="BF950" s="225"/>
      <c r="BG950" s="225"/>
      <c r="BH950" s="225"/>
      <c r="BI950" s="225"/>
      <c r="BJ950" s="225"/>
      <c r="BK950" s="225"/>
    </row>
    <row r="951" spans="48:63" ht="15.75" customHeight="1" x14ac:dyDescent="0.2">
      <c r="AV951" s="225"/>
      <c r="AW951" s="225"/>
      <c r="AX951" s="225"/>
      <c r="AY951" s="225"/>
      <c r="AZ951" s="225"/>
      <c r="BA951" s="225"/>
      <c r="BB951" s="225"/>
      <c r="BC951" s="225"/>
      <c r="BD951" s="225"/>
      <c r="BE951" s="225"/>
      <c r="BF951" s="225"/>
      <c r="BG951" s="225"/>
      <c r="BH951" s="225"/>
      <c r="BI951" s="225"/>
      <c r="BJ951" s="225"/>
      <c r="BK951" s="225"/>
    </row>
    <row r="952" spans="48:63" ht="15.75" customHeight="1" x14ac:dyDescent="0.2">
      <c r="AV952" s="225"/>
      <c r="AW952" s="225"/>
      <c r="AX952" s="225"/>
      <c r="AY952" s="225"/>
      <c r="AZ952" s="225"/>
      <c r="BA952" s="225"/>
      <c r="BB952" s="225"/>
      <c r="BC952" s="225"/>
      <c r="BD952" s="225"/>
      <c r="BE952" s="225"/>
      <c r="BF952" s="225"/>
      <c r="BG952" s="225"/>
      <c r="BH952" s="225"/>
      <c r="BI952" s="225"/>
      <c r="BJ952" s="225"/>
      <c r="BK952" s="225"/>
    </row>
    <row r="953" spans="48:63" ht="15.75" customHeight="1" x14ac:dyDescent="0.2">
      <c r="AV953" s="225"/>
      <c r="AW953" s="225"/>
      <c r="AX953" s="225"/>
      <c r="AY953" s="225"/>
      <c r="AZ953" s="225"/>
      <c r="BA953" s="225"/>
      <c r="BB953" s="225"/>
      <c r="BC953" s="225"/>
      <c r="BD953" s="225"/>
      <c r="BE953" s="225"/>
      <c r="BF953" s="225"/>
      <c r="BG953" s="225"/>
      <c r="BH953" s="225"/>
      <c r="BI953" s="225"/>
      <c r="BJ953" s="225"/>
      <c r="BK953" s="225"/>
    </row>
    <row r="954" spans="48:63" ht="15.75" customHeight="1" x14ac:dyDescent="0.2">
      <c r="AV954" s="225"/>
      <c r="AW954" s="225"/>
      <c r="AX954" s="225"/>
      <c r="AY954" s="225"/>
      <c r="AZ954" s="225"/>
      <c r="BA954" s="225"/>
      <c r="BB954" s="225"/>
      <c r="BC954" s="225"/>
      <c r="BD954" s="225"/>
      <c r="BE954" s="225"/>
      <c r="BF954" s="225"/>
      <c r="BG954" s="225"/>
      <c r="BH954" s="225"/>
      <c r="BI954" s="225"/>
      <c r="BJ954" s="225"/>
      <c r="BK954" s="225"/>
    </row>
    <row r="955" spans="48:63" ht="15.75" customHeight="1" x14ac:dyDescent="0.2">
      <c r="AV955" s="225"/>
      <c r="AW955" s="225"/>
      <c r="AX955" s="225"/>
      <c r="AY955" s="225"/>
      <c r="AZ955" s="225"/>
      <c r="BA955" s="225"/>
      <c r="BB955" s="225"/>
      <c r="BC955" s="225"/>
      <c r="BD955" s="225"/>
      <c r="BE955" s="225"/>
      <c r="BF955" s="225"/>
      <c r="BG955" s="225"/>
      <c r="BH955" s="225"/>
      <c r="BI955" s="225"/>
      <c r="BJ955" s="225"/>
      <c r="BK955" s="225"/>
    </row>
    <row r="956" spans="48:63" ht="15.75" customHeight="1" x14ac:dyDescent="0.2">
      <c r="AV956" s="225"/>
      <c r="AW956" s="225"/>
      <c r="AX956" s="225"/>
      <c r="AY956" s="225"/>
      <c r="AZ956" s="225"/>
      <c r="BA956" s="225"/>
      <c r="BB956" s="225"/>
      <c r="BC956" s="225"/>
      <c r="BD956" s="225"/>
      <c r="BE956" s="225"/>
      <c r="BF956" s="225"/>
      <c r="BG956" s="225"/>
      <c r="BH956" s="225"/>
      <c r="BI956" s="225"/>
      <c r="BJ956" s="225"/>
      <c r="BK956" s="225"/>
    </row>
    <row r="957" spans="48:63" ht="15.75" customHeight="1" x14ac:dyDescent="0.2">
      <c r="AV957" s="225"/>
      <c r="AW957" s="225"/>
      <c r="AX957" s="225"/>
      <c r="AY957" s="225"/>
      <c r="AZ957" s="225"/>
      <c r="BA957" s="225"/>
      <c r="BB957" s="225"/>
      <c r="BC957" s="225"/>
      <c r="BD957" s="225"/>
      <c r="BE957" s="225"/>
      <c r="BF957" s="225"/>
      <c r="BG957" s="225"/>
      <c r="BH957" s="225"/>
      <c r="BI957" s="225"/>
      <c r="BJ957" s="225"/>
      <c r="BK957" s="225"/>
    </row>
    <row r="958" spans="48:63" ht="15.75" customHeight="1" x14ac:dyDescent="0.2">
      <c r="AV958" s="225"/>
      <c r="AW958" s="225"/>
      <c r="AX958" s="225"/>
      <c r="AY958" s="225"/>
      <c r="AZ958" s="225"/>
      <c r="BA958" s="225"/>
      <c r="BB958" s="225"/>
      <c r="BC958" s="225"/>
      <c r="BD958" s="225"/>
      <c r="BE958" s="225"/>
      <c r="BF958" s="225"/>
      <c r="BG958" s="225"/>
      <c r="BH958" s="225"/>
      <c r="BI958" s="225"/>
      <c r="BJ958" s="225"/>
      <c r="BK958" s="225"/>
    </row>
    <row r="959" spans="48:63" ht="15.75" customHeight="1" x14ac:dyDescent="0.2">
      <c r="AV959" s="225"/>
      <c r="AW959" s="225"/>
      <c r="AX959" s="225"/>
      <c r="AY959" s="225"/>
      <c r="AZ959" s="225"/>
      <c r="BA959" s="225"/>
      <c r="BB959" s="225"/>
      <c r="BC959" s="225"/>
      <c r="BD959" s="225"/>
      <c r="BE959" s="225"/>
      <c r="BF959" s="225"/>
      <c r="BG959" s="225"/>
      <c r="BH959" s="225"/>
      <c r="BI959" s="225"/>
      <c r="BJ959" s="225"/>
      <c r="BK959" s="225"/>
    </row>
    <row r="960" spans="48:63" ht="15.75" customHeight="1" x14ac:dyDescent="0.2">
      <c r="AV960" s="225"/>
      <c r="AW960" s="225"/>
      <c r="AX960" s="225"/>
      <c r="AY960" s="225"/>
      <c r="AZ960" s="225"/>
      <c r="BA960" s="225"/>
      <c r="BB960" s="225"/>
      <c r="BC960" s="225"/>
      <c r="BD960" s="225"/>
      <c r="BE960" s="225"/>
      <c r="BF960" s="225"/>
      <c r="BG960" s="225"/>
      <c r="BH960" s="225"/>
      <c r="BI960" s="225"/>
      <c r="BJ960" s="225"/>
      <c r="BK960" s="225"/>
    </row>
    <row r="961" spans="48:63" ht="15.75" customHeight="1" x14ac:dyDescent="0.2">
      <c r="AV961" s="225"/>
      <c r="AW961" s="225"/>
      <c r="AX961" s="225"/>
      <c r="AY961" s="225"/>
      <c r="AZ961" s="225"/>
      <c r="BA961" s="225"/>
      <c r="BB961" s="225"/>
      <c r="BC961" s="225"/>
      <c r="BD961" s="225"/>
      <c r="BE961" s="225"/>
      <c r="BF961" s="225"/>
      <c r="BG961" s="225"/>
      <c r="BH961" s="225"/>
      <c r="BI961" s="225"/>
      <c r="BJ961" s="225"/>
      <c r="BK961" s="225"/>
    </row>
    <row r="962" spans="48:63" ht="15.75" customHeight="1" x14ac:dyDescent="0.2">
      <c r="AV962" s="225"/>
      <c r="AW962" s="225"/>
      <c r="AX962" s="225"/>
      <c r="AY962" s="225"/>
      <c r="AZ962" s="225"/>
      <c r="BA962" s="225"/>
      <c r="BB962" s="225"/>
      <c r="BC962" s="225"/>
      <c r="BD962" s="225"/>
      <c r="BE962" s="225"/>
      <c r="BF962" s="225"/>
      <c r="BG962" s="225"/>
      <c r="BH962" s="225"/>
      <c r="BI962" s="225"/>
      <c r="BJ962" s="225"/>
      <c r="BK962" s="225"/>
    </row>
    <row r="963" spans="48:63" ht="15.75" customHeight="1" x14ac:dyDescent="0.2">
      <c r="AV963" s="225"/>
      <c r="AW963" s="225"/>
      <c r="AX963" s="225"/>
      <c r="AY963" s="225"/>
      <c r="AZ963" s="225"/>
      <c r="BA963" s="225"/>
      <c r="BB963" s="225"/>
      <c r="BC963" s="225"/>
      <c r="BD963" s="225"/>
      <c r="BE963" s="225"/>
      <c r="BF963" s="225"/>
      <c r="BG963" s="225"/>
      <c r="BH963" s="225"/>
      <c r="BI963" s="225"/>
      <c r="BJ963" s="225"/>
      <c r="BK963" s="225"/>
    </row>
    <row r="964" spans="48:63" ht="15.75" customHeight="1" x14ac:dyDescent="0.2">
      <c r="AV964" s="225"/>
      <c r="AW964" s="225"/>
      <c r="AX964" s="225"/>
      <c r="AY964" s="225"/>
      <c r="AZ964" s="225"/>
      <c r="BA964" s="225"/>
      <c r="BB964" s="225"/>
      <c r="BC964" s="225"/>
      <c r="BD964" s="225"/>
      <c r="BE964" s="225"/>
      <c r="BF964" s="225"/>
      <c r="BG964" s="225"/>
      <c r="BH964" s="225"/>
      <c r="BI964" s="225"/>
      <c r="BJ964" s="225"/>
      <c r="BK964" s="225"/>
    </row>
    <row r="965" spans="48:63" ht="15.75" customHeight="1" x14ac:dyDescent="0.2">
      <c r="AV965" s="225"/>
      <c r="AW965" s="225"/>
      <c r="AX965" s="225"/>
      <c r="AY965" s="225"/>
      <c r="AZ965" s="225"/>
      <c r="BA965" s="225"/>
      <c r="BB965" s="225"/>
      <c r="BC965" s="225"/>
      <c r="BD965" s="225"/>
      <c r="BE965" s="225"/>
      <c r="BF965" s="225"/>
      <c r="BG965" s="225"/>
      <c r="BH965" s="225"/>
      <c r="BI965" s="225"/>
      <c r="BJ965" s="225"/>
      <c r="BK965" s="225"/>
    </row>
    <row r="966" spans="48:63" ht="15.75" customHeight="1" x14ac:dyDescent="0.2">
      <c r="AV966" s="225"/>
      <c r="AW966" s="225"/>
      <c r="AX966" s="225"/>
      <c r="AY966" s="225"/>
      <c r="AZ966" s="225"/>
      <c r="BA966" s="225"/>
      <c r="BB966" s="225"/>
      <c r="BC966" s="225"/>
      <c r="BD966" s="225"/>
      <c r="BE966" s="225"/>
      <c r="BF966" s="225"/>
      <c r="BG966" s="225"/>
      <c r="BH966" s="225"/>
      <c r="BI966" s="225"/>
      <c r="BJ966" s="225"/>
      <c r="BK966" s="225"/>
    </row>
    <row r="967" spans="48:63" ht="15.75" customHeight="1" x14ac:dyDescent="0.2">
      <c r="AV967" s="225"/>
      <c r="AW967" s="225"/>
      <c r="AX967" s="225"/>
      <c r="AY967" s="225"/>
      <c r="AZ967" s="225"/>
      <c r="BA967" s="225"/>
      <c r="BB967" s="225"/>
      <c r="BC967" s="225"/>
      <c r="BD967" s="225"/>
      <c r="BE967" s="225"/>
      <c r="BF967" s="225"/>
      <c r="BG967" s="225"/>
      <c r="BH967" s="225"/>
      <c r="BI967" s="225"/>
      <c r="BJ967" s="225"/>
      <c r="BK967" s="225"/>
    </row>
    <row r="968" spans="48:63" ht="15.75" customHeight="1" x14ac:dyDescent="0.2">
      <c r="AV968" s="225"/>
      <c r="AW968" s="225"/>
      <c r="AX968" s="225"/>
      <c r="AY968" s="225"/>
      <c r="AZ968" s="225"/>
      <c r="BA968" s="225"/>
      <c r="BB968" s="225"/>
      <c r="BC968" s="225"/>
      <c r="BD968" s="225"/>
      <c r="BE968" s="225"/>
      <c r="BF968" s="225"/>
      <c r="BG968" s="225"/>
      <c r="BH968" s="225"/>
      <c r="BI968" s="225"/>
      <c r="BJ968" s="225"/>
      <c r="BK968" s="225"/>
    </row>
    <row r="969" spans="48:63" ht="15.75" customHeight="1" x14ac:dyDescent="0.2">
      <c r="AV969" s="225"/>
      <c r="AW969" s="225"/>
      <c r="AX969" s="225"/>
      <c r="AY969" s="225"/>
      <c r="AZ969" s="225"/>
      <c r="BA969" s="225"/>
      <c r="BB969" s="225"/>
      <c r="BC969" s="225"/>
      <c r="BD969" s="225"/>
      <c r="BE969" s="225"/>
      <c r="BF969" s="225"/>
      <c r="BG969" s="225"/>
      <c r="BH969" s="225"/>
      <c r="BI969" s="225"/>
      <c r="BJ969" s="225"/>
      <c r="BK969" s="225"/>
    </row>
    <row r="970" spans="48:63" ht="15.75" customHeight="1" x14ac:dyDescent="0.2">
      <c r="AV970" s="225"/>
      <c r="AW970" s="225"/>
      <c r="AX970" s="225"/>
      <c r="AY970" s="225"/>
      <c r="AZ970" s="225"/>
      <c r="BA970" s="225"/>
      <c r="BB970" s="225"/>
      <c r="BC970" s="225"/>
      <c r="BD970" s="225"/>
      <c r="BE970" s="225"/>
      <c r="BF970" s="225"/>
      <c r="BG970" s="225"/>
      <c r="BH970" s="225"/>
      <c r="BI970" s="225"/>
      <c r="BJ970" s="225"/>
      <c r="BK970" s="225"/>
    </row>
    <row r="971" spans="48:63" ht="15.75" customHeight="1" x14ac:dyDescent="0.2">
      <c r="AV971" s="225"/>
      <c r="AW971" s="225"/>
      <c r="AX971" s="225"/>
      <c r="AY971" s="225"/>
      <c r="AZ971" s="225"/>
      <c r="BA971" s="225"/>
      <c r="BB971" s="225"/>
      <c r="BC971" s="225"/>
      <c r="BD971" s="225"/>
      <c r="BE971" s="225"/>
      <c r="BF971" s="225"/>
      <c r="BG971" s="225"/>
      <c r="BH971" s="225"/>
      <c r="BI971" s="225"/>
      <c r="BJ971" s="225"/>
      <c r="BK971" s="225"/>
    </row>
    <row r="972" spans="48:63" ht="15.75" customHeight="1" x14ac:dyDescent="0.2">
      <c r="AV972" s="225"/>
      <c r="AW972" s="225"/>
      <c r="AX972" s="225"/>
      <c r="AY972" s="225"/>
      <c r="AZ972" s="225"/>
      <c r="BA972" s="225"/>
      <c r="BB972" s="225"/>
      <c r="BC972" s="225"/>
      <c r="BD972" s="225"/>
      <c r="BE972" s="225"/>
      <c r="BF972" s="225"/>
      <c r="BG972" s="225"/>
      <c r="BH972" s="225"/>
      <c r="BI972" s="225"/>
      <c r="BJ972" s="225"/>
      <c r="BK972" s="225"/>
    </row>
    <row r="973" spans="48:63" ht="15.75" customHeight="1" x14ac:dyDescent="0.2">
      <c r="AV973" s="225"/>
      <c r="AW973" s="225"/>
      <c r="AX973" s="225"/>
      <c r="AY973" s="225"/>
      <c r="AZ973" s="225"/>
      <c r="BA973" s="225"/>
      <c r="BB973" s="225"/>
      <c r="BC973" s="225"/>
      <c r="BD973" s="225"/>
      <c r="BE973" s="225"/>
      <c r="BF973" s="225"/>
      <c r="BG973" s="225"/>
      <c r="BH973" s="225"/>
      <c r="BI973" s="225"/>
      <c r="BJ973" s="225"/>
      <c r="BK973" s="225"/>
    </row>
    <row r="974" spans="48:63" ht="15.75" customHeight="1" x14ac:dyDescent="0.2">
      <c r="AV974" s="225"/>
      <c r="AW974" s="225"/>
      <c r="AX974" s="225"/>
      <c r="AY974" s="225"/>
      <c r="AZ974" s="225"/>
      <c r="BA974" s="225"/>
      <c r="BB974" s="225"/>
      <c r="BC974" s="225"/>
      <c r="BD974" s="225"/>
      <c r="BE974" s="225"/>
      <c r="BF974" s="225"/>
      <c r="BG974" s="225"/>
      <c r="BH974" s="225"/>
      <c r="BI974" s="225"/>
      <c r="BJ974" s="225"/>
      <c r="BK974" s="225"/>
    </row>
    <row r="975" spans="48:63" ht="15.75" customHeight="1" x14ac:dyDescent="0.2">
      <c r="AV975" s="225"/>
      <c r="AW975" s="225"/>
      <c r="AX975" s="225"/>
      <c r="AY975" s="225"/>
      <c r="AZ975" s="225"/>
      <c r="BA975" s="225"/>
      <c r="BB975" s="225"/>
      <c r="BC975" s="225"/>
      <c r="BD975" s="225"/>
      <c r="BE975" s="225"/>
      <c r="BF975" s="225"/>
      <c r="BG975" s="225"/>
      <c r="BH975" s="225"/>
      <c r="BI975" s="225"/>
      <c r="BJ975" s="225"/>
      <c r="BK975" s="225"/>
    </row>
    <row r="976" spans="48:63" ht="15.75" customHeight="1" x14ac:dyDescent="0.2">
      <c r="AV976" s="225"/>
      <c r="AW976" s="225"/>
      <c r="AX976" s="225"/>
      <c r="AY976" s="225"/>
      <c r="AZ976" s="225"/>
      <c r="BA976" s="225"/>
      <c r="BB976" s="225"/>
      <c r="BC976" s="225"/>
      <c r="BD976" s="225"/>
      <c r="BE976" s="225"/>
      <c r="BF976" s="225"/>
      <c r="BG976" s="225"/>
      <c r="BH976" s="225"/>
      <c r="BI976" s="225"/>
      <c r="BJ976" s="225"/>
      <c r="BK976" s="225"/>
    </row>
    <row r="977" spans="48:63" ht="15.75" customHeight="1" x14ac:dyDescent="0.2">
      <c r="AV977" s="225"/>
      <c r="AW977" s="225"/>
      <c r="AX977" s="225"/>
      <c r="AY977" s="225"/>
      <c r="AZ977" s="225"/>
      <c r="BA977" s="225"/>
      <c r="BB977" s="225"/>
      <c r="BC977" s="225"/>
      <c r="BD977" s="225"/>
      <c r="BE977" s="225"/>
      <c r="BF977" s="225"/>
      <c r="BG977" s="225"/>
      <c r="BH977" s="225"/>
      <c r="BI977" s="225"/>
      <c r="BJ977" s="225"/>
      <c r="BK977" s="225"/>
    </row>
    <row r="978" spans="48:63" ht="15.75" customHeight="1" x14ac:dyDescent="0.2">
      <c r="AV978" s="225"/>
      <c r="AW978" s="225"/>
      <c r="AX978" s="225"/>
      <c r="AY978" s="225"/>
      <c r="AZ978" s="225"/>
      <c r="BA978" s="225"/>
      <c r="BB978" s="225"/>
      <c r="BC978" s="225"/>
      <c r="BD978" s="225"/>
      <c r="BE978" s="225"/>
      <c r="BF978" s="225"/>
      <c r="BG978" s="225"/>
      <c r="BH978" s="225"/>
      <c r="BI978" s="225"/>
      <c r="BJ978" s="225"/>
      <c r="BK978" s="225"/>
    </row>
    <row r="979" spans="48:63" ht="15.75" customHeight="1" x14ac:dyDescent="0.2">
      <c r="AV979" s="225"/>
      <c r="AW979" s="225"/>
      <c r="AX979" s="225"/>
      <c r="AY979" s="225"/>
      <c r="AZ979" s="225"/>
      <c r="BA979" s="225"/>
      <c r="BB979" s="225"/>
      <c r="BC979" s="225"/>
      <c r="BD979" s="225"/>
      <c r="BE979" s="225"/>
      <c r="BF979" s="225"/>
      <c r="BG979" s="225"/>
      <c r="BH979" s="225"/>
      <c r="BI979" s="225"/>
      <c r="BJ979" s="225"/>
      <c r="BK979" s="225"/>
    </row>
    <row r="980" spans="48:63" ht="15.75" customHeight="1" x14ac:dyDescent="0.2">
      <c r="AV980" s="225"/>
      <c r="AW980" s="225"/>
      <c r="AX980" s="225"/>
      <c r="AY980" s="225"/>
      <c r="AZ980" s="225"/>
      <c r="BA980" s="225"/>
      <c r="BB980" s="225"/>
      <c r="BC980" s="225"/>
      <c r="BD980" s="225"/>
      <c r="BE980" s="225"/>
      <c r="BF980" s="225"/>
      <c r="BG980" s="225"/>
      <c r="BH980" s="225"/>
      <c r="BI980" s="225"/>
      <c r="BJ980" s="225"/>
      <c r="BK980" s="225"/>
    </row>
    <row r="981" spans="48:63" ht="15.75" customHeight="1" x14ac:dyDescent="0.2">
      <c r="AV981" s="225"/>
      <c r="AW981" s="225"/>
      <c r="AX981" s="225"/>
      <c r="AY981" s="225"/>
      <c r="AZ981" s="225"/>
      <c r="BA981" s="225"/>
      <c r="BB981" s="225"/>
      <c r="BC981" s="225"/>
      <c r="BD981" s="225"/>
      <c r="BE981" s="225"/>
      <c r="BF981" s="225"/>
      <c r="BG981" s="225"/>
      <c r="BH981" s="225"/>
      <c r="BI981" s="225"/>
      <c r="BJ981" s="225"/>
      <c r="BK981" s="225"/>
    </row>
    <row r="982" spans="48:63" ht="15.75" customHeight="1" x14ac:dyDescent="0.2">
      <c r="AV982" s="225"/>
      <c r="AW982" s="225"/>
      <c r="AX982" s="225"/>
      <c r="AY982" s="225"/>
      <c r="AZ982" s="225"/>
      <c r="BA982" s="225"/>
      <c r="BB982" s="225"/>
      <c r="BC982" s="225"/>
      <c r="BD982" s="225"/>
      <c r="BE982" s="225"/>
      <c r="BF982" s="225"/>
      <c r="BG982" s="225"/>
      <c r="BH982" s="225"/>
      <c r="BI982" s="225"/>
      <c r="BJ982" s="225"/>
      <c r="BK982" s="225"/>
    </row>
    <row r="983" spans="48:63" ht="15.75" customHeight="1" x14ac:dyDescent="0.2">
      <c r="AV983" s="225"/>
      <c r="AW983" s="225"/>
      <c r="AX983" s="225"/>
      <c r="AY983" s="225"/>
      <c r="AZ983" s="225"/>
      <c r="BA983" s="225"/>
      <c r="BB983" s="225"/>
      <c r="BC983" s="225"/>
      <c r="BD983" s="225"/>
      <c r="BE983" s="225"/>
      <c r="BF983" s="225"/>
      <c r="BG983" s="225"/>
      <c r="BH983" s="225"/>
      <c r="BI983" s="225"/>
      <c r="BJ983" s="225"/>
      <c r="BK983" s="225"/>
    </row>
    <row r="984" spans="48:63" ht="15.75" customHeight="1" x14ac:dyDescent="0.2">
      <c r="AV984" s="225"/>
      <c r="AW984" s="225"/>
      <c r="AX984" s="225"/>
      <c r="AY984" s="225"/>
      <c r="AZ984" s="225"/>
      <c r="BA984" s="225"/>
      <c r="BB984" s="225"/>
      <c r="BC984" s="225"/>
      <c r="BD984" s="225"/>
      <c r="BE984" s="225"/>
      <c r="BF984" s="225"/>
      <c r="BG984" s="225"/>
      <c r="BH984" s="225"/>
      <c r="BI984" s="225"/>
      <c r="BJ984" s="225"/>
      <c r="BK984" s="225"/>
    </row>
    <row r="985" spans="48:63" ht="15.75" customHeight="1" x14ac:dyDescent="0.2">
      <c r="AV985" s="225"/>
      <c r="AW985" s="225"/>
      <c r="AX985" s="225"/>
      <c r="AY985" s="225"/>
      <c r="AZ985" s="225"/>
      <c r="BA985" s="225"/>
      <c r="BB985" s="225"/>
      <c r="BC985" s="225"/>
      <c r="BD985" s="225"/>
      <c r="BE985" s="225"/>
      <c r="BF985" s="225"/>
      <c r="BG985" s="225"/>
      <c r="BH985" s="225"/>
      <c r="BI985" s="225"/>
      <c r="BJ985" s="225"/>
      <c r="BK985" s="225"/>
    </row>
    <row r="986" spans="48:63" ht="15.75" customHeight="1" x14ac:dyDescent="0.2">
      <c r="AV986" s="225"/>
      <c r="AW986" s="225"/>
      <c r="AX986" s="225"/>
      <c r="AY986" s="225"/>
      <c r="AZ986" s="225"/>
      <c r="BA986" s="225"/>
      <c r="BB986" s="225"/>
      <c r="BC986" s="225"/>
      <c r="BD986" s="225"/>
      <c r="BE986" s="225"/>
      <c r="BF986" s="225"/>
      <c r="BG986" s="225"/>
      <c r="BH986" s="225"/>
      <c r="BI986" s="225"/>
      <c r="BJ986" s="225"/>
      <c r="BK986" s="225"/>
    </row>
    <row r="987" spans="48:63" ht="15.75" customHeight="1" x14ac:dyDescent="0.2">
      <c r="AV987" s="225"/>
      <c r="AW987" s="225"/>
      <c r="AX987" s="225"/>
      <c r="AY987" s="225"/>
      <c r="AZ987" s="225"/>
      <c r="BA987" s="225"/>
      <c r="BB987" s="225"/>
      <c r="BC987" s="225"/>
      <c r="BD987" s="225"/>
      <c r="BE987" s="225"/>
      <c r="BF987" s="225"/>
      <c r="BG987" s="225"/>
      <c r="BH987" s="225"/>
      <c r="BI987" s="225"/>
      <c r="BJ987" s="225"/>
      <c r="BK987" s="225"/>
    </row>
    <row r="988" spans="48:63" ht="15.75" customHeight="1" x14ac:dyDescent="0.2">
      <c r="AV988" s="225"/>
      <c r="AW988" s="225"/>
      <c r="AX988" s="225"/>
      <c r="AY988" s="225"/>
      <c r="AZ988" s="225"/>
      <c r="BA988" s="225"/>
      <c r="BB988" s="225"/>
      <c r="BC988" s="225"/>
      <c r="BD988" s="225"/>
      <c r="BE988" s="225"/>
      <c r="BF988" s="225"/>
      <c r="BG988" s="225"/>
      <c r="BH988" s="225"/>
      <c r="BI988" s="225"/>
      <c r="BJ988" s="225"/>
      <c r="BK988" s="225"/>
    </row>
    <row r="989" spans="48:63" ht="15.75" customHeight="1" x14ac:dyDescent="0.2">
      <c r="AV989" s="225"/>
      <c r="AW989" s="225"/>
      <c r="AX989" s="225"/>
      <c r="AY989" s="225"/>
      <c r="AZ989" s="225"/>
      <c r="BA989" s="225"/>
      <c r="BB989" s="225"/>
      <c r="BC989" s="225"/>
      <c r="BD989" s="225"/>
      <c r="BE989" s="225"/>
      <c r="BF989" s="225"/>
      <c r="BG989" s="225"/>
      <c r="BH989" s="225"/>
      <c r="BI989" s="225"/>
      <c r="BJ989" s="225"/>
      <c r="BK989" s="225"/>
    </row>
    <row r="990" spans="48:63" ht="15.75" customHeight="1" x14ac:dyDescent="0.2">
      <c r="AV990" s="225"/>
      <c r="AW990" s="225"/>
      <c r="AX990" s="225"/>
      <c r="AY990" s="225"/>
      <c r="AZ990" s="225"/>
      <c r="BA990" s="225"/>
      <c r="BB990" s="225"/>
      <c r="BC990" s="225"/>
      <c r="BD990" s="225"/>
      <c r="BE990" s="225"/>
      <c r="BF990" s="225"/>
      <c r="BG990" s="225"/>
      <c r="BH990" s="225"/>
      <c r="BI990" s="225"/>
      <c r="BJ990" s="225"/>
      <c r="BK990" s="225"/>
    </row>
    <row r="991" spans="48:63" ht="15.75" customHeight="1" x14ac:dyDescent="0.2">
      <c r="AV991" s="225"/>
      <c r="AW991" s="225"/>
      <c r="AX991" s="225"/>
      <c r="AY991" s="225"/>
      <c r="AZ991" s="225"/>
      <c r="BA991" s="225"/>
      <c r="BB991" s="225"/>
      <c r="BC991" s="225"/>
      <c r="BD991" s="225"/>
      <c r="BE991" s="225"/>
      <c r="BF991" s="225"/>
      <c r="BG991" s="225"/>
      <c r="BH991" s="225"/>
      <c r="BI991" s="225"/>
      <c r="BJ991" s="225"/>
      <c r="BK991" s="225"/>
    </row>
    <row r="992" spans="48:63" ht="15.75" customHeight="1" x14ac:dyDescent="0.2">
      <c r="AV992" s="225"/>
      <c r="AW992" s="225"/>
      <c r="AX992" s="225"/>
      <c r="AY992" s="225"/>
      <c r="AZ992" s="225"/>
      <c r="BA992" s="225"/>
      <c r="BB992" s="225"/>
      <c r="BC992" s="225"/>
      <c r="BD992" s="225"/>
      <c r="BE992" s="225"/>
      <c r="BF992" s="225"/>
      <c r="BG992" s="225"/>
      <c r="BH992" s="225"/>
      <c r="BI992" s="225"/>
      <c r="BJ992" s="225"/>
      <c r="BK992" s="225"/>
    </row>
    <row r="993" spans="48:63" ht="15.75" customHeight="1" x14ac:dyDescent="0.2">
      <c r="AV993" s="225"/>
      <c r="AW993" s="225"/>
      <c r="AX993" s="225"/>
      <c r="AY993" s="225"/>
      <c r="AZ993" s="225"/>
      <c r="BA993" s="225"/>
      <c r="BB993" s="225"/>
      <c r="BC993" s="225"/>
      <c r="BD993" s="225"/>
      <c r="BE993" s="225"/>
      <c r="BF993" s="225"/>
      <c r="BG993" s="225"/>
      <c r="BH993" s="225"/>
      <c r="BI993" s="225"/>
      <c r="BJ993" s="225"/>
      <c r="BK993" s="225"/>
    </row>
    <row r="994" spans="48:63" ht="15.75" customHeight="1" x14ac:dyDescent="0.2">
      <c r="AV994" s="225"/>
      <c r="AW994" s="225"/>
      <c r="AX994" s="225"/>
      <c r="AY994" s="225"/>
      <c r="AZ994" s="225"/>
      <c r="BA994" s="225"/>
      <c r="BB994" s="225"/>
      <c r="BC994" s="225"/>
      <c r="BD994" s="225"/>
      <c r="BE994" s="225"/>
      <c r="BF994" s="225"/>
      <c r="BG994" s="225"/>
      <c r="BH994" s="225"/>
      <c r="BI994" s="225"/>
      <c r="BJ994" s="225"/>
      <c r="BK994" s="225"/>
    </row>
    <row r="995" spans="48:63" ht="15.75" customHeight="1" x14ac:dyDescent="0.2">
      <c r="AV995" s="225"/>
      <c r="AW995" s="225"/>
      <c r="AX995" s="225"/>
      <c r="AY995" s="225"/>
      <c r="AZ995" s="225"/>
      <c r="BA995" s="225"/>
      <c r="BB995" s="225"/>
      <c r="BC995" s="225"/>
      <c r="BD995" s="225"/>
      <c r="BE995" s="225"/>
      <c r="BF995" s="225"/>
      <c r="BG995" s="225"/>
      <c r="BH995" s="225"/>
      <c r="BI995" s="225"/>
      <c r="BJ995" s="225"/>
      <c r="BK995" s="225"/>
    </row>
    <row r="996" spans="48:63" ht="15.75" customHeight="1" x14ac:dyDescent="0.2">
      <c r="AV996" s="225"/>
      <c r="AW996" s="225"/>
      <c r="AX996" s="225"/>
      <c r="AY996" s="225"/>
      <c r="AZ996" s="225"/>
      <c r="BA996" s="225"/>
      <c r="BB996" s="225"/>
      <c r="BC996" s="225"/>
      <c r="BD996" s="225"/>
      <c r="BE996" s="225"/>
      <c r="BF996" s="225"/>
      <c r="BG996" s="225"/>
      <c r="BH996" s="225"/>
      <c r="BI996" s="225"/>
      <c r="BJ996" s="225"/>
      <c r="BK996" s="225"/>
    </row>
    <row r="997" spans="48:63" ht="15.75" customHeight="1" x14ac:dyDescent="0.2">
      <c r="AV997" s="225"/>
      <c r="AW997" s="225"/>
      <c r="AX997" s="225"/>
      <c r="AY997" s="225"/>
      <c r="AZ997" s="225"/>
      <c r="BA997" s="225"/>
      <c r="BB997" s="225"/>
      <c r="BC997" s="225"/>
      <c r="BD997" s="225"/>
      <c r="BE997" s="225"/>
      <c r="BF997" s="225"/>
      <c r="BG997" s="225"/>
      <c r="BH997" s="225"/>
      <c r="BI997" s="225"/>
      <c r="BJ997" s="225"/>
      <c r="BK997" s="225"/>
    </row>
    <row r="998" spans="48:63" ht="15.75" customHeight="1" x14ac:dyDescent="0.2">
      <c r="AV998" s="225"/>
      <c r="AW998" s="225"/>
      <c r="AX998" s="225"/>
      <c r="AY998" s="225"/>
      <c r="AZ998" s="225"/>
      <c r="BA998" s="225"/>
      <c r="BB998" s="225"/>
      <c r="BC998" s="225"/>
      <c r="BD998" s="225"/>
      <c r="BE998" s="225"/>
      <c r="BF998" s="225"/>
      <c r="BG998" s="225"/>
      <c r="BH998" s="225"/>
      <c r="BI998" s="225"/>
      <c r="BJ998" s="225"/>
      <c r="BK998" s="225"/>
    </row>
    <row r="999" spans="48:63" ht="15.75" customHeight="1" x14ac:dyDescent="0.2">
      <c r="AV999" s="225"/>
      <c r="AW999" s="225"/>
      <c r="AX999" s="225"/>
      <c r="AY999" s="225"/>
      <c r="AZ999" s="225"/>
      <c r="BA999" s="225"/>
      <c r="BB999" s="225"/>
      <c r="BC999" s="225"/>
      <c r="BD999" s="225"/>
      <c r="BE999" s="225"/>
      <c r="BF999" s="225"/>
      <c r="BG999" s="225"/>
      <c r="BH999" s="225"/>
      <c r="BI999" s="225"/>
      <c r="BJ999" s="225"/>
      <c r="BK999" s="225"/>
    </row>
    <row r="1000" spans="48:63" ht="15.75" customHeight="1" x14ac:dyDescent="0.2">
      <c r="AV1000" s="225"/>
      <c r="AW1000" s="225"/>
      <c r="AX1000" s="225"/>
      <c r="AY1000" s="225"/>
      <c r="AZ1000" s="225"/>
      <c r="BA1000" s="225"/>
      <c r="BB1000" s="225"/>
      <c r="BC1000" s="225"/>
      <c r="BD1000" s="225"/>
      <c r="BE1000" s="225"/>
      <c r="BF1000" s="225"/>
      <c r="BG1000" s="225"/>
      <c r="BH1000" s="225"/>
      <c r="BI1000" s="225"/>
      <c r="BJ1000" s="225"/>
      <c r="BK1000" s="225"/>
    </row>
  </sheetData>
  <mergeCells count="15">
    <mergeCell ref="A76:A80"/>
    <mergeCell ref="A81:A85"/>
    <mergeCell ref="A86:A90"/>
    <mergeCell ref="A2:A6"/>
    <mergeCell ref="A7:A11"/>
    <mergeCell ref="A12:A16"/>
    <mergeCell ref="A17:A21"/>
    <mergeCell ref="A22:A26"/>
    <mergeCell ref="A30:A34"/>
    <mergeCell ref="A35:A39"/>
    <mergeCell ref="A40:A44"/>
    <mergeCell ref="A45:A49"/>
    <mergeCell ref="A50:A54"/>
    <mergeCell ref="A66:A70"/>
    <mergeCell ref="A71:A75"/>
  </mergeCells>
  <conditionalFormatting sqref="AV2:BK56">
    <cfRule type="colorScale" priority="1">
      <colorScale>
        <cfvo type="min"/>
        <cfvo type="max"/>
        <color rgb="FF494429"/>
        <color rgb="FF00B050"/>
      </colorScale>
    </cfRule>
  </conditionalFormatting>
  <conditionalFormatting sqref="AV65:BK80">
    <cfRule type="colorScale" priority="2">
      <colorScale>
        <cfvo type="min"/>
        <cfvo type="max"/>
        <color rgb="FF494429"/>
        <color rgb="FF00B050"/>
      </colorScale>
    </cfRule>
  </conditionalFormatting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B1000"/>
  <sheetViews>
    <sheetView workbookViewId="0"/>
  </sheetViews>
  <sheetFormatPr baseColWidth="10" defaultColWidth="14.5" defaultRowHeight="15" customHeight="1" x14ac:dyDescent="0.2"/>
  <cols>
    <col min="1" max="1" width="20.33203125" customWidth="1"/>
    <col min="2" max="2" width="28.6640625" customWidth="1"/>
    <col min="3" max="26" width="10.6640625" customWidth="1"/>
  </cols>
  <sheetData>
    <row r="3" spans="1:2" x14ac:dyDescent="0.2">
      <c r="A3" s="96"/>
      <c r="B3" s="6" t="s">
        <v>334</v>
      </c>
    </row>
    <row r="4" spans="1:2" x14ac:dyDescent="0.2">
      <c r="A4" s="241"/>
      <c r="B4" s="6">
        <v>0</v>
      </c>
    </row>
    <row r="5" spans="1:2" x14ac:dyDescent="0.2">
      <c r="A5" s="241" t="s">
        <v>335</v>
      </c>
      <c r="B5" s="6">
        <v>0</v>
      </c>
    </row>
    <row r="6" spans="1:2" x14ac:dyDescent="0.2">
      <c r="A6" s="241"/>
    </row>
    <row r="7" spans="1:2" x14ac:dyDescent="0.2">
      <c r="A7" s="241"/>
    </row>
    <row r="8" spans="1:2" x14ac:dyDescent="0.2">
      <c r="A8" s="241"/>
    </row>
    <row r="9" spans="1:2" x14ac:dyDescent="0.2">
      <c r="A9" s="242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5.83203125" customWidth="1"/>
    <col min="2" max="2" width="10.33203125" customWidth="1"/>
    <col min="3" max="3" width="6.33203125" customWidth="1"/>
    <col min="4" max="4" width="6.1640625" customWidth="1"/>
    <col min="5" max="5" width="6" customWidth="1"/>
    <col min="6" max="6" width="5.83203125" customWidth="1"/>
    <col min="7" max="9" width="6.33203125" customWidth="1"/>
    <col min="10" max="10" width="5.6640625" customWidth="1"/>
    <col min="11" max="11" width="6.1640625" customWidth="1"/>
    <col min="12" max="12" width="5.6640625" customWidth="1"/>
    <col min="13" max="15" width="6.33203125" customWidth="1"/>
    <col min="16" max="16" width="5.6640625" customWidth="1"/>
    <col min="17" max="17" width="6.33203125" customWidth="1"/>
    <col min="18" max="18" width="6" customWidth="1"/>
    <col min="19" max="26" width="10.6640625" customWidth="1"/>
  </cols>
  <sheetData>
    <row r="1" spans="1:26" x14ac:dyDescent="0.2">
      <c r="A1" s="320"/>
      <c r="B1" s="321" t="s">
        <v>1193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3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321" t="s">
        <v>2</v>
      </c>
      <c r="B2" s="320" t="s">
        <v>336</v>
      </c>
      <c r="C2" s="324" t="s">
        <v>337</v>
      </c>
      <c r="D2" s="324" t="s">
        <v>338</v>
      </c>
      <c r="E2" s="324" t="s">
        <v>339</v>
      </c>
      <c r="F2" s="324" t="s">
        <v>340</v>
      </c>
      <c r="G2" s="324" t="s">
        <v>341</v>
      </c>
      <c r="H2" s="324" t="s">
        <v>342</v>
      </c>
      <c r="I2" s="324" t="s">
        <v>343</v>
      </c>
      <c r="J2" s="324" t="s">
        <v>344</v>
      </c>
      <c r="K2" s="324" t="s">
        <v>345</v>
      </c>
      <c r="L2" s="324" t="s">
        <v>346</v>
      </c>
      <c r="M2" s="324" t="s">
        <v>347</v>
      </c>
      <c r="N2" s="324" t="s">
        <v>348</v>
      </c>
      <c r="O2" s="324" t="s">
        <v>349</v>
      </c>
      <c r="P2" s="324" t="s">
        <v>350</v>
      </c>
      <c r="Q2" s="324" t="s">
        <v>351</v>
      </c>
      <c r="R2" s="325" t="s">
        <v>352</v>
      </c>
    </row>
    <row r="3" spans="1:26" x14ac:dyDescent="0.2">
      <c r="A3" s="320" t="s">
        <v>353</v>
      </c>
      <c r="B3" s="326">
        <v>1</v>
      </c>
      <c r="C3" s="327">
        <v>2</v>
      </c>
      <c r="D3" s="327">
        <v>3</v>
      </c>
      <c r="E3" s="327">
        <v>3</v>
      </c>
      <c r="F3" s="327">
        <v>1</v>
      </c>
      <c r="G3" s="327">
        <v>4</v>
      </c>
      <c r="H3" s="327">
        <v>2</v>
      </c>
      <c r="I3" s="327">
        <v>3</v>
      </c>
      <c r="J3" s="327">
        <v>1</v>
      </c>
      <c r="K3" s="327">
        <v>2</v>
      </c>
      <c r="L3" s="327">
        <v>3</v>
      </c>
      <c r="M3" s="327">
        <v>1</v>
      </c>
      <c r="N3" s="327">
        <v>3</v>
      </c>
      <c r="O3" s="327">
        <v>1</v>
      </c>
      <c r="P3" s="327">
        <v>2</v>
      </c>
      <c r="Q3" s="327">
        <v>3</v>
      </c>
      <c r="R3" s="328">
        <v>3</v>
      </c>
    </row>
    <row r="4" spans="1:26" x14ac:dyDescent="0.2">
      <c r="A4" s="329" t="s">
        <v>354</v>
      </c>
      <c r="B4" s="330">
        <v>1</v>
      </c>
      <c r="C4" s="331">
        <v>2</v>
      </c>
      <c r="D4" s="331">
        <v>3</v>
      </c>
      <c r="E4" s="331">
        <v>4</v>
      </c>
      <c r="F4" s="331">
        <v>2</v>
      </c>
      <c r="G4" s="331">
        <v>4</v>
      </c>
      <c r="H4" s="331">
        <v>3</v>
      </c>
      <c r="I4" s="331">
        <v>4</v>
      </c>
      <c r="J4" s="331">
        <v>1</v>
      </c>
      <c r="K4" s="331">
        <v>0</v>
      </c>
      <c r="L4" s="331">
        <v>3</v>
      </c>
      <c r="M4" s="331">
        <v>1</v>
      </c>
      <c r="N4" s="331">
        <v>2</v>
      </c>
      <c r="O4" s="331">
        <v>1</v>
      </c>
      <c r="P4" s="331">
        <v>2</v>
      </c>
      <c r="Q4" s="331">
        <v>3</v>
      </c>
      <c r="R4" s="332">
        <v>4</v>
      </c>
    </row>
    <row r="5" spans="1:26" x14ac:dyDescent="0.2">
      <c r="A5" s="329" t="s">
        <v>355</v>
      </c>
      <c r="B5" s="330">
        <v>1</v>
      </c>
      <c r="C5" s="331">
        <v>1</v>
      </c>
      <c r="D5" s="331">
        <v>3</v>
      </c>
      <c r="E5" s="331">
        <v>3</v>
      </c>
      <c r="F5" s="331">
        <v>2</v>
      </c>
      <c r="G5" s="331">
        <v>4</v>
      </c>
      <c r="H5" s="331">
        <v>2</v>
      </c>
      <c r="I5" s="331">
        <v>4</v>
      </c>
      <c r="J5" s="331">
        <v>1</v>
      </c>
      <c r="K5" s="331">
        <v>0</v>
      </c>
      <c r="L5" s="331">
        <v>0</v>
      </c>
      <c r="M5" s="331">
        <v>3</v>
      </c>
      <c r="N5" s="331">
        <v>1</v>
      </c>
      <c r="O5" s="331">
        <v>2</v>
      </c>
      <c r="P5" s="331">
        <v>3</v>
      </c>
      <c r="Q5" s="331">
        <v>4</v>
      </c>
      <c r="R5" s="332">
        <v>4</v>
      </c>
    </row>
    <row r="6" spans="1:26" x14ac:dyDescent="0.2">
      <c r="A6" s="329" t="s">
        <v>356</v>
      </c>
      <c r="B6" s="330">
        <v>1</v>
      </c>
      <c r="C6" s="331">
        <v>1</v>
      </c>
      <c r="D6" s="331">
        <v>2</v>
      </c>
      <c r="E6" s="331">
        <v>3</v>
      </c>
      <c r="F6" s="331">
        <v>1</v>
      </c>
      <c r="G6" s="331">
        <v>4</v>
      </c>
      <c r="H6" s="331">
        <v>2</v>
      </c>
      <c r="I6" s="331">
        <v>3</v>
      </c>
      <c r="J6" s="331">
        <v>0</v>
      </c>
      <c r="K6" s="331">
        <v>1</v>
      </c>
      <c r="L6" s="331">
        <v>0</v>
      </c>
      <c r="M6" s="331">
        <v>2</v>
      </c>
      <c r="N6" s="331">
        <v>4</v>
      </c>
      <c r="O6" s="331">
        <v>0</v>
      </c>
      <c r="P6" s="331">
        <v>2</v>
      </c>
      <c r="Q6" s="331">
        <v>0</v>
      </c>
      <c r="R6" s="332">
        <v>3</v>
      </c>
    </row>
    <row r="7" spans="1:26" x14ac:dyDescent="0.2">
      <c r="A7" s="329" t="s">
        <v>357</v>
      </c>
      <c r="B7" s="330">
        <v>1</v>
      </c>
      <c r="C7" s="331">
        <v>3</v>
      </c>
      <c r="D7" s="331">
        <v>4</v>
      </c>
      <c r="E7" s="331">
        <v>4</v>
      </c>
      <c r="F7" s="331">
        <v>3</v>
      </c>
      <c r="G7" s="331">
        <v>4</v>
      </c>
      <c r="H7" s="331">
        <v>2</v>
      </c>
      <c r="I7" s="331">
        <v>3</v>
      </c>
      <c r="J7" s="331">
        <v>1</v>
      </c>
      <c r="K7" s="331">
        <v>2</v>
      </c>
      <c r="L7" s="331">
        <v>1</v>
      </c>
      <c r="M7" s="331">
        <v>2</v>
      </c>
      <c r="N7" s="331">
        <v>4</v>
      </c>
      <c r="O7" s="331">
        <v>1</v>
      </c>
      <c r="P7" s="331">
        <v>3</v>
      </c>
      <c r="Q7" s="331">
        <v>2</v>
      </c>
      <c r="R7" s="332">
        <v>4</v>
      </c>
    </row>
    <row r="8" spans="1:26" x14ac:dyDescent="0.2">
      <c r="A8" s="329" t="s">
        <v>358</v>
      </c>
      <c r="B8" s="330">
        <v>1</v>
      </c>
      <c r="C8" s="331">
        <v>2</v>
      </c>
      <c r="D8" s="331">
        <v>3</v>
      </c>
      <c r="E8" s="331">
        <v>4</v>
      </c>
      <c r="F8" s="331">
        <v>1</v>
      </c>
      <c r="G8" s="331">
        <v>4</v>
      </c>
      <c r="H8" s="331">
        <v>2</v>
      </c>
      <c r="I8" s="331">
        <v>3</v>
      </c>
      <c r="J8" s="331">
        <v>0</v>
      </c>
      <c r="K8" s="331">
        <v>1</v>
      </c>
      <c r="L8" s="331">
        <v>1</v>
      </c>
      <c r="M8" s="331">
        <v>0</v>
      </c>
      <c r="N8" s="331">
        <v>4</v>
      </c>
      <c r="O8" s="331">
        <v>0</v>
      </c>
      <c r="P8" s="331">
        <v>2</v>
      </c>
      <c r="Q8" s="331">
        <v>3</v>
      </c>
      <c r="R8" s="332">
        <v>3</v>
      </c>
    </row>
    <row r="9" spans="1:26" x14ac:dyDescent="0.2">
      <c r="A9" s="329" t="s">
        <v>359</v>
      </c>
      <c r="B9" s="330">
        <v>1</v>
      </c>
      <c r="C9" s="331">
        <v>3</v>
      </c>
      <c r="D9" s="331">
        <v>4</v>
      </c>
      <c r="E9" s="331">
        <v>4</v>
      </c>
      <c r="F9" s="331">
        <v>3</v>
      </c>
      <c r="G9" s="331">
        <v>4</v>
      </c>
      <c r="H9" s="331">
        <v>1</v>
      </c>
      <c r="I9" s="331">
        <v>3</v>
      </c>
      <c r="J9" s="331">
        <v>2</v>
      </c>
      <c r="K9" s="331">
        <v>3</v>
      </c>
      <c r="L9" s="331">
        <v>4</v>
      </c>
      <c r="M9" s="331">
        <v>1</v>
      </c>
      <c r="N9" s="331">
        <v>2</v>
      </c>
      <c r="O9" s="331">
        <v>2</v>
      </c>
      <c r="P9" s="331">
        <v>3</v>
      </c>
      <c r="Q9" s="331">
        <v>4</v>
      </c>
      <c r="R9" s="332">
        <v>4</v>
      </c>
    </row>
    <row r="10" spans="1:26" x14ac:dyDescent="0.2">
      <c r="A10" s="329" t="s">
        <v>360</v>
      </c>
      <c r="B10" s="330">
        <v>1</v>
      </c>
      <c r="C10" s="331">
        <v>2</v>
      </c>
      <c r="D10" s="331">
        <v>3</v>
      </c>
      <c r="E10" s="331">
        <v>3</v>
      </c>
      <c r="F10" s="331">
        <v>2</v>
      </c>
      <c r="G10" s="331">
        <v>1</v>
      </c>
      <c r="H10" s="331">
        <v>4</v>
      </c>
      <c r="I10" s="331">
        <v>3</v>
      </c>
      <c r="J10" s="331">
        <v>0</v>
      </c>
      <c r="K10" s="331">
        <v>0</v>
      </c>
      <c r="L10" s="331">
        <v>0</v>
      </c>
      <c r="M10" s="331">
        <v>0</v>
      </c>
      <c r="N10" s="331">
        <v>2</v>
      </c>
      <c r="O10" s="331">
        <v>1</v>
      </c>
      <c r="P10" s="331">
        <v>2</v>
      </c>
      <c r="Q10" s="331">
        <v>0</v>
      </c>
      <c r="R10" s="332">
        <v>3</v>
      </c>
    </row>
    <row r="11" spans="1:26" x14ac:dyDescent="0.2">
      <c r="A11" s="329" t="s">
        <v>60</v>
      </c>
      <c r="B11" s="330">
        <v>2</v>
      </c>
      <c r="C11" s="331">
        <v>5</v>
      </c>
      <c r="D11" s="331">
        <v>7</v>
      </c>
      <c r="E11" s="331">
        <v>8</v>
      </c>
      <c r="F11" s="331">
        <v>4</v>
      </c>
      <c r="G11" s="331">
        <v>8</v>
      </c>
      <c r="H11" s="331">
        <v>2</v>
      </c>
      <c r="I11" s="331">
        <v>6</v>
      </c>
      <c r="J11" s="331">
        <v>3</v>
      </c>
      <c r="K11" s="331">
        <v>3</v>
      </c>
      <c r="L11" s="331">
        <v>6</v>
      </c>
      <c r="M11" s="331">
        <v>4</v>
      </c>
      <c r="N11" s="331">
        <v>3</v>
      </c>
      <c r="O11" s="331">
        <v>3</v>
      </c>
      <c r="P11" s="331">
        <v>6</v>
      </c>
      <c r="Q11" s="331">
        <v>6</v>
      </c>
      <c r="R11" s="332">
        <v>7</v>
      </c>
    </row>
    <row r="12" spans="1:26" x14ac:dyDescent="0.2">
      <c r="A12" s="329" t="s">
        <v>361</v>
      </c>
      <c r="B12" s="330">
        <v>1</v>
      </c>
      <c r="C12" s="331">
        <v>3</v>
      </c>
      <c r="D12" s="331">
        <v>4</v>
      </c>
      <c r="E12" s="331">
        <v>4</v>
      </c>
      <c r="F12" s="331">
        <v>3</v>
      </c>
      <c r="G12" s="331">
        <v>4</v>
      </c>
      <c r="H12" s="331">
        <v>2</v>
      </c>
      <c r="I12" s="331">
        <v>3</v>
      </c>
      <c r="J12" s="331">
        <v>1</v>
      </c>
      <c r="K12" s="331">
        <v>2</v>
      </c>
      <c r="L12" s="331">
        <v>1</v>
      </c>
      <c r="M12" s="331">
        <v>4</v>
      </c>
      <c r="N12" s="331">
        <v>3</v>
      </c>
      <c r="O12" s="331">
        <v>2</v>
      </c>
      <c r="P12" s="331">
        <v>3</v>
      </c>
      <c r="Q12" s="331">
        <v>1</v>
      </c>
      <c r="R12" s="332">
        <v>4</v>
      </c>
    </row>
    <row r="13" spans="1:26" x14ac:dyDescent="0.2">
      <c r="A13" s="329" t="s">
        <v>362</v>
      </c>
      <c r="B13" s="330">
        <v>1</v>
      </c>
      <c r="C13" s="331">
        <v>2</v>
      </c>
      <c r="D13" s="331">
        <v>3</v>
      </c>
      <c r="E13" s="331">
        <v>4</v>
      </c>
      <c r="F13" s="331">
        <v>2</v>
      </c>
      <c r="G13" s="331">
        <v>4</v>
      </c>
      <c r="H13" s="331">
        <v>1</v>
      </c>
      <c r="I13" s="331">
        <v>4</v>
      </c>
      <c r="J13" s="331">
        <v>0</v>
      </c>
      <c r="K13" s="331">
        <v>1</v>
      </c>
      <c r="L13" s="331">
        <v>1</v>
      </c>
      <c r="M13" s="331">
        <v>0</v>
      </c>
      <c r="N13" s="331">
        <v>4</v>
      </c>
      <c r="O13" s="331">
        <v>1</v>
      </c>
      <c r="P13" s="331">
        <v>3</v>
      </c>
      <c r="Q13" s="331">
        <v>4</v>
      </c>
      <c r="R13" s="332">
        <v>3</v>
      </c>
    </row>
    <row r="14" spans="1:26" x14ac:dyDescent="0.2">
      <c r="A14" s="329" t="s">
        <v>363</v>
      </c>
      <c r="B14" s="330">
        <v>1</v>
      </c>
      <c r="C14" s="331">
        <v>3</v>
      </c>
      <c r="D14" s="331">
        <v>4</v>
      </c>
      <c r="E14" s="331">
        <v>4</v>
      </c>
      <c r="F14" s="331">
        <v>3</v>
      </c>
      <c r="G14" s="331">
        <v>4</v>
      </c>
      <c r="H14" s="331">
        <v>2</v>
      </c>
      <c r="I14" s="331">
        <v>4</v>
      </c>
      <c r="J14" s="331">
        <v>0</v>
      </c>
      <c r="K14" s="331">
        <v>0</v>
      </c>
      <c r="L14" s="331">
        <v>3</v>
      </c>
      <c r="M14" s="331">
        <v>1</v>
      </c>
      <c r="N14" s="331">
        <v>4</v>
      </c>
      <c r="O14" s="331">
        <v>1</v>
      </c>
      <c r="P14" s="331">
        <v>2</v>
      </c>
      <c r="Q14" s="331">
        <v>2</v>
      </c>
      <c r="R14" s="332">
        <v>3</v>
      </c>
    </row>
    <row r="15" spans="1:26" x14ac:dyDescent="0.2">
      <c r="A15" s="329" t="s">
        <v>364</v>
      </c>
      <c r="B15" s="330">
        <v>1</v>
      </c>
      <c r="C15" s="331">
        <v>2</v>
      </c>
      <c r="D15" s="331">
        <v>3</v>
      </c>
      <c r="E15" s="331">
        <v>4</v>
      </c>
      <c r="F15" s="331">
        <v>3</v>
      </c>
      <c r="G15" s="331">
        <v>4</v>
      </c>
      <c r="H15" s="331">
        <v>1</v>
      </c>
      <c r="I15" s="331">
        <v>3</v>
      </c>
      <c r="J15" s="331">
        <v>0</v>
      </c>
      <c r="K15" s="331">
        <v>2</v>
      </c>
      <c r="L15" s="331">
        <v>0</v>
      </c>
      <c r="M15" s="331">
        <v>1</v>
      </c>
      <c r="N15" s="331">
        <v>2</v>
      </c>
      <c r="O15" s="331">
        <v>1</v>
      </c>
      <c r="P15" s="331">
        <v>3</v>
      </c>
      <c r="Q15" s="331">
        <v>1</v>
      </c>
      <c r="R15" s="332">
        <v>4</v>
      </c>
    </row>
    <row r="16" spans="1:26" x14ac:dyDescent="0.2">
      <c r="A16" s="329" t="s">
        <v>365</v>
      </c>
      <c r="B16" s="330">
        <v>5</v>
      </c>
      <c r="C16" s="331">
        <v>14</v>
      </c>
      <c r="D16" s="331">
        <v>19</v>
      </c>
      <c r="E16" s="331">
        <v>19</v>
      </c>
      <c r="F16" s="331">
        <v>12</v>
      </c>
      <c r="G16" s="331">
        <v>15</v>
      </c>
      <c r="H16" s="331">
        <v>13</v>
      </c>
      <c r="I16" s="331">
        <v>15</v>
      </c>
      <c r="J16" s="331">
        <v>2</v>
      </c>
      <c r="K16" s="331">
        <v>17</v>
      </c>
      <c r="L16" s="331">
        <v>9</v>
      </c>
      <c r="M16" s="331">
        <v>2</v>
      </c>
      <c r="N16" s="331">
        <v>10</v>
      </c>
      <c r="O16" s="331">
        <v>6</v>
      </c>
      <c r="P16" s="331">
        <v>12</v>
      </c>
      <c r="Q16" s="331">
        <v>8</v>
      </c>
      <c r="R16" s="332">
        <v>15</v>
      </c>
    </row>
    <row r="17" spans="1:18" x14ac:dyDescent="0.2">
      <c r="A17" s="329" t="s">
        <v>366</v>
      </c>
      <c r="B17" s="330">
        <v>1</v>
      </c>
      <c r="C17" s="331">
        <v>2</v>
      </c>
      <c r="D17" s="331">
        <v>3</v>
      </c>
      <c r="E17" s="331">
        <v>4</v>
      </c>
      <c r="F17" s="331">
        <v>3</v>
      </c>
      <c r="G17" s="331">
        <v>2</v>
      </c>
      <c r="H17" s="331">
        <v>3</v>
      </c>
      <c r="I17" s="331">
        <v>4</v>
      </c>
      <c r="J17" s="331">
        <v>1</v>
      </c>
      <c r="K17" s="331">
        <v>0</v>
      </c>
      <c r="L17" s="331">
        <v>2</v>
      </c>
      <c r="M17" s="331">
        <v>3</v>
      </c>
      <c r="N17" s="331">
        <v>1</v>
      </c>
      <c r="O17" s="331">
        <v>2</v>
      </c>
      <c r="P17" s="331">
        <v>3</v>
      </c>
      <c r="Q17" s="331">
        <v>2</v>
      </c>
      <c r="R17" s="332">
        <v>4</v>
      </c>
    </row>
    <row r="18" spans="1:18" x14ac:dyDescent="0.2">
      <c r="A18" s="329" t="s">
        <v>367</v>
      </c>
      <c r="B18" s="330">
        <v>1</v>
      </c>
      <c r="C18" s="331">
        <v>1</v>
      </c>
      <c r="D18" s="331">
        <v>2</v>
      </c>
      <c r="E18" s="331">
        <v>3</v>
      </c>
      <c r="F18" s="331">
        <v>2</v>
      </c>
      <c r="G18" s="331">
        <v>4</v>
      </c>
      <c r="H18" s="331">
        <v>3</v>
      </c>
      <c r="I18" s="331">
        <v>3</v>
      </c>
      <c r="J18" s="331">
        <v>1</v>
      </c>
      <c r="K18" s="331">
        <v>2</v>
      </c>
      <c r="L18" s="331">
        <v>1</v>
      </c>
      <c r="M18" s="331">
        <v>1</v>
      </c>
      <c r="N18" s="331">
        <v>2</v>
      </c>
      <c r="O18" s="331">
        <v>1</v>
      </c>
      <c r="P18" s="331">
        <v>2</v>
      </c>
      <c r="Q18" s="331">
        <v>4</v>
      </c>
      <c r="R18" s="332">
        <v>4</v>
      </c>
    </row>
    <row r="19" spans="1:18" x14ac:dyDescent="0.2">
      <c r="A19" s="329" t="s">
        <v>368</v>
      </c>
      <c r="B19" s="330">
        <v>1</v>
      </c>
      <c r="C19" s="331">
        <v>3</v>
      </c>
      <c r="D19" s="331">
        <v>4</v>
      </c>
      <c r="E19" s="331">
        <v>4</v>
      </c>
      <c r="F19" s="331">
        <v>4</v>
      </c>
      <c r="G19" s="331">
        <v>3</v>
      </c>
      <c r="H19" s="331">
        <v>2</v>
      </c>
      <c r="I19" s="331">
        <v>4</v>
      </c>
      <c r="J19" s="331">
        <v>1</v>
      </c>
      <c r="K19" s="331">
        <v>2</v>
      </c>
      <c r="L19" s="331">
        <v>1</v>
      </c>
      <c r="M19" s="331">
        <v>0</v>
      </c>
      <c r="N19" s="331">
        <v>1</v>
      </c>
      <c r="O19" s="331">
        <v>2</v>
      </c>
      <c r="P19" s="331">
        <v>3</v>
      </c>
      <c r="Q19" s="331">
        <v>2</v>
      </c>
      <c r="R19" s="332">
        <v>4</v>
      </c>
    </row>
    <row r="20" spans="1:18" x14ac:dyDescent="0.2">
      <c r="A20" s="329" t="s">
        <v>369</v>
      </c>
      <c r="B20" s="330">
        <v>1</v>
      </c>
      <c r="C20" s="331">
        <v>2</v>
      </c>
      <c r="D20" s="331">
        <v>3</v>
      </c>
      <c r="E20" s="331">
        <v>4</v>
      </c>
      <c r="F20" s="331">
        <v>2</v>
      </c>
      <c r="G20" s="331">
        <v>4</v>
      </c>
      <c r="H20" s="331">
        <v>1</v>
      </c>
      <c r="I20" s="331">
        <v>3</v>
      </c>
      <c r="J20" s="331">
        <v>0</v>
      </c>
      <c r="K20" s="331">
        <v>4</v>
      </c>
      <c r="L20" s="331">
        <v>1</v>
      </c>
      <c r="M20" s="331">
        <v>0</v>
      </c>
      <c r="N20" s="331">
        <v>2</v>
      </c>
      <c r="O20" s="331">
        <v>1</v>
      </c>
      <c r="P20" s="331">
        <v>2</v>
      </c>
      <c r="Q20" s="331">
        <v>1</v>
      </c>
      <c r="R20" s="332">
        <v>3</v>
      </c>
    </row>
    <row r="21" spans="1:18" ht="15.75" customHeight="1" x14ac:dyDescent="0.2">
      <c r="A21" s="329" t="s">
        <v>370</v>
      </c>
      <c r="B21" s="330">
        <v>1</v>
      </c>
      <c r="C21" s="331">
        <v>2</v>
      </c>
      <c r="D21" s="331">
        <v>3</v>
      </c>
      <c r="E21" s="331">
        <v>4</v>
      </c>
      <c r="F21" s="331">
        <v>2</v>
      </c>
      <c r="G21" s="331">
        <v>4</v>
      </c>
      <c r="H21" s="331">
        <v>1</v>
      </c>
      <c r="I21" s="331">
        <v>2</v>
      </c>
      <c r="J21" s="331">
        <v>1</v>
      </c>
      <c r="K21" s="331">
        <v>0</v>
      </c>
      <c r="L21" s="331">
        <v>1</v>
      </c>
      <c r="M21" s="331">
        <v>2</v>
      </c>
      <c r="N21" s="331">
        <v>3</v>
      </c>
      <c r="O21" s="331">
        <v>0</v>
      </c>
      <c r="P21" s="331">
        <v>3</v>
      </c>
      <c r="Q21" s="331">
        <v>2</v>
      </c>
      <c r="R21" s="332">
        <v>3</v>
      </c>
    </row>
    <row r="22" spans="1:18" ht="15.75" customHeight="1" x14ac:dyDescent="0.2">
      <c r="A22" s="329" t="s">
        <v>371</v>
      </c>
      <c r="B22" s="330">
        <v>1</v>
      </c>
      <c r="C22" s="331">
        <v>2</v>
      </c>
      <c r="D22" s="331">
        <v>3</v>
      </c>
      <c r="E22" s="331">
        <v>4</v>
      </c>
      <c r="F22" s="331">
        <v>2</v>
      </c>
      <c r="G22" s="331">
        <v>4</v>
      </c>
      <c r="H22" s="331">
        <v>1</v>
      </c>
      <c r="I22" s="331">
        <v>3</v>
      </c>
      <c r="J22" s="331">
        <v>0</v>
      </c>
      <c r="K22" s="331">
        <v>2</v>
      </c>
      <c r="L22" s="331">
        <v>1</v>
      </c>
      <c r="M22" s="331">
        <v>0</v>
      </c>
      <c r="N22" s="331">
        <v>4</v>
      </c>
      <c r="O22" s="331">
        <v>0</v>
      </c>
      <c r="P22" s="331">
        <v>2</v>
      </c>
      <c r="Q22" s="331">
        <v>4</v>
      </c>
      <c r="R22" s="332">
        <v>3</v>
      </c>
    </row>
    <row r="23" spans="1:18" ht="15.75" customHeight="1" x14ac:dyDescent="0.2">
      <c r="A23" s="329" t="s">
        <v>372</v>
      </c>
      <c r="B23" s="330">
        <v>2</v>
      </c>
      <c r="C23" s="331">
        <v>5</v>
      </c>
      <c r="D23" s="331">
        <v>7</v>
      </c>
      <c r="E23" s="331">
        <v>8</v>
      </c>
      <c r="F23" s="331">
        <v>2</v>
      </c>
      <c r="G23" s="331">
        <v>7</v>
      </c>
      <c r="H23" s="331">
        <v>4</v>
      </c>
      <c r="I23" s="331">
        <v>7</v>
      </c>
      <c r="J23" s="331">
        <v>0</v>
      </c>
      <c r="K23" s="331">
        <v>3</v>
      </c>
      <c r="L23" s="331">
        <v>3</v>
      </c>
      <c r="M23" s="331">
        <v>3</v>
      </c>
      <c r="N23" s="331">
        <v>8</v>
      </c>
      <c r="O23" s="331">
        <v>0</v>
      </c>
      <c r="P23" s="331">
        <v>4</v>
      </c>
      <c r="Q23" s="331">
        <v>4</v>
      </c>
      <c r="R23" s="332">
        <v>6</v>
      </c>
    </row>
    <row r="24" spans="1:18" ht="15.75" customHeight="1" x14ac:dyDescent="0.2">
      <c r="A24" s="329" t="s">
        <v>50</v>
      </c>
      <c r="B24" s="330">
        <v>1</v>
      </c>
      <c r="C24" s="331">
        <v>3</v>
      </c>
      <c r="D24" s="331">
        <v>4</v>
      </c>
      <c r="E24" s="331">
        <v>4</v>
      </c>
      <c r="F24" s="331">
        <v>2</v>
      </c>
      <c r="G24" s="331">
        <v>3</v>
      </c>
      <c r="H24" s="331">
        <v>1</v>
      </c>
      <c r="I24" s="331">
        <v>3</v>
      </c>
      <c r="J24" s="331">
        <v>0</v>
      </c>
      <c r="K24" s="331">
        <v>4</v>
      </c>
      <c r="L24" s="331">
        <v>0</v>
      </c>
      <c r="M24" s="331">
        <v>1</v>
      </c>
      <c r="N24" s="331">
        <v>2</v>
      </c>
      <c r="O24" s="331">
        <v>1</v>
      </c>
      <c r="P24" s="331">
        <v>2</v>
      </c>
      <c r="Q24" s="331">
        <v>0</v>
      </c>
      <c r="R24" s="332">
        <v>3</v>
      </c>
    </row>
    <row r="25" spans="1:18" ht="15.75" customHeight="1" x14ac:dyDescent="0.2">
      <c r="A25" s="329" t="s">
        <v>373</v>
      </c>
      <c r="B25" s="330">
        <v>1</v>
      </c>
      <c r="C25" s="331">
        <v>2</v>
      </c>
      <c r="D25" s="331">
        <v>3</v>
      </c>
      <c r="E25" s="331">
        <v>4</v>
      </c>
      <c r="F25" s="331">
        <v>2</v>
      </c>
      <c r="G25" s="331">
        <v>3</v>
      </c>
      <c r="H25" s="331">
        <v>4</v>
      </c>
      <c r="I25" s="331">
        <v>4</v>
      </c>
      <c r="J25" s="331">
        <v>1</v>
      </c>
      <c r="K25" s="331">
        <v>0</v>
      </c>
      <c r="L25" s="331">
        <v>0</v>
      </c>
      <c r="M25" s="331">
        <v>3</v>
      </c>
      <c r="N25" s="331">
        <v>2</v>
      </c>
      <c r="O25" s="331">
        <v>1</v>
      </c>
      <c r="P25" s="331">
        <v>2</v>
      </c>
      <c r="Q25" s="331">
        <v>0</v>
      </c>
      <c r="R25" s="332">
        <v>3</v>
      </c>
    </row>
    <row r="26" spans="1:18" ht="15.75" customHeight="1" x14ac:dyDescent="0.2">
      <c r="A26" s="329" t="s">
        <v>374</v>
      </c>
      <c r="B26" s="330">
        <v>2</v>
      </c>
      <c r="C26" s="331">
        <v>5</v>
      </c>
      <c r="D26" s="331">
        <v>5</v>
      </c>
      <c r="E26" s="331">
        <v>6</v>
      </c>
      <c r="F26" s="331">
        <v>4</v>
      </c>
      <c r="G26" s="331">
        <v>7</v>
      </c>
      <c r="H26" s="331">
        <v>5</v>
      </c>
      <c r="I26" s="331">
        <v>5</v>
      </c>
      <c r="J26" s="331">
        <v>4</v>
      </c>
      <c r="K26" s="331">
        <v>3</v>
      </c>
      <c r="L26" s="331">
        <v>2</v>
      </c>
      <c r="M26" s="331">
        <v>7</v>
      </c>
      <c r="N26" s="331">
        <v>3</v>
      </c>
      <c r="O26" s="331">
        <v>3</v>
      </c>
      <c r="P26" s="331">
        <v>4</v>
      </c>
      <c r="Q26" s="331">
        <v>3</v>
      </c>
      <c r="R26" s="332">
        <v>5</v>
      </c>
    </row>
    <row r="27" spans="1:18" ht="15.75" customHeight="1" x14ac:dyDescent="0.2">
      <c r="A27" s="329" t="s">
        <v>375</v>
      </c>
      <c r="B27" s="330">
        <v>2</v>
      </c>
      <c r="C27" s="331">
        <v>5</v>
      </c>
      <c r="D27" s="331">
        <v>7</v>
      </c>
      <c r="E27" s="331">
        <v>8</v>
      </c>
      <c r="F27" s="331">
        <v>5</v>
      </c>
      <c r="G27" s="331">
        <v>5</v>
      </c>
      <c r="H27" s="331">
        <v>4</v>
      </c>
      <c r="I27" s="331">
        <v>8</v>
      </c>
      <c r="J27" s="331">
        <v>3</v>
      </c>
      <c r="K27" s="331">
        <v>3</v>
      </c>
      <c r="L27" s="331">
        <v>3</v>
      </c>
      <c r="M27" s="331">
        <v>4</v>
      </c>
      <c r="N27" s="331">
        <v>3</v>
      </c>
      <c r="O27" s="331">
        <v>3</v>
      </c>
      <c r="P27" s="331">
        <v>6</v>
      </c>
      <c r="Q27" s="331">
        <v>6</v>
      </c>
      <c r="R27" s="332">
        <v>7</v>
      </c>
    </row>
    <row r="28" spans="1:18" ht="15.75" customHeight="1" x14ac:dyDescent="0.2">
      <c r="A28" s="329" t="s">
        <v>376</v>
      </c>
      <c r="B28" s="330">
        <v>1</v>
      </c>
      <c r="C28" s="331">
        <v>3</v>
      </c>
      <c r="D28" s="331">
        <v>4</v>
      </c>
      <c r="E28" s="331">
        <v>4</v>
      </c>
      <c r="F28" s="331">
        <v>3</v>
      </c>
      <c r="G28" s="331">
        <v>4</v>
      </c>
      <c r="H28" s="331">
        <v>2</v>
      </c>
      <c r="I28" s="331">
        <v>4</v>
      </c>
      <c r="J28" s="331">
        <v>0</v>
      </c>
      <c r="K28" s="331">
        <v>1</v>
      </c>
      <c r="L28" s="331">
        <v>0</v>
      </c>
      <c r="M28" s="331">
        <v>2</v>
      </c>
      <c r="N28" s="331">
        <v>4</v>
      </c>
      <c r="O28" s="331">
        <v>1</v>
      </c>
      <c r="P28" s="331">
        <v>3</v>
      </c>
      <c r="Q28" s="331">
        <v>1</v>
      </c>
      <c r="R28" s="332">
        <v>3</v>
      </c>
    </row>
    <row r="29" spans="1:18" ht="15.75" customHeight="1" x14ac:dyDescent="0.2">
      <c r="A29" s="329" t="s">
        <v>377</v>
      </c>
      <c r="B29" s="330">
        <v>1</v>
      </c>
      <c r="C29" s="331">
        <v>2</v>
      </c>
      <c r="D29" s="331">
        <v>3</v>
      </c>
      <c r="E29" s="331">
        <v>4</v>
      </c>
      <c r="F29" s="331">
        <v>2</v>
      </c>
      <c r="G29" s="331">
        <v>4</v>
      </c>
      <c r="H29" s="331">
        <v>1</v>
      </c>
      <c r="I29" s="331">
        <v>3</v>
      </c>
      <c r="J29" s="331">
        <v>1</v>
      </c>
      <c r="K29" s="331">
        <v>2</v>
      </c>
      <c r="L29" s="331">
        <v>1</v>
      </c>
      <c r="M29" s="331">
        <v>3</v>
      </c>
      <c r="N29" s="331">
        <v>2</v>
      </c>
      <c r="O29" s="331">
        <v>1</v>
      </c>
      <c r="P29" s="331">
        <v>2</v>
      </c>
      <c r="Q29" s="331">
        <v>2</v>
      </c>
      <c r="R29" s="332">
        <v>4</v>
      </c>
    </row>
    <row r="30" spans="1:18" ht="15.75" customHeight="1" x14ac:dyDescent="0.2">
      <c r="A30" s="329" t="s">
        <v>378</v>
      </c>
      <c r="B30" s="330">
        <v>1</v>
      </c>
      <c r="C30" s="331">
        <v>2</v>
      </c>
      <c r="D30" s="331">
        <v>3</v>
      </c>
      <c r="E30" s="331">
        <v>3</v>
      </c>
      <c r="F30" s="331">
        <v>1</v>
      </c>
      <c r="G30" s="331">
        <v>2</v>
      </c>
      <c r="H30" s="331">
        <v>3</v>
      </c>
      <c r="I30" s="331">
        <v>2</v>
      </c>
      <c r="J30" s="331">
        <v>2</v>
      </c>
      <c r="K30" s="331">
        <v>4</v>
      </c>
      <c r="L30" s="331">
        <v>2</v>
      </c>
      <c r="M30" s="331">
        <v>1</v>
      </c>
      <c r="N30" s="331">
        <v>0</v>
      </c>
      <c r="O30" s="331">
        <v>1</v>
      </c>
      <c r="P30" s="331">
        <v>1</v>
      </c>
      <c r="Q30" s="331">
        <v>2</v>
      </c>
      <c r="R30" s="332">
        <v>2</v>
      </c>
    </row>
    <row r="31" spans="1:18" ht="15.75" customHeight="1" x14ac:dyDescent="0.2">
      <c r="A31" s="329" t="s">
        <v>379</v>
      </c>
      <c r="B31" s="330">
        <v>1</v>
      </c>
      <c r="C31" s="331">
        <v>3</v>
      </c>
      <c r="D31" s="331">
        <v>4</v>
      </c>
      <c r="E31" s="331">
        <v>4</v>
      </c>
      <c r="F31" s="331">
        <v>3</v>
      </c>
      <c r="G31" s="331">
        <v>4</v>
      </c>
      <c r="H31" s="331">
        <v>2</v>
      </c>
      <c r="I31" s="331">
        <v>4</v>
      </c>
      <c r="J31" s="331">
        <v>1</v>
      </c>
      <c r="K31" s="331">
        <v>3</v>
      </c>
      <c r="L31" s="331">
        <v>2</v>
      </c>
      <c r="M31" s="331">
        <v>3</v>
      </c>
      <c r="N31" s="331">
        <v>4</v>
      </c>
      <c r="O31" s="331">
        <v>1</v>
      </c>
      <c r="P31" s="331">
        <v>3</v>
      </c>
      <c r="Q31" s="331">
        <v>1</v>
      </c>
      <c r="R31" s="332">
        <v>4</v>
      </c>
    </row>
    <row r="32" spans="1:18" ht="15.75" customHeight="1" x14ac:dyDescent="0.2">
      <c r="A32" s="329" t="s">
        <v>380</v>
      </c>
      <c r="B32" s="330">
        <v>1</v>
      </c>
      <c r="C32" s="331">
        <v>1</v>
      </c>
      <c r="D32" s="331">
        <v>2</v>
      </c>
      <c r="E32" s="331">
        <v>3</v>
      </c>
      <c r="F32" s="331">
        <v>1</v>
      </c>
      <c r="G32" s="331">
        <v>4</v>
      </c>
      <c r="H32" s="331">
        <v>2</v>
      </c>
      <c r="I32" s="331">
        <v>3</v>
      </c>
      <c r="J32" s="331">
        <v>0</v>
      </c>
      <c r="K32" s="331">
        <v>1</v>
      </c>
      <c r="L32" s="331">
        <v>0</v>
      </c>
      <c r="M32" s="331">
        <v>2</v>
      </c>
      <c r="N32" s="331">
        <v>3</v>
      </c>
      <c r="O32" s="331">
        <v>0</v>
      </c>
      <c r="P32" s="331">
        <v>1</v>
      </c>
      <c r="Q32" s="331">
        <v>0</v>
      </c>
      <c r="R32" s="332">
        <v>2</v>
      </c>
    </row>
    <row r="33" spans="1:18" ht="15.75" customHeight="1" x14ac:dyDescent="0.2">
      <c r="A33" s="329" t="s">
        <v>381</v>
      </c>
      <c r="B33" s="330">
        <v>1</v>
      </c>
      <c r="C33" s="331">
        <v>2</v>
      </c>
      <c r="D33" s="331">
        <v>3</v>
      </c>
      <c r="E33" s="331">
        <v>4</v>
      </c>
      <c r="F33" s="331">
        <v>3</v>
      </c>
      <c r="G33" s="331">
        <v>2</v>
      </c>
      <c r="H33" s="331">
        <v>3</v>
      </c>
      <c r="I33" s="331">
        <v>4</v>
      </c>
      <c r="J33" s="331">
        <v>0</v>
      </c>
      <c r="K33" s="331">
        <v>1</v>
      </c>
      <c r="L33" s="331">
        <v>0</v>
      </c>
      <c r="M33" s="331">
        <v>2</v>
      </c>
      <c r="N33" s="331">
        <v>3</v>
      </c>
      <c r="O33" s="331">
        <v>1</v>
      </c>
      <c r="P33" s="331">
        <v>3</v>
      </c>
      <c r="Q33" s="331">
        <v>2</v>
      </c>
      <c r="R33" s="332">
        <v>4</v>
      </c>
    </row>
    <row r="34" spans="1:18" ht="15.75" customHeight="1" x14ac:dyDescent="0.2">
      <c r="A34" s="329" t="s">
        <v>382</v>
      </c>
      <c r="B34" s="330">
        <v>1</v>
      </c>
      <c r="C34" s="331">
        <v>3</v>
      </c>
      <c r="D34" s="331">
        <v>4</v>
      </c>
      <c r="E34" s="331">
        <v>4</v>
      </c>
      <c r="F34" s="331">
        <v>2</v>
      </c>
      <c r="G34" s="331">
        <v>3</v>
      </c>
      <c r="H34" s="331">
        <v>1</v>
      </c>
      <c r="I34" s="331">
        <v>2</v>
      </c>
      <c r="J34" s="331">
        <v>0</v>
      </c>
      <c r="K34" s="331">
        <v>2</v>
      </c>
      <c r="L34" s="331">
        <v>1</v>
      </c>
      <c r="M34" s="331">
        <v>0</v>
      </c>
      <c r="N34" s="331">
        <v>3</v>
      </c>
      <c r="O34" s="331">
        <v>1</v>
      </c>
      <c r="P34" s="331">
        <v>2</v>
      </c>
      <c r="Q34" s="331">
        <v>3</v>
      </c>
      <c r="R34" s="332">
        <v>3</v>
      </c>
    </row>
    <row r="35" spans="1:18" ht="15.75" customHeight="1" x14ac:dyDescent="0.2">
      <c r="A35" s="329" t="s">
        <v>383</v>
      </c>
      <c r="B35" s="330">
        <v>1</v>
      </c>
      <c r="C35" s="331">
        <v>2</v>
      </c>
      <c r="D35" s="331">
        <v>3</v>
      </c>
      <c r="E35" s="331">
        <v>4</v>
      </c>
      <c r="F35" s="331">
        <v>2</v>
      </c>
      <c r="G35" s="331">
        <v>4</v>
      </c>
      <c r="H35" s="331">
        <v>1</v>
      </c>
      <c r="I35" s="331">
        <v>3</v>
      </c>
      <c r="J35" s="331">
        <v>1</v>
      </c>
      <c r="K35" s="331">
        <v>2</v>
      </c>
      <c r="L35" s="331">
        <v>2</v>
      </c>
      <c r="M35" s="331">
        <v>3</v>
      </c>
      <c r="N35" s="331">
        <v>4</v>
      </c>
      <c r="O35" s="331">
        <v>1</v>
      </c>
      <c r="P35" s="331">
        <v>2</v>
      </c>
      <c r="Q35" s="331">
        <v>3</v>
      </c>
      <c r="R35" s="332">
        <v>3</v>
      </c>
    </row>
    <row r="36" spans="1:18" ht="15.75" customHeight="1" x14ac:dyDescent="0.2">
      <c r="A36" s="329" t="s">
        <v>384</v>
      </c>
      <c r="B36" s="330">
        <v>1</v>
      </c>
      <c r="C36" s="331">
        <v>2</v>
      </c>
      <c r="D36" s="331">
        <v>3</v>
      </c>
      <c r="E36" s="331">
        <v>4</v>
      </c>
      <c r="F36" s="331">
        <v>2</v>
      </c>
      <c r="G36" s="331">
        <v>4</v>
      </c>
      <c r="H36" s="331">
        <v>1</v>
      </c>
      <c r="I36" s="331">
        <v>3</v>
      </c>
      <c r="J36" s="331">
        <v>0</v>
      </c>
      <c r="K36" s="331">
        <v>1</v>
      </c>
      <c r="L36" s="331">
        <v>0</v>
      </c>
      <c r="M36" s="331">
        <v>1</v>
      </c>
      <c r="N36" s="331">
        <v>4</v>
      </c>
      <c r="O36" s="331">
        <v>1</v>
      </c>
      <c r="P36" s="331">
        <v>2</v>
      </c>
      <c r="Q36" s="331">
        <v>0</v>
      </c>
      <c r="R36" s="332">
        <v>3</v>
      </c>
    </row>
    <row r="37" spans="1:18" ht="15.75" customHeight="1" x14ac:dyDescent="0.2">
      <c r="A37" s="329" t="s">
        <v>385</v>
      </c>
      <c r="B37" s="330">
        <v>1</v>
      </c>
      <c r="C37" s="331">
        <v>2</v>
      </c>
      <c r="D37" s="331">
        <v>3</v>
      </c>
      <c r="E37" s="331">
        <v>3</v>
      </c>
      <c r="F37" s="331">
        <v>1</v>
      </c>
      <c r="G37" s="331">
        <v>3</v>
      </c>
      <c r="H37" s="331">
        <v>2</v>
      </c>
      <c r="I37" s="331">
        <v>2</v>
      </c>
      <c r="J37" s="331">
        <v>1</v>
      </c>
      <c r="K37" s="331">
        <v>4</v>
      </c>
      <c r="L37" s="331">
        <v>2</v>
      </c>
      <c r="M37" s="331">
        <v>3</v>
      </c>
      <c r="N37" s="331">
        <v>1</v>
      </c>
      <c r="O37" s="331">
        <v>1</v>
      </c>
      <c r="P37" s="331">
        <v>1</v>
      </c>
      <c r="Q37" s="331">
        <v>3</v>
      </c>
      <c r="R37" s="332">
        <v>3</v>
      </c>
    </row>
    <row r="38" spans="1:18" ht="15.75" customHeight="1" x14ac:dyDescent="0.2">
      <c r="A38" s="329" t="s">
        <v>386</v>
      </c>
      <c r="B38" s="330">
        <v>1</v>
      </c>
      <c r="C38" s="331">
        <v>3</v>
      </c>
      <c r="D38" s="331">
        <v>4</v>
      </c>
      <c r="E38" s="331">
        <v>4</v>
      </c>
      <c r="F38" s="331">
        <v>3</v>
      </c>
      <c r="G38" s="331">
        <v>4</v>
      </c>
      <c r="H38" s="331">
        <v>2</v>
      </c>
      <c r="I38" s="331">
        <v>3</v>
      </c>
      <c r="J38" s="331">
        <v>1</v>
      </c>
      <c r="K38" s="331">
        <v>3</v>
      </c>
      <c r="L38" s="331">
        <v>0</v>
      </c>
      <c r="M38" s="331">
        <v>2</v>
      </c>
      <c r="N38" s="331">
        <v>2</v>
      </c>
      <c r="O38" s="331">
        <v>1</v>
      </c>
      <c r="P38" s="331">
        <v>3</v>
      </c>
      <c r="Q38" s="331">
        <v>2</v>
      </c>
      <c r="R38" s="332">
        <v>4</v>
      </c>
    </row>
    <row r="39" spans="1:18" ht="15.75" customHeight="1" x14ac:dyDescent="0.2">
      <c r="A39" s="329" t="s">
        <v>31</v>
      </c>
      <c r="B39" s="330">
        <v>1</v>
      </c>
      <c r="C39" s="331">
        <v>3</v>
      </c>
      <c r="D39" s="331">
        <v>4</v>
      </c>
      <c r="E39" s="331">
        <v>4</v>
      </c>
      <c r="F39" s="331">
        <v>3</v>
      </c>
      <c r="G39" s="331">
        <v>3</v>
      </c>
      <c r="H39" s="331">
        <v>2</v>
      </c>
      <c r="I39" s="331">
        <v>4</v>
      </c>
      <c r="J39" s="331">
        <v>2</v>
      </c>
      <c r="K39" s="331">
        <v>1</v>
      </c>
      <c r="L39" s="331">
        <v>4</v>
      </c>
      <c r="M39" s="331">
        <v>1</v>
      </c>
      <c r="N39" s="331">
        <v>1</v>
      </c>
      <c r="O39" s="331">
        <v>2</v>
      </c>
      <c r="P39" s="331">
        <v>3</v>
      </c>
      <c r="Q39" s="331">
        <v>4</v>
      </c>
      <c r="R39" s="332">
        <v>4</v>
      </c>
    </row>
    <row r="40" spans="1:18" ht="15.75" customHeight="1" x14ac:dyDescent="0.2">
      <c r="A40" s="329" t="s">
        <v>387</v>
      </c>
      <c r="B40" s="330">
        <v>1</v>
      </c>
      <c r="C40" s="331">
        <v>2</v>
      </c>
      <c r="D40" s="331">
        <v>3</v>
      </c>
      <c r="E40" s="331">
        <v>4</v>
      </c>
      <c r="F40" s="331">
        <v>2</v>
      </c>
      <c r="G40" s="331">
        <v>4</v>
      </c>
      <c r="H40" s="331">
        <v>1</v>
      </c>
      <c r="I40" s="331">
        <v>3</v>
      </c>
      <c r="J40" s="331">
        <v>0</v>
      </c>
      <c r="K40" s="331">
        <v>1</v>
      </c>
      <c r="L40" s="331">
        <v>0</v>
      </c>
      <c r="M40" s="331">
        <v>1</v>
      </c>
      <c r="N40" s="331">
        <v>4</v>
      </c>
      <c r="O40" s="331">
        <v>0</v>
      </c>
      <c r="P40" s="331">
        <v>2</v>
      </c>
      <c r="Q40" s="331">
        <v>3</v>
      </c>
      <c r="R40" s="332">
        <v>3</v>
      </c>
    </row>
    <row r="41" spans="1:18" ht="15.75" customHeight="1" x14ac:dyDescent="0.2">
      <c r="A41" s="329" t="s">
        <v>388</v>
      </c>
      <c r="B41" s="330">
        <v>1</v>
      </c>
      <c r="C41" s="331">
        <v>3</v>
      </c>
      <c r="D41" s="331">
        <v>4</v>
      </c>
      <c r="E41" s="331">
        <v>4</v>
      </c>
      <c r="F41" s="331">
        <v>2</v>
      </c>
      <c r="G41" s="331">
        <v>3</v>
      </c>
      <c r="H41" s="331">
        <v>1</v>
      </c>
      <c r="I41" s="331">
        <v>3</v>
      </c>
      <c r="J41" s="331">
        <v>0</v>
      </c>
      <c r="K41" s="331">
        <v>1</v>
      </c>
      <c r="L41" s="331">
        <v>0</v>
      </c>
      <c r="M41" s="331">
        <v>2</v>
      </c>
      <c r="N41" s="331">
        <v>4</v>
      </c>
      <c r="O41" s="331">
        <v>0</v>
      </c>
      <c r="P41" s="331">
        <v>2</v>
      </c>
      <c r="Q41" s="331">
        <v>3</v>
      </c>
      <c r="R41" s="332">
        <v>3</v>
      </c>
    </row>
    <row r="42" spans="1:18" ht="15.75" customHeight="1" x14ac:dyDescent="0.2">
      <c r="A42" s="329" t="s">
        <v>389</v>
      </c>
      <c r="B42" s="330">
        <v>1</v>
      </c>
      <c r="C42" s="331">
        <v>3</v>
      </c>
      <c r="D42" s="331">
        <v>4</v>
      </c>
      <c r="E42" s="331">
        <v>3</v>
      </c>
      <c r="F42" s="331">
        <v>2</v>
      </c>
      <c r="G42" s="331">
        <v>4</v>
      </c>
      <c r="H42" s="331">
        <v>1</v>
      </c>
      <c r="I42" s="331">
        <v>3</v>
      </c>
      <c r="J42" s="331">
        <v>2</v>
      </c>
      <c r="K42" s="331">
        <v>1</v>
      </c>
      <c r="L42" s="331">
        <v>1</v>
      </c>
      <c r="M42" s="331">
        <v>2</v>
      </c>
      <c r="N42" s="331">
        <v>1</v>
      </c>
      <c r="O42" s="331">
        <v>2</v>
      </c>
      <c r="P42" s="331">
        <v>3</v>
      </c>
      <c r="Q42" s="331">
        <v>1</v>
      </c>
      <c r="R42" s="332">
        <v>4</v>
      </c>
    </row>
    <row r="43" spans="1:18" ht="15.75" customHeight="1" x14ac:dyDescent="0.2">
      <c r="A43" s="329" t="s">
        <v>390</v>
      </c>
      <c r="B43" s="330">
        <v>1</v>
      </c>
      <c r="C43" s="331">
        <v>2</v>
      </c>
      <c r="D43" s="331">
        <v>3</v>
      </c>
      <c r="E43" s="331">
        <v>4</v>
      </c>
      <c r="F43" s="331">
        <v>2</v>
      </c>
      <c r="G43" s="331">
        <v>3</v>
      </c>
      <c r="H43" s="331">
        <v>3</v>
      </c>
      <c r="I43" s="331">
        <v>4</v>
      </c>
      <c r="J43" s="331">
        <v>1</v>
      </c>
      <c r="K43" s="331">
        <v>2</v>
      </c>
      <c r="L43" s="331">
        <v>0</v>
      </c>
      <c r="M43" s="331">
        <v>1</v>
      </c>
      <c r="N43" s="331">
        <v>2</v>
      </c>
      <c r="O43" s="331">
        <v>1</v>
      </c>
      <c r="P43" s="331">
        <v>2</v>
      </c>
      <c r="Q43" s="331">
        <v>0</v>
      </c>
      <c r="R43" s="332">
        <v>3</v>
      </c>
    </row>
    <row r="44" spans="1:18" ht="15.75" customHeight="1" x14ac:dyDescent="0.2">
      <c r="A44" s="329" t="s">
        <v>391</v>
      </c>
      <c r="B44" s="330">
        <v>1</v>
      </c>
      <c r="C44" s="331">
        <v>3</v>
      </c>
      <c r="D44" s="331">
        <v>4</v>
      </c>
      <c r="E44" s="331">
        <v>4</v>
      </c>
      <c r="F44" s="331">
        <v>3</v>
      </c>
      <c r="G44" s="331">
        <v>4</v>
      </c>
      <c r="H44" s="331">
        <v>2</v>
      </c>
      <c r="I44" s="331">
        <v>4</v>
      </c>
      <c r="J44" s="331">
        <v>1</v>
      </c>
      <c r="K44" s="331">
        <v>2</v>
      </c>
      <c r="L44" s="331">
        <v>2</v>
      </c>
      <c r="M44" s="331">
        <v>3</v>
      </c>
      <c r="N44" s="331">
        <v>4</v>
      </c>
      <c r="O44" s="331">
        <v>1</v>
      </c>
      <c r="P44" s="331">
        <v>3</v>
      </c>
      <c r="Q44" s="331">
        <v>1</v>
      </c>
      <c r="R44" s="332">
        <v>4</v>
      </c>
    </row>
    <row r="45" spans="1:18" ht="15.75" customHeight="1" x14ac:dyDescent="0.2">
      <c r="A45" s="329" t="s">
        <v>392</v>
      </c>
      <c r="B45" s="330">
        <v>4</v>
      </c>
      <c r="C45" s="331">
        <v>11</v>
      </c>
      <c r="D45" s="331">
        <v>15</v>
      </c>
      <c r="E45" s="331">
        <v>16</v>
      </c>
      <c r="F45" s="331">
        <v>7</v>
      </c>
      <c r="G45" s="331">
        <v>16</v>
      </c>
      <c r="H45" s="331">
        <v>9</v>
      </c>
      <c r="I45" s="331">
        <v>10</v>
      </c>
      <c r="J45" s="331">
        <v>2</v>
      </c>
      <c r="K45" s="331">
        <v>16</v>
      </c>
      <c r="L45" s="331">
        <v>4</v>
      </c>
      <c r="M45" s="331">
        <v>8</v>
      </c>
      <c r="N45" s="331">
        <v>11</v>
      </c>
      <c r="O45" s="331">
        <v>4</v>
      </c>
      <c r="P45" s="331">
        <v>8</v>
      </c>
      <c r="Q45" s="331">
        <v>4</v>
      </c>
      <c r="R45" s="332">
        <v>11</v>
      </c>
    </row>
    <row r="46" spans="1:18" ht="15.75" customHeight="1" x14ac:dyDescent="0.2">
      <c r="A46" s="329" t="s">
        <v>393</v>
      </c>
      <c r="B46" s="330">
        <v>1</v>
      </c>
      <c r="C46" s="331">
        <v>3</v>
      </c>
      <c r="D46" s="331">
        <v>4</v>
      </c>
      <c r="E46" s="331">
        <v>4</v>
      </c>
      <c r="F46" s="331">
        <v>3</v>
      </c>
      <c r="G46" s="331">
        <v>4</v>
      </c>
      <c r="H46" s="331">
        <v>2</v>
      </c>
      <c r="I46" s="331">
        <v>3</v>
      </c>
      <c r="J46" s="331">
        <v>1</v>
      </c>
      <c r="K46" s="331">
        <v>4</v>
      </c>
      <c r="L46" s="331">
        <v>2</v>
      </c>
      <c r="M46" s="331">
        <v>3</v>
      </c>
      <c r="N46" s="331">
        <v>2</v>
      </c>
      <c r="O46" s="331">
        <v>2</v>
      </c>
      <c r="P46" s="331">
        <v>3</v>
      </c>
      <c r="Q46" s="331">
        <v>2</v>
      </c>
      <c r="R46" s="332">
        <v>4</v>
      </c>
    </row>
    <row r="47" spans="1:18" ht="15.75" customHeight="1" x14ac:dyDescent="0.2">
      <c r="A47" s="329" t="s">
        <v>394</v>
      </c>
      <c r="B47" s="330">
        <v>1</v>
      </c>
      <c r="C47" s="331">
        <v>2</v>
      </c>
      <c r="D47" s="331">
        <v>3</v>
      </c>
      <c r="E47" s="331">
        <v>4</v>
      </c>
      <c r="F47" s="331">
        <v>2</v>
      </c>
      <c r="G47" s="331">
        <v>3</v>
      </c>
      <c r="H47" s="331">
        <v>4</v>
      </c>
      <c r="I47" s="331">
        <v>4</v>
      </c>
      <c r="J47" s="331">
        <v>1</v>
      </c>
      <c r="K47" s="331">
        <v>2</v>
      </c>
      <c r="L47" s="331">
        <v>1</v>
      </c>
      <c r="M47" s="331">
        <v>0</v>
      </c>
      <c r="N47" s="331">
        <v>3</v>
      </c>
      <c r="O47" s="331">
        <v>1</v>
      </c>
      <c r="P47" s="331">
        <v>2</v>
      </c>
      <c r="Q47" s="331">
        <v>1</v>
      </c>
      <c r="R47" s="332">
        <v>3</v>
      </c>
    </row>
    <row r="48" spans="1:18" ht="15.75" customHeight="1" x14ac:dyDescent="0.2">
      <c r="A48" s="329" t="s">
        <v>395</v>
      </c>
      <c r="B48" s="330">
        <v>1</v>
      </c>
      <c r="C48" s="331">
        <v>2</v>
      </c>
      <c r="D48" s="331">
        <v>3</v>
      </c>
      <c r="E48" s="331">
        <v>4</v>
      </c>
      <c r="F48" s="331">
        <v>2</v>
      </c>
      <c r="G48" s="331">
        <v>3</v>
      </c>
      <c r="H48" s="331">
        <v>1</v>
      </c>
      <c r="I48" s="331">
        <v>4</v>
      </c>
      <c r="J48" s="331">
        <v>0</v>
      </c>
      <c r="K48" s="331">
        <v>1</v>
      </c>
      <c r="L48" s="331">
        <v>2</v>
      </c>
      <c r="M48" s="331">
        <v>1</v>
      </c>
      <c r="N48" s="331">
        <v>3</v>
      </c>
      <c r="O48" s="331">
        <v>1</v>
      </c>
      <c r="P48" s="331">
        <v>3</v>
      </c>
      <c r="Q48" s="331">
        <v>0</v>
      </c>
      <c r="R48" s="332">
        <v>4</v>
      </c>
    </row>
    <row r="49" spans="1:18" ht="15.75" customHeight="1" x14ac:dyDescent="0.2">
      <c r="A49" s="329" t="s">
        <v>396</v>
      </c>
      <c r="B49" s="330">
        <v>2</v>
      </c>
      <c r="C49" s="331">
        <v>4</v>
      </c>
      <c r="D49" s="331">
        <v>6</v>
      </c>
      <c r="E49" s="331">
        <v>8</v>
      </c>
      <c r="F49" s="331">
        <v>3</v>
      </c>
      <c r="G49" s="331">
        <v>8</v>
      </c>
      <c r="H49" s="331">
        <v>5</v>
      </c>
      <c r="I49" s="331">
        <v>5</v>
      </c>
      <c r="J49" s="331">
        <v>1</v>
      </c>
      <c r="K49" s="331">
        <v>1</v>
      </c>
      <c r="L49" s="331">
        <v>1</v>
      </c>
      <c r="M49" s="331">
        <v>4</v>
      </c>
      <c r="N49" s="331">
        <v>4</v>
      </c>
      <c r="O49" s="331">
        <v>1</v>
      </c>
      <c r="P49" s="331">
        <v>4</v>
      </c>
      <c r="Q49" s="331">
        <v>3</v>
      </c>
      <c r="R49" s="332">
        <v>6</v>
      </c>
    </row>
    <row r="50" spans="1:18" ht="15.75" customHeight="1" x14ac:dyDescent="0.2">
      <c r="A50" s="329" t="s">
        <v>28</v>
      </c>
      <c r="B50" s="330">
        <v>1</v>
      </c>
      <c r="C50" s="331">
        <v>2</v>
      </c>
      <c r="D50" s="331">
        <v>3</v>
      </c>
      <c r="E50" s="331">
        <v>4</v>
      </c>
      <c r="F50" s="331">
        <v>2</v>
      </c>
      <c r="G50" s="331">
        <v>4</v>
      </c>
      <c r="H50" s="331">
        <v>1</v>
      </c>
      <c r="I50" s="331">
        <v>2</v>
      </c>
      <c r="J50" s="331">
        <v>4</v>
      </c>
      <c r="K50" s="331">
        <v>3</v>
      </c>
      <c r="L50" s="331">
        <v>1</v>
      </c>
      <c r="M50" s="331">
        <v>4</v>
      </c>
      <c r="N50" s="331">
        <v>1</v>
      </c>
      <c r="O50" s="331">
        <v>2</v>
      </c>
      <c r="P50" s="331">
        <v>2</v>
      </c>
      <c r="Q50" s="331">
        <v>1</v>
      </c>
      <c r="R50" s="332">
        <v>3</v>
      </c>
    </row>
    <row r="51" spans="1:18" ht="15.75" customHeight="1" x14ac:dyDescent="0.2">
      <c r="A51" s="329" t="s">
        <v>397</v>
      </c>
      <c r="B51" s="330">
        <v>1</v>
      </c>
      <c r="C51" s="331">
        <v>2</v>
      </c>
      <c r="D51" s="331">
        <v>3</v>
      </c>
      <c r="E51" s="331">
        <v>4</v>
      </c>
      <c r="F51" s="331">
        <v>3</v>
      </c>
      <c r="G51" s="331">
        <v>2</v>
      </c>
      <c r="H51" s="331">
        <v>1</v>
      </c>
      <c r="I51" s="331">
        <v>3</v>
      </c>
      <c r="J51" s="331">
        <v>0</v>
      </c>
      <c r="K51" s="331">
        <v>1</v>
      </c>
      <c r="L51" s="331">
        <v>0</v>
      </c>
      <c r="M51" s="331">
        <v>4</v>
      </c>
      <c r="N51" s="331">
        <v>4</v>
      </c>
      <c r="O51" s="331">
        <v>1</v>
      </c>
      <c r="P51" s="331">
        <v>3</v>
      </c>
      <c r="Q51" s="331">
        <v>2</v>
      </c>
      <c r="R51" s="332">
        <v>3</v>
      </c>
    </row>
    <row r="52" spans="1:18" ht="15.75" customHeight="1" x14ac:dyDescent="0.2">
      <c r="A52" s="329" t="s">
        <v>398</v>
      </c>
      <c r="B52" s="330">
        <v>1</v>
      </c>
      <c r="C52" s="331">
        <v>2</v>
      </c>
      <c r="D52" s="331">
        <v>3</v>
      </c>
      <c r="E52" s="331">
        <v>3</v>
      </c>
      <c r="F52" s="331">
        <v>2</v>
      </c>
      <c r="G52" s="331">
        <v>3</v>
      </c>
      <c r="H52" s="331">
        <v>4</v>
      </c>
      <c r="I52" s="331">
        <v>3</v>
      </c>
      <c r="J52" s="331">
        <v>1</v>
      </c>
      <c r="K52" s="331">
        <v>4</v>
      </c>
      <c r="L52" s="331">
        <v>0</v>
      </c>
      <c r="M52" s="331">
        <v>1</v>
      </c>
      <c r="N52" s="331">
        <v>1</v>
      </c>
      <c r="O52" s="331">
        <v>2</v>
      </c>
      <c r="P52" s="331">
        <v>2</v>
      </c>
      <c r="Q52" s="331">
        <v>0</v>
      </c>
      <c r="R52" s="332">
        <v>3</v>
      </c>
    </row>
    <row r="53" spans="1:18" ht="15.75" customHeight="1" x14ac:dyDescent="0.2">
      <c r="A53" s="329" t="s">
        <v>399</v>
      </c>
      <c r="B53" s="330">
        <v>3</v>
      </c>
      <c r="C53" s="331">
        <v>7</v>
      </c>
      <c r="D53" s="331">
        <v>10</v>
      </c>
      <c r="E53" s="331">
        <v>11</v>
      </c>
      <c r="F53" s="331">
        <v>5</v>
      </c>
      <c r="G53" s="331">
        <v>10</v>
      </c>
      <c r="H53" s="331">
        <v>7</v>
      </c>
      <c r="I53" s="331">
        <v>11</v>
      </c>
      <c r="J53" s="331">
        <v>1</v>
      </c>
      <c r="K53" s="331">
        <v>4</v>
      </c>
      <c r="L53" s="331">
        <v>8</v>
      </c>
      <c r="M53" s="331">
        <v>4</v>
      </c>
      <c r="N53" s="331">
        <v>9</v>
      </c>
      <c r="O53" s="331">
        <v>3</v>
      </c>
      <c r="P53" s="331">
        <v>6</v>
      </c>
      <c r="Q53" s="331">
        <v>8</v>
      </c>
      <c r="R53" s="332">
        <v>9</v>
      </c>
    </row>
    <row r="54" spans="1:18" ht="15.75" customHeight="1" x14ac:dyDescent="0.2">
      <c r="A54" s="329" t="s">
        <v>400</v>
      </c>
      <c r="B54" s="330">
        <v>1</v>
      </c>
      <c r="C54" s="331">
        <v>3</v>
      </c>
      <c r="D54" s="331">
        <v>4</v>
      </c>
      <c r="E54" s="331">
        <v>4</v>
      </c>
      <c r="F54" s="331">
        <v>3</v>
      </c>
      <c r="G54" s="331">
        <v>4</v>
      </c>
      <c r="H54" s="331">
        <v>2</v>
      </c>
      <c r="I54" s="331">
        <v>4</v>
      </c>
      <c r="J54" s="331">
        <v>0</v>
      </c>
      <c r="K54" s="331">
        <v>4</v>
      </c>
      <c r="L54" s="331">
        <v>1</v>
      </c>
      <c r="M54" s="331">
        <v>2</v>
      </c>
      <c r="N54" s="331">
        <v>3</v>
      </c>
      <c r="O54" s="331">
        <v>1</v>
      </c>
      <c r="P54" s="331">
        <v>3</v>
      </c>
      <c r="Q54" s="331">
        <v>4</v>
      </c>
      <c r="R54" s="332">
        <v>4</v>
      </c>
    </row>
    <row r="55" spans="1:18" ht="15.75" customHeight="1" x14ac:dyDescent="0.2">
      <c r="A55" s="329" t="s">
        <v>401</v>
      </c>
      <c r="B55" s="330">
        <v>1</v>
      </c>
      <c r="C55" s="331">
        <v>2</v>
      </c>
      <c r="D55" s="331">
        <v>3</v>
      </c>
      <c r="E55" s="331">
        <v>4</v>
      </c>
      <c r="F55" s="331">
        <v>1</v>
      </c>
      <c r="G55" s="331">
        <v>3</v>
      </c>
      <c r="H55" s="331">
        <v>4</v>
      </c>
      <c r="I55" s="331">
        <v>4</v>
      </c>
      <c r="J55" s="331">
        <v>0</v>
      </c>
      <c r="K55" s="331">
        <v>0</v>
      </c>
      <c r="L55" s="331">
        <v>0</v>
      </c>
      <c r="M55" s="331">
        <v>0</v>
      </c>
      <c r="N55" s="331">
        <v>4</v>
      </c>
      <c r="O55" s="331">
        <v>0</v>
      </c>
      <c r="P55" s="331">
        <v>2</v>
      </c>
      <c r="Q55" s="331">
        <v>1</v>
      </c>
      <c r="R55" s="332">
        <v>3</v>
      </c>
    </row>
    <row r="56" spans="1:18" ht="15.75" customHeight="1" x14ac:dyDescent="0.2">
      <c r="A56" s="329" t="s">
        <v>402</v>
      </c>
      <c r="B56" s="330">
        <v>3</v>
      </c>
      <c r="C56" s="331">
        <v>5</v>
      </c>
      <c r="D56" s="331">
        <v>9</v>
      </c>
      <c r="E56" s="331">
        <v>10</v>
      </c>
      <c r="F56" s="331">
        <v>3</v>
      </c>
      <c r="G56" s="331">
        <v>10</v>
      </c>
      <c r="H56" s="331">
        <v>8</v>
      </c>
      <c r="I56" s="331">
        <v>9</v>
      </c>
      <c r="J56" s="331">
        <v>2</v>
      </c>
      <c r="K56" s="331">
        <v>2</v>
      </c>
      <c r="L56" s="331">
        <v>6</v>
      </c>
      <c r="M56" s="331">
        <v>0</v>
      </c>
      <c r="N56" s="331">
        <v>8</v>
      </c>
      <c r="O56" s="331">
        <v>3</v>
      </c>
      <c r="P56" s="331">
        <v>6</v>
      </c>
      <c r="Q56" s="331">
        <v>11</v>
      </c>
      <c r="R56" s="332">
        <v>8</v>
      </c>
    </row>
    <row r="57" spans="1:18" ht="15.75" customHeight="1" x14ac:dyDescent="0.2">
      <c r="A57" s="329" t="s">
        <v>403</v>
      </c>
      <c r="B57" s="330">
        <v>1</v>
      </c>
      <c r="C57" s="331">
        <v>2</v>
      </c>
      <c r="D57" s="331">
        <v>3</v>
      </c>
      <c r="E57" s="331">
        <v>4</v>
      </c>
      <c r="F57" s="331">
        <v>1</v>
      </c>
      <c r="G57" s="331">
        <v>3</v>
      </c>
      <c r="H57" s="331">
        <v>2</v>
      </c>
      <c r="I57" s="331">
        <v>3</v>
      </c>
      <c r="J57" s="331">
        <v>2</v>
      </c>
      <c r="K57" s="331">
        <v>1</v>
      </c>
      <c r="L57" s="331">
        <v>4</v>
      </c>
      <c r="M57" s="331">
        <v>1</v>
      </c>
      <c r="N57" s="331">
        <v>1</v>
      </c>
      <c r="O57" s="331">
        <v>2</v>
      </c>
      <c r="P57" s="331">
        <v>2</v>
      </c>
      <c r="Q57" s="331">
        <v>4</v>
      </c>
      <c r="R57" s="332">
        <v>3</v>
      </c>
    </row>
    <row r="58" spans="1:18" ht="15.75" customHeight="1" x14ac:dyDescent="0.2">
      <c r="A58" s="329" t="s">
        <v>404</v>
      </c>
      <c r="B58" s="330">
        <v>1</v>
      </c>
      <c r="C58" s="331">
        <v>3</v>
      </c>
      <c r="D58" s="331">
        <v>4</v>
      </c>
      <c r="E58" s="331">
        <v>4</v>
      </c>
      <c r="F58" s="331">
        <v>3</v>
      </c>
      <c r="G58" s="331">
        <v>3</v>
      </c>
      <c r="H58" s="331">
        <v>2</v>
      </c>
      <c r="I58" s="331">
        <v>3</v>
      </c>
      <c r="J58" s="331">
        <v>2</v>
      </c>
      <c r="K58" s="331">
        <v>3</v>
      </c>
      <c r="L58" s="331">
        <v>4</v>
      </c>
      <c r="M58" s="331">
        <v>1</v>
      </c>
      <c r="N58" s="331">
        <v>1</v>
      </c>
      <c r="O58" s="331">
        <v>2</v>
      </c>
      <c r="P58" s="331">
        <v>3</v>
      </c>
      <c r="Q58" s="331">
        <v>3</v>
      </c>
      <c r="R58" s="332">
        <v>4</v>
      </c>
    </row>
    <row r="59" spans="1:18" ht="15.75" customHeight="1" x14ac:dyDescent="0.2">
      <c r="A59" s="329" t="s">
        <v>10</v>
      </c>
      <c r="B59" s="330">
        <v>2</v>
      </c>
      <c r="C59" s="331">
        <v>4</v>
      </c>
      <c r="D59" s="331">
        <v>6</v>
      </c>
      <c r="E59" s="331">
        <v>7</v>
      </c>
      <c r="F59" s="331">
        <v>5</v>
      </c>
      <c r="G59" s="331">
        <v>6</v>
      </c>
      <c r="H59" s="331">
        <v>5</v>
      </c>
      <c r="I59" s="331">
        <v>6</v>
      </c>
      <c r="J59" s="331">
        <v>0</v>
      </c>
      <c r="K59" s="331">
        <v>0</v>
      </c>
      <c r="L59" s="331">
        <v>1</v>
      </c>
      <c r="M59" s="331">
        <v>2</v>
      </c>
      <c r="N59" s="331">
        <v>6</v>
      </c>
      <c r="O59" s="331">
        <v>2</v>
      </c>
      <c r="P59" s="331">
        <v>5</v>
      </c>
      <c r="Q59" s="331">
        <v>2</v>
      </c>
      <c r="R59" s="332">
        <v>6</v>
      </c>
    </row>
    <row r="60" spans="1:18" ht="15.75" customHeight="1" x14ac:dyDescent="0.2">
      <c r="A60" s="329" t="s">
        <v>405</v>
      </c>
      <c r="B60" s="330">
        <v>1</v>
      </c>
      <c r="C60" s="331">
        <v>2</v>
      </c>
      <c r="D60" s="331">
        <v>3</v>
      </c>
      <c r="E60" s="331">
        <v>4</v>
      </c>
      <c r="F60" s="331">
        <v>3</v>
      </c>
      <c r="G60" s="331">
        <v>4</v>
      </c>
      <c r="H60" s="331">
        <v>2</v>
      </c>
      <c r="I60" s="331">
        <v>3</v>
      </c>
      <c r="J60" s="331">
        <v>1</v>
      </c>
      <c r="K60" s="331">
        <v>1</v>
      </c>
      <c r="L60" s="331">
        <v>2</v>
      </c>
      <c r="M60" s="331">
        <v>1</v>
      </c>
      <c r="N60" s="331">
        <v>2</v>
      </c>
      <c r="O60" s="331">
        <v>1</v>
      </c>
      <c r="P60" s="331">
        <v>3</v>
      </c>
      <c r="Q60" s="331">
        <v>4</v>
      </c>
      <c r="R60" s="332">
        <v>3</v>
      </c>
    </row>
    <row r="61" spans="1:18" ht="15.75" customHeight="1" x14ac:dyDescent="0.2">
      <c r="A61" s="329" t="s">
        <v>406</v>
      </c>
      <c r="B61" s="330">
        <v>2</v>
      </c>
      <c r="C61" s="331">
        <v>4</v>
      </c>
      <c r="D61" s="331">
        <v>6</v>
      </c>
      <c r="E61" s="331">
        <v>8</v>
      </c>
      <c r="F61" s="331">
        <v>3</v>
      </c>
      <c r="G61" s="331">
        <v>8</v>
      </c>
      <c r="H61" s="331">
        <v>5</v>
      </c>
      <c r="I61" s="331">
        <v>7</v>
      </c>
      <c r="J61" s="331">
        <v>2</v>
      </c>
      <c r="K61" s="331">
        <v>5</v>
      </c>
      <c r="L61" s="331">
        <v>2</v>
      </c>
      <c r="M61" s="331">
        <v>3</v>
      </c>
      <c r="N61" s="331">
        <v>5</v>
      </c>
      <c r="O61" s="331">
        <v>2</v>
      </c>
      <c r="P61" s="331">
        <v>4</v>
      </c>
      <c r="Q61" s="331">
        <v>7</v>
      </c>
      <c r="R61" s="332">
        <v>7</v>
      </c>
    </row>
    <row r="62" spans="1:18" ht="15.75" customHeight="1" x14ac:dyDescent="0.2">
      <c r="A62" s="329" t="s">
        <v>407</v>
      </c>
      <c r="B62" s="330">
        <v>1</v>
      </c>
      <c r="C62" s="331">
        <v>2</v>
      </c>
      <c r="D62" s="331">
        <v>3</v>
      </c>
      <c r="E62" s="331">
        <v>3</v>
      </c>
      <c r="F62" s="331">
        <v>1</v>
      </c>
      <c r="G62" s="331">
        <v>4</v>
      </c>
      <c r="H62" s="331">
        <v>2</v>
      </c>
      <c r="I62" s="331">
        <v>3</v>
      </c>
      <c r="J62" s="331">
        <v>0</v>
      </c>
      <c r="K62" s="331">
        <v>1</v>
      </c>
      <c r="L62" s="331">
        <v>2</v>
      </c>
      <c r="M62" s="331">
        <v>4</v>
      </c>
      <c r="N62" s="331">
        <v>3</v>
      </c>
      <c r="O62" s="331">
        <v>1</v>
      </c>
      <c r="P62" s="331">
        <v>2</v>
      </c>
      <c r="Q62" s="331">
        <v>2</v>
      </c>
      <c r="R62" s="332">
        <v>3</v>
      </c>
    </row>
    <row r="63" spans="1:18" ht="15.75" customHeight="1" x14ac:dyDescent="0.2">
      <c r="A63" s="329" t="s">
        <v>408</v>
      </c>
      <c r="B63" s="330">
        <v>2</v>
      </c>
      <c r="C63" s="331">
        <v>5</v>
      </c>
      <c r="D63" s="331">
        <v>7</v>
      </c>
      <c r="E63" s="331">
        <v>7</v>
      </c>
      <c r="F63" s="331">
        <v>4</v>
      </c>
      <c r="G63" s="331">
        <v>7</v>
      </c>
      <c r="H63" s="331">
        <v>2</v>
      </c>
      <c r="I63" s="331">
        <v>6</v>
      </c>
      <c r="J63" s="331">
        <v>1</v>
      </c>
      <c r="K63" s="331">
        <v>4</v>
      </c>
      <c r="L63" s="331">
        <v>6</v>
      </c>
      <c r="M63" s="331">
        <v>6</v>
      </c>
      <c r="N63" s="331">
        <v>7</v>
      </c>
      <c r="O63" s="331">
        <v>2</v>
      </c>
      <c r="P63" s="331">
        <v>5</v>
      </c>
      <c r="Q63" s="331">
        <v>3</v>
      </c>
      <c r="R63" s="332">
        <v>5</v>
      </c>
    </row>
    <row r="64" spans="1:18" ht="15.75" customHeight="1" x14ac:dyDescent="0.2">
      <c r="A64" s="329" t="s">
        <v>409</v>
      </c>
      <c r="B64" s="330">
        <v>1</v>
      </c>
      <c r="C64" s="331">
        <v>2</v>
      </c>
      <c r="D64" s="331">
        <v>3</v>
      </c>
      <c r="E64" s="331">
        <v>4</v>
      </c>
      <c r="F64" s="331">
        <v>3</v>
      </c>
      <c r="G64" s="331">
        <v>4</v>
      </c>
      <c r="H64" s="331">
        <v>2</v>
      </c>
      <c r="I64" s="331">
        <v>4</v>
      </c>
      <c r="J64" s="331">
        <v>0</v>
      </c>
      <c r="K64" s="331">
        <v>1</v>
      </c>
      <c r="L64" s="331">
        <v>2</v>
      </c>
      <c r="M64" s="331">
        <v>0</v>
      </c>
      <c r="N64" s="331">
        <v>4</v>
      </c>
      <c r="O64" s="331">
        <v>1</v>
      </c>
      <c r="P64" s="331">
        <v>2</v>
      </c>
      <c r="Q64" s="331">
        <v>2</v>
      </c>
      <c r="R64" s="332">
        <v>3</v>
      </c>
    </row>
    <row r="65" spans="1:18" ht="15.75" customHeight="1" x14ac:dyDescent="0.2">
      <c r="A65" s="329" t="s">
        <v>39</v>
      </c>
      <c r="B65" s="330">
        <v>1</v>
      </c>
      <c r="C65" s="331">
        <v>3</v>
      </c>
      <c r="D65" s="331">
        <v>4</v>
      </c>
      <c r="E65" s="331">
        <v>4</v>
      </c>
      <c r="F65" s="331">
        <v>2</v>
      </c>
      <c r="G65" s="331">
        <v>3</v>
      </c>
      <c r="H65" s="331">
        <v>1</v>
      </c>
      <c r="I65" s="331">
        <v>3</v>
      </c>
      <c r="J65" s="331">
        <v>2</v>
      </c>
      <c r="K65" s="331">
        <v>1</v>
      </c>
      <c r="L65" s="331">
        <v>4</v>
      </c>
      <c r="M65" s="331">
        <v>1</v>
      </c>
      <c r="N65" s="331">
        <v>2</v>
      </c>
      <c r="O65" s="331">
        <v>2</v>
      </c>
      <c r="P65" s="331">
        <v>3</v>
      </c>
      <c r="Q65" s="331">
        <v>4</v>
      </c>
      <c r="R65" s="332">
        <v>4</v>
      </c>
    </row>
    <row r="66" spans="1:18" ht="15.75" customHeight="1" x14ac:dyDescent="0.2">
      <c r="A66" s="329" t="s">
        <v>410</v>
      </c>
      <c r="B66" s="330">
        <v>1</v>
      </c>
      <c r="C66" s="331">
        <v>2</v>
      </c>
      <c r="D66" s="331">
        <v>3</v>
      </c>
      <c r="E66" s="331">
        <v>3</v>
      </c>
      <c r="F66" s="331">
        <v>1</v>
      </c>
      <c r="G66" s="331">
        <v>4</v>
      </c>
      <c r="H66" s="331">
        <v>2</v>
      </c>
      <c r="I66" s="331">
        <v>3</v>
      </c>
      <c r="J66" s="331">
        <v>0</v>
      </c>
      <c r="K66" s="331">
        <v>1</v>
      </c>
      <c r="L66" s="331">
        <v>2</v>
      </c>
      <c r="M66" s="331">
        <v>0</v>
      </c>
      <c r="N66" s="331">
        <v>3</v>
      </c>
      <c r="O66" s="331">
        <v>0</v>
      </c>
      <c r="P66" s="331">
        <v>1</v>
      </c>
      <c r="Q66" s="331">
        <v>0</v>
      </c>
      <c r="R66" s="332">
        <v>2</v>
      </c>
    </row>
    <row r="67" spans="1:18" ht="15.75" customHeight="1" x14ac:dyDescent="0.2">
      <c r="A67" s="329" t="s">
        <v>12</v>
      </c>
      <c r="B67" s="330">
        <v>1</v>
      </c>
      <c r="C67" s="331">
        <v>3</v>
      </c>
      <c r="D67" s="331">
        <v>4</v>
      </c>
      <c r="E67" s="331">
        <v>4</v>
      </c>
      <c r="F67" s="331">
        <v>2</v>
      </c>
      <c r="G67" s="331">
        <v>3</v>
      </c>
      <c r="H67" s="331">
        <v>1</v>
      </c>
      <c r="I67" s="331">
        <v>2</v>
      </c>
      <c r="J67" s="331">
        <v>0</v>
      </c>
      <c r="K67" s="331">
        <v>1</v>
      </c>
      <c r="L67" s="331">
        <v>0</v>
      </c>
      <c r="M67" s="331">
        <v>4</v>
      </c>
      <c r="N67" s="331">
        <v>3</v>
      </c>
      <c r="O67" s="331">
        <v>1</v>
      </c>
      <c r="P67" s="331">
        <v>2</v>
      </c>
      <c r="Q67" s="331">
        <v>1</v>
      </c>
      <c r="R67" s="332">
        <v>2</v>
      </c>
    </row>
    <row r="68" spans="1:18" ht="15.75" customHeight="1" x14ac:dyDescent="0.2">
      <c r="A68" s="329" t="s">
        <v>411</v>
      </c>
      <c r="B68" s="330">
        <v>4</v>
      </c>
      <c r="C68" s="331">
        <v>11</v>
      </c>
      <c r="D68" s="331">
        <v>15</v>
      </c>
      <c r="E68" s="331">
        <v>16</v>
      </c>
      <c r="F68" s="331">
        <v>10</v>
      </c>
      <c r="G68" s="331">
        <v>15</v>
      </c>
      <c r="H68" s="331">
        <v>10</v>
      </c>
      <c r="I68" s="331">
        <v>12</v>
      </c>
      <c r="J68" s="331">
        <v>4</v>
      </c>
      <c r="K68" s="331">
        <v>8</v>
      </c>
      <c r="L68" s="331">
        <v>8</v>
      </c>
      <c r="M68" s="331">
        <v>4</v>
      </c>
      <c r="N68" s="331">
        <v>8</v>
      </c>
      <c r="O68" s="331">
        <v>5</v>
      </c>
      <c r="P68" s="331">
        <v>10</v>
      </c>
      <c r="Q68" s="331">
        <v>6</v>
      </c>
      <c r="R68" s="332">
        <v>15</v>
      </c>
    </row>
    <row r="69" spans="1:18" ht="15.75" customHeight="1" x14ac:dyDescent="0.2">
      <c r="A69" s="329" t="s">
        <v>412</v>
      </c>
      <c r="B69" s="330">
        <v>1</v>
      </c>
      <c r="C69" s="331">
        <v>1</v>
      </c>
      <c r="D69" s="331">
        <v>2</v>
      </c>
      <c r="E69" s="331">
        <v>3</v>
      </c>
      <c r="F69" s="331">
        <v>1</v>
      </c>
      <c r="G69" s="331">
        <v>4</v>
      </c>
      <c r="H69" s="331">
        <v>2</v>
      </c>
      <c r="I69" s="331">
        <v>3</v>
      </c>
      <c r="J69" s="331">
        <v>1</v>
      </c>
      <c r="K69" s="331">
        <v>2</v>
      </c>
      <c r="L69" s="331">
        <v>3</v>
      </c>
      <c r="M69" s="331">
        <v>2</v>
      </c>
      <c r="N69" s="331">
        <v>3</v>
      </c>
      <c r="O69" s="331">
        <v>1</v>
      </c>
      <c r="P69" s="331">
        <v>2</v>
      </c>
      <c r="Q69" s="331">
        <v>4</v>
      </c>
      <c r="R69" s="332">
        <v>3</v>
      </c>
    </row>
    <row r="70" spans="1:18" ht="15.75" customHeight="1" x14ac:dyDescent="0.2">
      <c r="A70" s="329" t="s">
        <v>413</v>
      </c>
      <c r="B70" s="330">
        <v>1</v>
      </c>
      <c r="C70" s="331">
        <v>3</v>
      </c>
      <c r="D70" s="331">
        <v>2</v>
      </c>
      <c r="E70" s="331">
        <v>3</v>
      </c>
      <c r="F70" s="331">
        <v>2</v>
      </c>
      <c r="G70" s="331">
        <v>3</v>
      </c>
      <c r="H70" s="331">
        <v>3</v>
      </c>
      <c r="I70" s="331">
        <v>2</v>
      </c>
      <c r="J70" s="331">
        <v>0</v>
      </c>
      <c r="K70" s="331">
        <v>1</v>
      </c>
      <c r="L70" s="331">
        <v>0</v>
      </c>
      <c r="M70" s="331">
        <v>0</v>
      </c>
      <c r="N70" s="331">
        <v>1</v>
      </c>
      <c r="O70" s="331">
        <v>1</v>
      </c>
      <c r="P70" s="331">
        <v>2</v>
      </c>
      <c r="Q70" s="331">
        <v>1</v>
      </c>
      <c r="R70" s="332">
        <v>3</v>
      </c>
    </row>
    <row r="71" spans="1:18" ht="15.75" customHeight="1" x14ac:dyDescent="0.2">
      <c r="A71" s="329" t="s">
        <v>414</v>
      </c>
      <c r="B71" s="330">
        <v>3</v>
      </c>
      <c r="C71" s="331">
        <v>8</v>
      </c>
      <c r="D71" s="331">
        <v>11</v>
      </c>
      <c r="E71" s="331">
        <v>11</v>
      </c>
      <c r="F71" s="331">
        <v>6</v>
      </c>
      <c r="G71" s="331">
        <v>10</v>
      </c>
      <c r="H71" s="331">
        <v>7</v>
      </c>
      <c r="I71" s="331">
        <v>9</v>
      </c>
      <c r="J71" s="331">
        <v>1</v>
      </c>
      <c r="K71" s="331">
        <v>8</v>
      </c>
      <c r="L71" s="331">
        <v>4</v>
      </c>
      <c r="M71" s="331">
        <v>2</v>
      </c>
      <c r="N71" s="331">
        <v>10</v>
      </c>
      <c r="O71" s="331">
        <v>3</v>
      </c>
      <c r="P71" s="331">
        <v>7</v>
      </c>
      <c r="Q71" s="331">
        <v>2</v>
      </c>
      <c r="R71" s="332">
        <v>9</v>
      </c>
    </row>
    <row r="72" spans="1:18" ht="15.75" customHeight="1" x14ac:dyDescent="0.2">
      <c r="A72" s="329" t="s">
        <v>415</v>
      </c>
      <c r="B72" s="330">
        <v>1</v>
      </c>
      <c r="C72" s="331">
        <v>2</v>
      </c>
      <c r="D72" s="331">
        <v>3</v>
      </c>
      <c r="E72" s="331">
        <v>4</v>
      </c>
      <c r="F72" s="331">
        <v>1</v>
      </c>
      <c r="G72" s="331">
        <v>4</v>
      </c>
      <c r="H72" s="331">
        <v>2</v>
      </c>
      <c r="I72" s="331">
        <v>3</v>
      </c>
      <c r="J72" s="331">
        <v>0</v>
      </c>
      <c r="K72" s="331">
        <v>1</v>
      </c>
      <c r="L72" s="331">
        <v>2</v>
      </c>
      <c r="M72" s="331">
        <v>1</v>
      </c>
      <c r="N72" s="331">
        <v>4</v>
      </c>
      <c r="O72" s="331">
        <v>1</v>
      </c>
      <c r="P72" s="331">
        <v>2</v>
      </c>
      <c r="Q72" s="331">
        <v>4</v>
      </c>
      <c r="R72" s="332">
        <v>3</v>
      </c>
    </row>
    <row r="73" spans="1:18" ht="15.75" customHeight="1" x14ac:dyDescent="0.2">
      <c r="A73" s="329" t="s">
        <v>416</v>
      </c>
      <c r="B73" s="330">
        <v>4</v>
      </c>
      <c r="C73" s="331">
        <v>11</v>
      </c>
      <c r="D73" s="331">
        <v>15</v>
      </c>
      <c r="E73" s="331">
        <v>16</v>
      </c>
      <c r="F73" s="331">
        <v>10</v>
      </c>
      <c r="G73" s="331">
        <v>12</v>
      </c>
      <c r="H73" s="331">
        <v>8</v>
      </c>
      <c r="I73" s="331">
        <v>12</v>
      </c>
      <c r="J73" s="331">
        <v>0</v>
      </c>
      <c r="K73" s="331">
        <v>5</v>
      </c>
      <c r="L73" s="331">
        <v>0</v>
      </c>
      <c r="M73" s="331">
        <v>8</v>
      </c>
      <c r="N73" s="331">
        <v>10</v>
      </c>
      <c r="O73" s="331">
        <v>4</v>
      </c>
      <c r="P73" s="331">
        <v>8</v>
      </c>
      <c r="Q73" s="331">
        <v>0</v>
      </c>
      <c r="R73" s="332">
        <v>12</v>
      </c>
    </row>
    <row r="74" spans="1:18" ht="15.75" customHeight="1" x14ac:dyDescent="0.2">
      <c r="A74" s="329" t="s">
        <v>417</v>
      </c>
      <c r="B74" s="330">
        <v>1</v>
      </c>
      <c r="C74" s="331">
        <v>3</v>
      </c>
      <c r="D74" s="331">
        <v>4</v>
      </c>
      <c r="E74" s="331">
        <v>4</v>
      </c>
      <c r="F74" s="331">
        <v>2</v>
      </c>
      <c r="G74" s="331">
        <v>3</v>
      </c>
      <c r="H74" s="331">
        <v>1</v>
      </c>
      <c r="I74" s="331">
        <v>4</v>
      </c>
      <c r="J74" s="331">
        <v>0</v>
      </c>
      <c r="K74" s="331">
        <v>2</v>
      </c>
      <c r="L74" s="331">
        <v>3</v>
      </c>
      <c r="M74" s="331">
        <v>0</v>
      </c>
      <c r="N74" s="331">
        <v>4</v>
      </c>
      <c r="O74" s="331">
        <v>1</v>
      </c>
      <c r="P74" s="331">
        <v>2</v>
      </c>
      <c r="Q74" s="331">
        <v>3</v>
      </c>
      <c r="R74" s="332">
        <v>3</v>
      </c>
    </row>
    <row r="75" spans="1:18" ht="15.75" customHeight="1" x14ac:dyDescent="0.2">
      <c r="A75" s="329" t="s">
        <v>418</v>
      </c>
      <c r="B75" s="330">
        <v>4</v>
      </c>
      <c r="C75" s="331">
        <v>11</v>
      </c>
      <c r="D75" s="331">
        <v>15</v>
      </c>
      <c r="E75" s="331">
        <v>16</v>
      </c>
      <c r="F75" s="331">
        <v>9</v>
      </c>
      <c r="G75" s="331">
        <v>11</v>
      </c>
      <c r="H75" s="331">
        <v>6</v>
      </c>
      <c r="I75" s="331">
        <v>13</v>
      </c>
      <c r="J75" s="331">
        <v>0</v>
      </c>
      <c r="K75" s="331">
        <v>11</v>
      </c>
      <c r="L75" s="331">
        <v>0</v>
      </c>
      <c r="M75" s="331">
        <v>2</v>
      </c>
      <c r="N75" s="331">
        <v>11</v>
      </c>
      <c r="O75" s="331">
        <v>4</v>
      </c>
      <c r="P75" s="331">
        <v>10</v>
      </c>
      <c r="Q75" s="331">
        <v>0</v>
      </c>
      <c r="R75" s="332">
        <v>13</v>
      </c>
    </row>
    <row r="76" spans="1:18" ht="15.75" customHeight="1" x14ac:dyDescent="0.2">
      <c r="A76" s="329" t="s">
        <v>33</v>
      </c>
      <c r="B76" s="330">
        <v>1</v>
      </c>
      <c r="C76" s="331">
        <v>2</v>
      </c>
      <c r="D76" s="331">
        <v>3</v>
      </c>
      <c r="E76" s="331">
        <v>4</v>
      </c>
      <c r="F76" s="331">
        <v>2</v>
      </c>
      <c r="G76" s="331">
        <v>3</v>
      </c>
      <c r="H76" s="331">
        <v>1</v>
      </c>
      <c r="I76" s="331">
        <v>3</v>
      </c>
      <c r="J76" s="331">
        <v>2</v>
      </c>
      <c r="K76" s="331">
        <v>1</v>
      </c>
      <c r="L76" s="331">
        <v>4</v>
      </c>
      <c r="M76" s="331">
        <v>0</v>
      </c>
      <c r="N76" s="331">
        <v>1</v>
      </c>
      <c r="O76" s="331">
        <v>2</v>
      </c>
      <c r="P76" s="331">
        <v>3</v>
      </c>
      <c r="Q76" s="331">
        <v>4</v>
      </c>
      <c r="R76" s="332">
        <v>3</v>
      </c>
    </row>
    <row r="77" spans="1:18" ht="15.75" customHeight="1" x14ac:dyDescent="0.2">
      <c r="A77" s="329" t="s">
        <v>18</v>
      </c>
      <c r="B77" s="330">
        <v>1</v>
      </c>
      <c r="C77" s="331">
        <v>2</v>
      </c>
      <c r="D77" s="331">
        <v>3</v>
      </c>
      <c r="E77" s="331">
        <v>3</v>
      </c>
      <c r="F77" s="331">
        <v>2</v>
      </c>
      <c r="G77" s="331">
        <v>4</v>
      </c>
      <c r="H77" s="331">
        <v>2</v>
      </c>
      <c r="I77" s="331">
        <v>3</v>
      </c>
      <c r="J77" s="331">
        <v>1</v>
      </c>
      <c r="K77" s="331">
        <v>2</v>
      </c>
      <c r="L77" s="331">
        <v>1</v>
      </c>
      <c r="M77" s="331">
        <v>3</v>
      </c>
      <c r="N77" s="331">
        <v>4</v>
      </c>
      <c r="O77" s="331">
        <v>2</v>
      </c>
      <c r="P77" s="331">
        <v>3</v>
      </c>
      <c r="Q77" s="331">
        <v>4</v>
      </c>
      <c r="R77" s="332">
        <v>4</v>
      </c>
    </row>
    <row r="78" spans="1:18" ht="15.75" customHeight="1" x14ac:dyDescent="0.2">
      <c r="A78" s="329" t="s">
        <v>419</v>
      </c>
      <c r="B78" s="330">
        <v>1</v>
      </c>
      <c r="C78" s="331">
        <v>2</v>
      </c>
      <c r="D78" s="331">
        <v>3</v>
      </c>
      <c r="E78" s="331">
        <v>3</v>
      </c>
      <c r="F78" s="331">
        <v>1</v>
      </c>
      <c r="G78" s="331">
        <v>3</v>
      </c>
      <c r="H78" s="331">
        <v>2</v>
      </c>
      <c r="I78" s="331">
        <v>3</v>
      </c>
      <c r="J78" s="331">
        <v>3</v>
      </c>
      <c r="K78" s="331">
        <v>1</v>
      </c>
      <c r="L78" s="331">
        <v>2</v>
      </c>
      <c r="M78" s="331">
        <v>4</v>
      </c>
      <c r="N78" s="331">
        <v>0</v>
      </c>
      <c r="O78" s="331">
        <v>1</v>
      </c>
      <c r="P78" s="331">
        <v>1</v>
      </c>
      <c r="Q78" s="331">
        <v>3</v>
      </c>
      <c r="R78" s="332">
        <v>2</v>
      </c>
    </row>
    <row r="79" spans="1:18" ht="15.75" customHeight="1" x14ac:dyDescent="0.2">
      <c r="A79" s="329" t="s">
        <v>42</v>
      </c>
      <c r="B79" s="330">
        <v>5</v>
      </c>
      <c r="C79" s="331">
        <v>10</v>
      </c>
      <c r="D79" s="331">
        <v>15</v>
      </c>
      <c r="E79" s="331">
        <v>19</v>
      </c>
      <c r="F79" s="331">
        <v>7</v>
      </c>
      <c r="G79" s="331">
        <v>17</v>
      </c>
      <c r="H79" s="331">
        <v>9</v>
      </c>
      <c r="I79" s="331">
        <v>16</v>
      </c>
      <c r="J79" s="331">
        <v>2</v>
      </c>
      <c r="K79" s="331">
        <v>11</v>
      </c>
      <c r="L79" s="331">
        <v>10</v>
      </c>
      <c r="M79" s="331">
        <v>7</v>
      </c>
      <c r="N79" s="331">
        <v>16</v>
      </c>
      <c r="O79" s="331">
        <v>2</v>
      </c>
      <c r="P79" s="331">
        <v>9</v>
      </c>
      <c r="Q79" s="331">
        <v>14</v>
      </c>
      <c r="R79" s="332">
        <v>14</v>
      </c>
    </row>
    <row r="80" spans="1:18" ht="15.75" customHeight="1" x14ac:dyDescent="0.2">
      <c r="A80" s="329" t="s">
        <v>420</v>
      </c>
      <c r="B80" s="330">
        <v>1</v>
      </c>
      <c r="C80" s="331">
        <v>1</v>
      </c>
      <c r="D80" s="331">
        <v>2</v>
      </c>
      <c r="E80" s="331">
        <v>3</v>
      </c>
      <c r="F80" s="331">
        <v>1</v>
      </c>
      <c r="G80" s="331">
        <v>4</v>
      </c>
      <c r="H80" s="331">
        <v>2</v>
      </c>
      <c r="I80" s="331">
        <v>3</v>
      </c>
      <c r="J80" s="331">
        <v>0</v>
      </c>
      <c r="K80" s="331">
        <v>1</v>
      </c>
      <c r="L80" s="331">
        <v>0</v>
      </c>
      <c r="M80" s="331">
        <v>2</v>
      </c>
      <c r="N80" s="331">
        <v>4</v>
      </c>
      <c r="O80" s="331">
        <v>0</v>
      </c>
      <c r="P80" s="331">
        <v>1</v>
      </c>
      <c r="Q80" s="331">
        <v>0</v>
      </c>
      <c r="R80" s="332">
        <v>2</v>
      </c>
    </row>
    <row r="81" spans="1:18" ht="15.75" customHeight="1" x14ac:dyDescent="0.2">
      <c r="A81" s="329" t="s">
        <v>421</v>
      </c>
      <c r="B81" s="330">
        <v>1</v>
      </c>
      <c r="C81" s="331">
        <v>3</v>
      </c>
      <c r="D81" s="331">
        <v>4</v>
      </c>
      <c r="E81" s="331">
        <v>4</v>
      </c>
      <c r="F81" s="331">
        <v>3</v>
      </c>
      <c r="G81" s="331">
        <v>4</v>
      </c>
      <c r="H81" s="331">
        <v>2</v>
      </c>
      <c r="I81" s="331">
        <v>3</v>
      </c>
      <c r="J81" s="331">
        <v>1</v>
      </c>
      <c r="K81" s="331">
        <v>3</v>
      </c>
      <c r="L81" s="331">
        <v>2</v>
      </c>
      <c r="M81" s="331">
        <v>0</v>
      </c>
      <c r="N81" s="331">
        <v>4</v>
      </c>
      <c r="O81" s="331">
        <v>1</v>
      </c>
      <c r="P81" s="331">
        <v>3</v>
      </c>
      <c r="Q81" s="331">
        <v>2</v>
      </c>
      <c r="R81" s="332">
        <v>4</v>
      </c>
    </row>
    <row r="82" spans="1:18" ht="15.75" customHeight="1" x14ac:dyDescent="0.2">
      <c r="A82" s="329" t="s">
        <v>422</v>
      </c>
      <c r="B82" s="330">
        <v>1</v>
      </c>
      <c r="C82" s="331">
        <v>3</v>
      </c>
      <c r="D82" s="331">
        <v>4</v>
      </c>
      <c r="E82" s="331">
        <v>4</v>
      </c>
      <c r="F82" s="331">
        <v>3</v>
      </c>
      <c r="G82" s="331">
        <v>4</v>
      </c>
      <c r="H82" s="331">
        <v>2</v>
      </c>
      <c r="I82" s="331">
        <v>3</v>
      </c>
      <c r="J82" s="331">
        <v>1</v>
      </c>
      <c r="K82" s="331">
        <v>2</v>
      </c>
      <c r="L82" s="331">
        <v>0</v>
      </c>
      <c r="M82" s="331">
        <v>3</v>
      </c>
      <c r="N82" s="331">
        <v>3</v>
      </c>
      <c r="O82" s="331">
        <v>1</v>
      </c>
      <c r="P82" s="331">
        <v>3</v>
      </c>
      <c r="Q82" s="331">
        <v>0</v>
      </c>
      <c r="R82" s="332">
        <v>4</v>
      </c>
    </row>
    <row r="83" spans="1:18" ht="15.75" customHeight="1" x14ac:dyDescent="0.2">
      <c r="A83" s="329" t="s">
        <v>423</v>
      </c>
      <c r="B83" s="330">
        <v>1</v>
      </c>
      <c r="C83" s="331">
        <v>2</v>
      </c>
      <c r="D83" s="331">
        <v>1</v>
      </c>
      <c r="E83" s="331">
        <v>3</v>
      </c>
      <c r="F83" s="331">
        <v>1</v>
      </c>
      <c r="G83" s="331">
        <v>4</v>
      </c>
      <c r="H83" s="331">
        <v>1</v>
      </c>
      <c r="I83" s="331">
        <v>3</v>
      </c>
      <c r="J83" s="331">
        <v>1</v>
      </c>
      <c r="K83" s="331">
        <v>0</v>
      </c>
      <c r="L83" s="331">
        <v>0</v>
      </c>
      <c r="M83" s="331">
        <v>4</v>
      </c>
      <c r="N83" s="331">
        <v>2</v>
      </c>
      <c r="O83" s="331">
        <v>0</v>
      </c>
      <c r="P83" s="331">
        <v>1</v>
      </c>
      <c r="Q83" s="331">
        <v>0</v>
      </c>
      <c r="R83" s="332">
        <v>2</v>
      </c>
    </row>
    <row r="84" spans="1:18" ht="15.75" customHeight="1" x14ac:dyDescent="0.2">
      <c r="A84" s="329" t="s">
        <v>424</v>
      </c>
      <c r="B84" s="330">
        <v>1</v>
      </c>
      <c r="C84" s="331">
        <v>2</v>
      </c>
      <c r="D84" s="331">
        <v>3</v>
      </c>
      <c r="E84" s="331">
        <v>4</v>
      </c>
      <c r="F84" s="331">
        <v>3</v>
      </c>
      <c r="G84" s="331">
        <v>4</v>
      </c>
      <c r="H84" s="331">
        <v>2</v>
      </c>
      <c r="I84" s="331">
        <v>3</v>
      </c>
      <c r="J84" s="331">
        <v>1</v>
      </c>
      <c r="K84" s="331">
        <v>0</v>
      </c>
      <c r="L84" s="331">
        <v>1</v>
      </c>
      <c r="M84" s="331">
        <v>2</v>
      </c>
      <c r="N84" s="331">
        <v>1</v>
      </c>
      <c r="O84" s="331">
        <v>2</v>
      </c>
      <c r="P84" s="331">
        <v>3</v>
      </c>
      <c r="Q84" s="331">
        <v>4</v>
      </c>
      <c r="R84" s="332">
        <v>4</v>
      </c>
    </row>
    <row r="85" spans="1:18" ht="15.75" customHeight="1" x14ac:dyDescent="0.2">
      <c r="A85" s="329" t="s">
        <v>425</v>
      </c>
      <c r="B85" s="330">
        <v>3</v>
      </c>
      <c r="C85" s="331">
        <v>6</v>
      </c>
      <c r="D85" s="331">
        <v>9</v>
      </c>
      <c r="E85" s="331">
        <v>12</v>
      </c>
      <c r="F85" s="331">
        <v>3</v>
      </c>
      <c r="G85" s="331">
        <v>11</v>
      </c>
      <c r="H85" s="331">
        <v>8</v>
      </c>
      <c r="I85" s="331">
        <v>9</v>
      </c>
      <c r="J85" s="331">
        <v>0</v>
      </c>
      <c r="K85" s="331">
        <v>5</v>
      </c>
      <c r="L85" s="331">
        <v>4</v>
      </c>
      <c r="M85" s="331">
        <v>3</v>
      </c>
      <c r="N85" s="331">
        <v>11</v>
      </c>
      <c r="O85" s="331">
        <v>1</v>
      </c>
      <c r="P85" s="331">
        <v>4</v>
      </c>
      <c r="Q85" s="331">
        <v>8</v>
      </c>
      <c r="R85" s="332">
        <v>9</v>
      </c>
    </row>
    <row r="86" spans="1:18" ht="15.75" customHeight="1" x14ac:dyDescent="0.2">
      <c r="A86" s="329" t="s">
        <v>426</v>
      </c>
      <c r="B86" s="330">
        <v>1</v>
      </c>
      <c r="C86" s="331">
        <v>2</v>
      </c>
      <c r="D86" s="331">
        <v>3</v>
      </c>
      <c r="E86" s="331">
        <v>4</v>
      </c>
      <c r="F86" s="331">
        <v>1</v>
      </c>
      <c r="G86" s="331">
        <v>3</v>
      </c>
      <c r="H86" s="331">
        <v>2</v>
      </c>
      <c r="I86" s="331">
        <v>3</v>
      </c>
      <c r="J86" s="331">
        <v>0</v>
      </c>
      <c r="K86" s="331">
        <v>4</v>
      </c>
      <c r="L86" s="331">
        <v>0</v>
      </c>
      <c r="M86" s="331">
        <v>1</v>
      </c>
      <c r="N86" s="331">
        <v>2</v>
      </c>
      <c r="O86" s="331">
        <v>1</v>
      </c>
      <c r="P86" s="331">
        <v>2</v>
      </c>
      <c r="Q86" s="331">
        <v>0</v>
      </c>
      <c r="R86" s="332">
        <v>3</v>
      </c>
    </row>
    <row r="87" spans="1:18" ht="15.75" customHeight="1" x14ac:dyDescent="0.2">
      <c r="A87" s="329" t="s">
        <v>427</v>
      </c>
      <c r="B87" s="330">
        <v>1</v>
      </c>
      <c r="C87" s="331">
        <v>3</v>
      </c>
      <c r="D87" s="331">
        <v>4</v>
      </c>
      <c r="E87" s="331">
        <v>4</v>
      </c>
      <c r="F87" s="331">
        <v>3</v>
      </c>
      <c r="G87" s="331">
        <v>2</v>
      </c>
      <c r="H87" s="331">
        <v>4</v>
      </c>
      <c r="I87" s="331">
        <v>3</v>
      </c>
      <c r="J87" s="331">
        <v>0</v>
      </c>
      <c r="K87" s="331">
        <v>4</v>
      </c>
      <c r="L87" s="331">
        <v>0</v>
      </c>
      <c r="M87" s="331">
        <v>2</v>
      </c>
      <c r="N87" s="331">
        <v>3</v>
      </c>
      <c r="O87" s="331">
        <v>1</v>
      </c>
      <c r="P87" s="331">
        <v>3</v>
      </c>
      <c r="Q87" s="331">
        <v>4</v>
      </c>
      <c r="R87" s="332">
        <v>3</v>
      </c>
    </row>
    <row r="88" spans="1:18" ht="15.75" customHeight="1" x14ac:dyDescent="0.2">
      <c r="A88" s="329" t="s">
        <v>428</v>
      </c>
      <c r="B88" s="330">
        <v>1</v>
      </c>
      <c r="C88" s="331">
        <v>3</v>
      </c>
      <c r="D88" s="331">
        <v>4</v>
      </c>
      <c r="E88" s="331">
        <v>4</v>
      </c>
      <c r="F88" s="331">
        <v>2</v>
      </c>
      <c r="G88" s="331">
        <v>3</v>
      </c>
      <c r="H88" s="331">
        <v>4</v>
      </c>
      <c r="I88" s="331">
        <v>3</v>
      </c>
      <c r="J88" s="331">
        <v>0</v>
      </c>
      <c r="K88" s="331">
        <v>3</v>
      </c>
      <c r="L88" s="331">
        <v>2</v>
      </c>
      <c r="M88" s="331">
        <v>0</v>
      </c>
      <c r="N88" s="331">
        <v>3</v>
      </c>
      <c r="O88" s="331">
        <v>1</v>
      </c>
      <c r="P88" s="331">
        <v>2</v>
      </c>
      <c r="Q88" s="331">
        <v>3</v>
      </c>
      <c r="R88" s="332">
        <v>3</v>
      </c>
    </row>
    <row r="89" spans="1:18" ht="15.75" customHeight="1" x14ac:dyDescent="0.2">
      <c r="A89" s="329" t="s">
        <v>429</v>
      </c>
      <c r="B89" s="330">
        <v>2</v>
      </c>
      <c r="C89" s="331">
        <v>4</v>
      </c>
      <c r="D89" s="331">
        <v>6</v>
      </c>
      <c r="E89" s="331">
        <v>8</v>
      </c>
      <c r="F89" s="331">
        <v>3</v>
      </c>
      <c r="G89" s="331">
        <v>8</v>
      </c>
      <c r="H89" s="331">
        <v>3</v>
      </c>
      <c r="I89" s="331">
        <v>6</v>
      </c>
      <c r="J89" s="331">
        <v>1</v>
      </c>
      <c r="K89" s="331">
        <v>3</v>
      </c>
      <c r="L89" s="331">
        <v>4</v>
      </c>
      <c r="M89" s="331">
        <v>5</v>
      </c>
      <c r="N89" s="331">
        <v>5</v>
      </c>
      <c r="O89" s="331">
        <v>2</v>
      </c>
      <c r="P89" s="331">
        <v>4</v>
      </c>
      <c r="Q89" s="331">
        <v>1</v>
      </c>
      <c r="R89" s="332">
        <v>6</v>
      </c>
    </row>
    <row r="90" spans="1:18" ht="15.75" customHeight="1" x14ac:dyDescent="0.2">
      <c r="A90" s="329" t="s">
        <v>430</v>
      </c>
      <c r="B90" s="330">
        <v>2</v>
      </c>
      <c r="C90" s="331">
        <v>5</v>
      </c>
      <c r="D90" s="331">
        <v>8</v>
      </c>
      <c r="E90" s="331">
        <v>8</v>
      </c>
      <c r="F90" s="331">
        <v>3</v>
      </c>
      <c r="G90" s="331">
        <v>6</v>
      </c>
      <c r="H90" s="331">
        <v>3</v>
      </c>
      <c r="I90" s="331">
        <v>7</v>
      </c>
      <c r="J90" s="331">
        <v>0</v>
      </c>
      <c r="K90" s="331">
        <v>8</v>
      </c>
      <c r="L90" s="331">
        <v>0</v>
      </c>
      <c r="M90" s="331">
        <v>4</v>
      </c>
      <c r="N90" s="331">
        <v>8</v>
      </c>
      <c r="O90" s="331">
        <v>2</v>
      </c>
      <c r="P90" s="331">
        <v>4</v>
      </c>
      <c r="Q90" s="331">
        <v>3</v>
      </c>
      <c r="R90" s="332">
        <v>6</v>
      </c>
    </row>
    <row r="91" spans="1:18" ht="15.75" customHeight="1" x14ac:dyDescent="0.2">
      <c r="A91" s="329" t="s">
        <v>431</v>
      </c>
      <c r="B91" s="330">
        <v>1</v>
      </c>
      <c r="C91" s="331">
        <v>2</v>
      </c>
      <c r="D91" s="331">
        <v>3</v>
      </c>
      <c r="E91" s="331">
        <v>4</v>
      </c>
      <c r="F91" s="331">
        <v>2</v>
      </c>
      <c r="G91" s="331">
        <v>3</v>
      </c>
      <c r="H91" s="331">
        <v>4</v>
      </c>
      <c r="I91" s="331">
        <v>3</v>
      </c>
      <c r="J91" s="331">
        <v>1</v>
      </c>
      <c r="K91" s="331">
        <v>2</v>
      </c>
      <c r="L91" s="331">
        <v>3</v>
      </c>
      <c r="M91" s="331">
        <v>1</v>
      </c>
      <c r="N91" s="331">
        <v>2</v>
      </c>
      <c r="O91" s="331">
        <v>1</v>
      </c>
      <c r="P91" s="331">
        <v>2</v>
      </c>
      <c r="Q91" s="331">
        <v>1</v>
      </c>
      <c r="R91" s="332">
        <v>3</v>
      </c>
    </row>
    <row r="92" spans="1:18" ht="15.75" customHeight="1" x14ac:dyDescent="0.2">
      <c r="A92" s="329" t="s">
        <v>432</v>
      </c>
      <c r="B92" s="330">
        <v>2</v>
      </c>
      <c r="C92" s="331">
        <v>5</v>
      </c>
      <c r="D92" s="331">
        <v>7</v>
      </c>
      <c r="E92" s="331">
        <v>8</v>
      </c>
      <c r="F92" s="331">
        <v>4</v>
      </c>
      <c r="G92" s="331">
        <v>7</v>
      </c>
      <c r="H92" s="331">
        <v>2</v>
      </c>
      <c r="I92" s="331">
        <v>7</v>
      </c>
      <c r="J92" s="331">
        <v>0</v>
      </c>
      <c r="K92" s="331">
        <v>3</v>
      </c>
      <c r="L92" s="331">
        <v>3</v>
      </c>
      <c r="M92" s="331">
        <v>5</v>
      </c>
      <c r="N92" s="331">
        <v>7</v>
      </c>
      <c r="O92" s="331">
        <v>0</v>
      </c>
      <c r="P92" s="331">
        <v>4</v>
      </c>
      <c r="Q92" s="331">
        <v>5</v>
      </c>
      <c r="R92" s="332">
        <v>6</v>
      </c>
    </row>
    <row r="93" spans="1:18" ht="15.75" customHeight="1" x14ac:dyDescent="0.2">
      <c r="A93" s="329" t="s">
        <v>25</v>
      </c>
      <c r="B93" s="330">
        <v>2</v>
      </c>
      <c r="C93" s="331">
        <v>6</v>
      </c>
      <c r="D93" s="331">
        <v>8</v>
      </c>
      <c r="E93" s="331">
        <v>8</v>
      </c>
      <c r="F93" s="331">
        <v>6</v>
      </c>
      <c r="G93" s="331">
        <v>6</v>
      </c>
      <c r="H93" s="331">
        <v>6</v>
      </c>
      <c r="I93" s="331">
        <v>7</v>
      </c>
      <c r="J93" s="331">
        <v>4</v>
      </c>
      <c r="K93" s="331">
        <v>3</v>
      </c>
      <c r="L93" s="331">
        <v>0</v>
      </c>
      <c r="M93" s="331">
        <v>3</v>
      </c>
      <c r="N93" s="331">
        <v>0</v>
      </c>
      <c r="O93" s="331">
        <v>3</v>
      </c>
      <c r="P93" s="331">
        <v>6</v>
      </c>
      <c r="Q93" s="331">
        <v>1</v>
      </c>
      <c r="R93" s="332">
        <v>8</v>
      </c>
    </row>
    <row r="94" spans="1:18" ht="15.75" customHeight="1" x14ac:dyDescent="0.2">
      <c r="A94" s="329" t="s">
        <v>433</v>
      </c>
      <c r="B94" s="330">
        <v>1</v>
      </c>
      <c r="C94" s="331">
        <v>2</v>
      </c>
      <c r="D94" s="331">
        <v>3</v>
      </c>
      <c r="E94" s="331">
        <v>4</v>
      </c>
      <c r="F94" s="331">
        <v>1</v>
      </c>
      <c r="G94" s="331">
        <v>4</v>
      </c>
      <c r="H94" s="331">
        <v>3</v>
      </c>
      <c r="I94" s="331">
        <v>4</v>
      </c>
      <c r="J94" s="331">
        <v>0</v>
      </c>
      <c r="K94" s="331">
        <v>1</v>
      </c>
      <c r="L94" s="331">
        <v>3</v>
      </c>
      <c r="M94" s="331">
        <v>1</v>
      </c>
      <c r="N94" s="331">
        <v>4</v>
      </c>
      <c r="O94" s="331">
        <v>0</v>
      </c>
      <c r="P94" s="331">
        <v>2</v>
      </c>
      <c r="Q94" s="331">
        <v>3</v>
      </c>
      <c r="R94" s="332">
        <v>3</v>
      </c>
    </row>
    <row r="95" spans="1:18" ht="15.75" customHeight="1" x14ac:dyDescent="0.2">
      <c r="A95" s="329" t="s">
        <v>434</v>
      </c>
      <c r="B95" s="330">
        <v>1</v>
      </c>
      <c r="C95" s="331">
        <v>3</v>
      </c>
      <c r="D95" s="331">
        <v>4</v>
      </c>
      <c r="E95" s="331">
        <v>4</v>
      </c>
      <c r="F95" s="331">
        <v>3</v>
      </c>
      <c r="G95" s="331">
        <v>2</v>
      </c>
      <c r="H95" s="331">
        <v>3</v>
      </c>
      <c r="I95" s="331">
        <v>4</v>
      </c>
      <c r="J95" s="331">
        <v>0</v>
      </c>
      <c r="K95" s="331">
        <v>1</v>
      </c>
      <c r="L95" s="331">
        <v>1</v>
      </c>
      <c r="M95" s="331">
        <v>0</v>
      </c>
      <c r="N95" s="331">
        <v>3</v>
      </c>
      <c r="O95" s="331">
        <v>2</v>
      </c>
      <c r="P95" s="331">
        <v>3</v>
      </c>
      <c r="Q95" s="331">
        <v>2</v>
      </c>
      <c r="R95" s="332">
        <v>4</v>
      </c>
    </row>
    <row r="96" spans="1:18" ht="15.75" customHeight="1" x14ac:dyDescent="0.2">
      <c r="A96" s="329" t="s">
        <v>435</v>
      </c>
      <c r="B96" s="330">
        <v>2</v>
      </c>
      <c r="C96" s="331">
        <v>6</v>
      </c>
      <c r="D96" s="331">
        <v>8</v>
      </c>
      <c r="E96" s="331">
        <v>8</v>
      </c>
      <c r="F96" s="331">
        <v>5</v>
      </c>
      <c r="G96" s="331">
        <v>7</v>
      </c>
      <c r="H96" s="331">
        <v>5</v>
      </c>
      <c r="I96" s="331">
        <v>5</v>
      </c>
      <c r="J96" s="331">
        <v>2</v>
      </c>
      <c r="K96" s="331">
        <v>5</v>
      </c>
      <c r="L96" s="331">
        <v>0</v>
      </c>
      <c r="M96" s="331">
        <v>4</v>
      </c>
      <c r="N96" s="331">
        <v>3</v>
      </c>
      <c r="O96" s="331">
        <v>3</v>
      </c>
      <c r="P96" s="331">
        <v>5</v>
      </c>
      <c r="Q96" s="331">
        <v>2</v>
      </c>
      <c r="R96" s="332">
        <v>7</v>
      </c>
    </row>
    <row r="97" spans="1:18" ht="15.75" customHeight="1" x14ac:dyDescent="0.2">
      <c r="A97" s="329" t="s">
        <v>436</v>
      </c>
      <c r="B97" s="330">
        <v>1</v>
      </c>
      <c r="C97" s="331">
        <v>2</v>
      </c>
      <c r="D97" s="331">
        <v>3</v>
      </c>
      <c r="E97" s="331">
        <v>4</v>
      </c>
      <c r="F97" s="331">
        <v>2</v>
      </c>
      <c r="G97" s="331">
        <v>3</v>
      </c>
      <c r="H97" s="331">
        <v>1</v>
      </c>
      <c r="I97" s="331">
        <v>4</v>
      </c>
      <c r="J97" s="331">
        <v>0</v>
      </c>
      <c r="K97" s="331">
        <v>1</v>
      </c>
      <c r="L97" s="331">
        <v>2</v>
      </c>
      <c r="M97" s="331">
        <v>1</v>
      </c>
      <c r="N97" s="331">
        <v>4</v>
      </c>
      <c r="O97" s="331">
        <v>0</v>
      </c>
      <c r="P97" s="331">
        <v>2</v>
      </c>
      <c r="Q97" s="331">
        <v>1</v>
      </c>
      <c r="R97" s="332">
        <v>3</v>
      </c>
    </row>
    <row r="98" spans="1:18" ht="15.75" customHeight="1" x14ac:dyDescent="0.2">
      <c r="A98" s="329" t="s">
        <v>437</v>
      </c>
      <c r="B98" s="330">
        <v>1</v>
      </c>
      <c r="C98" s="331">
        <v>2</v>
      </c>
      <c r="D98" s="331">
        <v>3</v>
      </c>
      <c r="E98" s="331">
        <v>4</v>
      </c>
      <c r="F98" s="331">
        <v>2</v>
      </c>
      <c r="G98" s="331">
        <v>3</v>
      </c>
      <c r="H98" s="331">
        <v>4</v>
      </c>
      <c r="I98" s="331">
        <v>4</v>
      </c>
      <c r="J98" s="331">
        <v>2</v>
      </c>
      <c r="K98" s="331">
        <v>0</v>
      </c>
      <c r="L98" s="331">
        <v>2</v>
      </c>
      <c r="M98" s="331">
        <v>1</v>
      </c>
      <c r="N98" s="331">
        <v>2</v>
      </c>
      <c r="O98" s="331">
        <v>1</v>
      </c>
      <c r="P98" s="331">
        <v>2</v>
      </c>
      <c r="Q98" s="331">
        <v>1</v>
      </c>
      <c r="R98" s="332">
        <v>3</v>
      </c>
    </row>
    <row r="99" spans="1:18" ht="15.75" customHeight="1" x14ac:dyDescent="0.2">
      <c r="A99" s="329" t="s">
        <v>438</v>
      </c>
      <c r="B99" s="330">
        <v>1</v>
      </c>
      <c r="C99" s="331">
        <v>2</v>
      </c>
      <c r="D99" s="331">
        <v>3</v>
      </c>
      <c r="E99" s="331">
        <v>4</v>
      </c>
      <c r="F99" s="331">
        <v>1</v>
      </c>
      <c r="G99" s="331">
        <v>3</v>
      </c>
      <c r="H99" s="331">
        <v>4</v>
      </c>
      <c r="I99" s="331">
        <v>3</v>
      </c>
      <c r="J99" s="331">
        <v>0</v>
      </c>
      <c r="K99" s="331">
        <v>1</v>
      </c>
      <c r="L99" s="331">
        <v>2</v>
      </c>
      <c r="M99" s="331">
        <v>1</v>
      </c>
      <c r="N99" s="331">
        <v>3</v>
      </c>
      <c r="O99" s="331">
        <v>0</v>
      </c>
      <c r="P99" s="331">
        <v>2</v>
      </c>
      <c r="Q99" s="331">
        <v>3</v>
      </c>
      <c r="R99" s="332">
        <v>3</v>
      </c>
    </row>
    <row r="100" spans="1:18" ht="15.75" customHeight="1" x14ac:dyDescent="0.2">
      <c r="A100" s="329" t="s">
        <v>439</v>
      </c>
      <c r="B100" s="330">
        <v>3</v>
      </c>
      <c r="C100" s="331">
        <v>9</v>
      </c>
      <c r="D100" s="331">
        <v>12</v>
      </c>
      <c r="E100" s="331">
        <v>12</v>
      </c>
      <c r="F100" s="331">
        <v>6</v>
      </c>
      <c r="G100" s="331">
        <v>10</v>
      </c>
      <c r="H100" s="331">
        <v>5</v>
      </c>
      <c r="I100" s="331">
        <v>10</v>
      </c>
      <c r="J100" s="331">
        <v>1</v>
      </c>
      <c r="K100" s="331">
        <v>6</v>
      </c>
      <c r="L100" s="331">
        <v>6</v>
      </c>
      <c r="M100" s="331">
        <v>5</v>
      </c>
      <c r="N100" s="331">
        <v>12</v>
      </c>
      <c r="O100" s="331">
        <v>4</v>
      </c>
      <c r="P100" s="331">
        <v>7</v>
      </c>
      <c r="Q100" s="331">
        <v>8</v>
      </c>
      <c r="R100" s="332">
        <v>9</v>
      </c>
    </row>
    <row r="101" spans="1:18" ht="15.75" customHeight="1" x14ac:dyDescent="0.2">
      <c r="A101" s="329" t="s">
        <v>440</v>
      </c>
      <c r="B101" s="330">
        <v>1</v>
      </c>
      <c r="C101" s="331">
        <v>3</v>
      </c>
      <c r="D101" s="331">
        <v>4</v>
      </c>
      <c r="E101" s="331">
        <v>4</v>
      </c>
      <c r="F101" s="331">
        <v>3</v>
      </c>
      <c r="G101" s="331">
        <v>4</v>
      </c>
      <c r="H101" s="331">
        <v>2</v>
      </c>
      <c r="I101" s="331">
        <v>3</v>
      </c>
      <c r="J101" s="331">
        <v>1</v>
      </c>
      <c r="K101" s="331">
        <v>2</v>
      </c>
      <c r="L101" s="331">
        <v>1</v>
      </c>
      <c r="M101" s="331">
        <v>2</v>
      </c>
      <c r="N101" s="331">
        <v>4</v>
      </c>
      <c r="O101" s="331">
        <v>2</v>
      </c>
      <c r="P101" s="331">
        <v>3</v>
      </c>
      <c r="Q101" s="331">
        <v>1</v>
      </c>
      <c r="R101" s="332">
        <v>4</v>
      </c>
    </row>
    <row r="102" spans="1:18" ht="15.75" customHeight="1" x14ac:dyDescent="0.2">
      <c r="A102" s="329" t="s">
        <v>23</v>
      </c>
      <c r="B102" s="330">
        <v>2</v>
      </c>
      <c r="C102" s="331">
        <v>6</v>
      </c>
      <c r="D102" s="331">
        <v>8</v>
      </c>
      <c r="E102" s="331">
        <v>8</v>
      </c>
      <c r="F102" s="331">
        <v>5</v>
      </c>
      <c r="G102" s="331">
        <v>5</v>
      </c>
      <c r="H102" s="331">
        <v>4</v>
      </c>
      <c r="I102" s="331">
        <v>4</v>
      </c>
      <c r="J102" s="331">
        <v>7</v>
      </c>
      <c r="K102" s="331">
        <v>3</v>
      </c>
      <c r="L102" s="331">
        <v>4</v>
      </c>
      <c r="M102" s="331">
        <v>6</v>
      </c>
      <c r="N102" s="331">
        <v>1</v>
      </c>
      <c r="O102" s="331">
        <v>3</v>
      </c>
      <c r="P102" s="331">
        <v>5</v>
      </c>
      <c r="Q102" s="331">
        <v>6</v>
      </c>
      <c r="R102" s="332">
        <v>7</v>
      </c>
    </row>
    <row r="103" spans="1:18" ht="15.75" customHeight="1" x14ac:dyDescent="0.2">
      <c r="A103" s="329" t="s">
        <v>441</v>
      </c>
      <c r="B103" s="330">
        <v>1</v>
      </c>
      <c r="C103" s="331">
        <v>2</v>
      </c>
      <c r="D103" s="331">
        <v>3</v>
      </c>
      <c r="E103" s="331">
        <v>4</v>
      </c>
      <c r="F103" s="331">
        <v>2</v>
      </c>
      <c r="G103" s="331">
        <v>3</v>
      </c>
      <c r="H103" s="331">
        <v>1</v>
      </c>
      <c r="I103" s="331">
        <v>3</v>
      </c>
      <c r="J103" s="331">
        <v>0</v>
      </c>
      <c r="K103" s="331">
        <v>1</v>
      </c>
      <c r="L103" s="331">
        <v>0</v>
      </c>
      <c r="M103" s="331">
        <v>2</v>
      </c>
      <c r="N103" s="331">
        <v>3</v>
      </c>
      <c r="O103" s="331">
        <v>0</v>
      </c>
      <c r="P103" s="331">
        <v>2</v>
      </c>
      <c r="Q103" s="331">
        <v>4</v>
      </c>
      <c r="R103" s="332">
        <v>3</v>
      </c>
    </row>
    <row r="104" spans="1:18" ht="15.75" customHeight="1" x14ac:dyDescent="0.2">
      <c r="A104" s="329" t="s">
        <v>442</v>
      </c>
      <c r="B104" s="330">
        <v>1</v>
      </c>
      <c r="C104" s="331">
        <v>3</v>
      </c>
      <c r="D104" s="331">
        <v>4</v>
      </c>
      <c r="E104" s="331">
        <v>4</v>
      </c>
      <c r="F104" s="331">
        <v>3</v>
      </c>
      <c r="G104" s="331">
        <v>3</v>
      </c>
      <c r="H104" s="331">
        <v>2</v>
      </c>
      <c r="I104" s="331">
        <v>3</v>
      </c>
      <c r="J104" s="331">
        <v>1</v>
      </c>
      <c r="K104" s="331">
        <v>0</v>
      </c>
      <c r="L104" s="331">
        <v>1</v>
      </c>
      <c r="M104" s="331">
        <v>0</v>
      </c>
      <c r="N104" s="331">
        <v>2</v>
      </c>
      <c r="O104" s="331">
        <v>2</v>
      </c>
      <c r="P104" s="331">
        <v>3</v>
      </c>
      <c r="Q104" s="331">
        <v>4</v>
      </c>
      <c r="R104" s="332">
        <v>4</v>
      </c>
    </row>
    <row r="105" spans="1:18" ht="15.75" customHeight="1" x14ac:dyDescent="0.2">
      <c r="A105" s="329" t="s">
        <v>443</v>
      </c>
      <c r="B105" s="330">
        <v>1</v>
      </c>
      <c r="C105" s="331">
        <v>2</v>
      </c>
      <c r="D105" s="331">
        <v>3</v>
      </c>
      <c r="E105" s="331">
        <v>3</v>
      </c>
      <c r="F105" s="331">
        <v>1</v>
      </c>
      <c r="G105" s="331">
        <v>4</v>
      </c>
      <c r="H105" s="331">
        <v>2</v>
      </c>
      <c r="I105" s="331">
        <v>3</v>
      </c>
      <c r="J105" s="331">
        <v>2</v>
      </c>
      <c r="K105" s="331">
        <v>1</v>
      </c>
      <c r="L105" s="331">
        <v>3</v>
      </c>
      <c r="M105" s="331">
        <v>4</v>
      </c>
      <c r="N105" s="331">
        <v>1</v>
      </c>
      <c r="O105" s="331">
        <v>1</v>
      </c>
      <c r="P105" s="331">
        <v>1</v>
      </c>
      <c r="Q105" s="331">
        <v>4</v>
      </c>
      <c r="R105" s="332">
        <v>3</v>
      </c>
    </row>
    <row r="106" spans="1:18" ht="15.75" customHeight="1" x14ac:dyDescent="0.2">
      <c r="A106" s="329" t="s">
        <v>444</v>
      </c>
      <c r="B106" s="330">
        <v>2</v>
      </c>
      <c r="C106" s="331">
        <v>4</v>
      </c>
      <c r="D106" s="331">
        <v>6</v>
      </c>
      <c r="E106" s="331">
        <v>7</v>
      </c>
      <c r="F106" s="331">
        <v>2</v>
      </c>
      <c r="G106" s="331">
        <v>8</v>
      </c>
      <c r="H106" s="331">
        <v>5</v>
      </c>
      <c r="I106" s="331">
        <v>6</v>
      </c>
      <c r="J106" s="331">
        <v>2</v>
      </c>
      <c r="K106" s="331">
        <v>2</v>
      </c>
      <c r="L106" s="331">
        <v>2</v>
      </c>
      <c r="M106" s="331">
        <v>2</v>
      </c>
      <c r="N106" s="331">
        <v>5</v>
      </c>
      <c r="O106" s="331">
        <v>2</v>
      </c>
      <c r="P106" s="331">
        <v>4</v>
      </c>
      <c r="Q106" s="331">
        <v>3</v>
      </c>
      <c r="R106" s="332">
        <v>7</v>
      </c>
    </row>
    <row r="107" spans="1:18" ht="15.75" customHeight="1" x14ac:dyDescent="0.2">
      <c r="A107" s="329" t="s">
        <v>445</v>
      </c>
      <c r="B107" s="330">
        <v>1</v>
      </c>
      <c r="C107" s="331">
        <v>3</v>
      </c>
      <c r="D107" s="331">
        <v>4</v>
      </c>
      <c r="E107" s="331">
        <v>4</v>
      </c>
      <c r="F107" s="331">
        <v>3</v>
      </c>
      <c r="G107" s="331">
        <v>4</v>
      </c>
      <c r="H107" s="331">
        <v>2</v>
      </c>
      <c r="I107" s="331">
        <v>3</v>
      </c>
      <c r="J107" s="331">
        <v>1</v>
      </c>
      <c r="K107" s="331">
        <v>2</v>
      </c>
      <c r="L107" s="331">
        <v>1</v>
      </c>
      <c r="M107" s="331">
        <v>2</v>
      </c>
      <c r="N107" s="331">
        <v>4</v>
      </c>
      <c r="O107" s="331">
        <v>2</v>
      </c>
      <c r="P107" s="331">
        <v>3</v>
      </c>
      <c r="Q107" s="331">
        <v>1</v>
      </c>
      <c r="R107" s="332">
        <v>4</v>
      </c>
    </row>
    <row r="108" spans="1:18" ht="15.75" customHeight="1" x14ac:dyDescent="0.2">
      <c r="A108" s="329" t="s">
        <v>446</v>
      </c>
      <c r="B108" s="330">
        <v>1</v>
      </c>
      <c r="C108" s="331">
        <v>3</v>
      </c>
      <c r="D108" s="331">
        <v>4</v>
      </c>
      <c r="E108" s="331">
        <v>4</v>
      </c>
      <c r="F108" s="331">
        <v>2</v>
      </c>
      <c r="G108" s="331">
        <v>4</v>
      </c>
      <c r="H108" s="331">
        <v>3</v>
      </c>
      <c r="I108" s="331">
        <v>4</v>
      </c>
      <c r="J108" s="331">
        <v>0</v>
      </c>
      <c r="K108" s="331">
        <v>3</v>
      </c>
      <c r="L108" s="331">
        <v>2</v>
      </c>
      <c r="M108" s="331">
        <v>1</v>
      </c>
      <c r="N108" s="331">
        <v>4</v>
      </c>
      <c r="O108" s="331">
        <v>1</v>
      </c>
      <c r="P108" s="331">
        <v>3</v>
      </c>
      <c r="Q108" s="331">
        <v>4</v>
      </c>
      <c r="R108" s="332">
        <v>4</v>
      </c>
    </row>
    <row r="109" spans="1:18" ht="15.75" customHeight="1" x14ac:dyDescent="0.2">
      <c r="A109" s="329" t="s">
        <v>447</v>
      </c>
      <c r="B109" s="330">
        <v>1</v>
      </c>
      <c r="C109" s="331">
        <v>1</v>
      </c>
      <c r="D109" s="331">
        <v>2</v>
      </c>
      <c r="E109" s="331">
        <v>3</v>
      </c>
      <c r="F109" s="331">
        <v>1</v>
      </c>
      <c r="G109" s="331">
        <v>4</v>
      </c>
      <c r="H109" s="331">
        <v>1</v>
      </c>
      <c r="I109" s="331">
        <v>3</v>
      </c>
      <c r="J109" s="331">
        <v>1</v>
      </c>
      <c r="K109" s="331">
        <v>2</v>
      </c>
      <c r="L109" s="331">
        <v>2</v>
      </c>
      <c r="M109" s="331">
        <v>1</v>
      </c>
      <c r="N109" s="331">
        <v>2</v>
      </c>
      <c r="O109" s="331">
        <v>1</v>
      </c>
      <c r="P109" s="331">
        <v>2</v>
      </c>
      <c r="Q109" s="331">
        <v>4</v>
      </c>
      <c r="R109" s="332">
        <v>3</v>
      </c>
    </row>
    <row r="110" spans="1:18" ht="15.75" customHeight="1" x14ac:dyDescent="0.2">
      <c r="A110" s="329" t="s">
        <v>21</v>
      </c>
      <c r="B110" s="330">
        <v>1</v>
      </c>
      <c r="C110" s="331">
        <v>2</v>
      </c>
      <c r="D110" s="331">
        <v>3</v>
      </c>
      <c r="E110" s="331">
        <v>4</v>
      </c>
      <c r="F110" s="331">
        <v>2</v>
      </c>
      <c r="G110" s="331">
        <v>4</v>
      </c>
      <c r="H110" s="331">
        <v>3</v>
      </c>
      <c r="I110" s="331">
        <v>4</v>
      </c>
      <c r="J110" s="331">
        <v>3</v>
      </c>
      <c r="K110" s="331">
        <v>2</v>
      </c>
      <c r="L110" s="331">
        <v>1</v>
      </c>
      <c r="M110" s="331">
        <v>4</v>
      </c>
      <c r="N110" s="331">
        <v>1</v>
      </c>
      <c r="O110" s="331">
        <v>2</v>
      </c>
      <c r="P110" s="331">
        <v>2</v>
      </c>
      <c r="Q110" s="331">
        <v>1</v>
      </c>
      <c r="R110" s="332">
        <v>3</v>
      </c>
    </row>
    <row r="111" spans="1:18" ht="15.75" customHeight="1" x14ac:dyDescent="0.2">
      <c r="A111" s="329" t="s">
        <v>448</v>
      </c>
      <c r="B111" s="330">
        <v>1</v>
      </c>
      <c r="C111" s="331">
        <v>2</v>
      </c>
      <c r="D111" s="331">
        <v>3</v>
      </c>
      <c r="E111" s="331">
        <v>4</v>
      </c>
      <c r="F111" s="331">
        <v>2</v>
      </c>
      <c r="G111" s="331">
        <v>4</v>
      </c>
      <c r="H111" s="331">
        <v>3</v>
      </c>
      <c r="I111" s="331">
        <v>4</v>
      </c>
      <c r="J111" s="331">
        <v>1</v>
      </c>
      <c r="K111" s="331">
        <v>2</v>
      </c>
      <c r="L111" s="331">
        <v>1</v>
      </c>
      <c r="M111" s="331">
        <v>0</v>
      </c>
      <c r="N111" s="331">
        <v>2</v>
      </c>
      <c r="O111" s="331">
        <v>1</v>
      </c>
      <c r="P111" s="331">
        <v>2</v>
      </c>
      <c r="Q111" s="331">
        <v>4</v>
      </c>
      <c r="R111" s="332">
        <v>3</v>
      </c>
    </row>
    <row r="112" spans="1:18" ht="15.75" customHeight="1" x14ac:dyDescent="0.2">
      <c r="A112" s="329" t="s">
        <v>449</v>
      </c>
      <c r="B112" s="330">
        <v>1</v>
      </c>
      <c r="C112" s="331">
        <v>2</v>
      </c>
      <c r="D112" s="331">
        <v>3</v>
      </c>
      <c r="E112" s="331">
        <v>4</v>
      </c>
      <c r="F112" s="331">
        <v>2</v>
      </c>
      <c r="G112" s="331">
        <v>4</v>
      </c>
      <c r="H112" s="331">
        <v>1</v>
      </c>
      <c r="I112" s="331">
        <v>3</v>
      </c>
      <c r="J112" s="331">
        <v>0</v>
      </c>
      <c r="K112" s="331">
        <v>1</v>
      </c>
      <c r="L112" s="331">
        <v>0</v>
      </c>
      <c r="M112" s="331">
        <v>2</v>
      </c>
      <c r="N112" s="331">
        <v>3</v>
      </c>
      <c r="O112" s="331">
        <v>0</v>
      </c>
      <c r="P112" s="331">
        <v>2</v>
      </c>
      <c r="Q112" s="331">
        <v>1</v>
      </c>
      <c r="R112" s="332">
        <v>3</v>
      </c>
    </row>
    <row r="113" spans="1:18" ht="15.75" customHeight="1" x14ac:dyDescent="0.2">
      <c r="A113" s="329" t="s">
        <v>450</v>
      </c>
      <c r="B113" s="330">
        <v>4</v>
      </c>
      <c r="C113" s="331">
        <v>5</v>
      </c>
      <c r="D113" s="331">
        <v>9</v>
      </c>
      <c r="E113" s="331">
        <v>12</v>
      </c>
      <c r="F113" s="331">
        <v>7</v>
      </c>
      <c r="G113" s="331">
        <v>14</v>
      </c>
      <c r="H113" s="331">
        <v>9</v>
      </c>
      <c r="I113" s="331">
        <v>15</v>
      </c>
      <c r="J113" s="331">
        <v>3</v>
      </c>
      <c r="K113" s="331">
        <v>3</v>
      </c>
      <c r="L113" s="331">
        <v>5</v>
      </c>
      <c r="M113" s="331">
        <v>7</v>
      </c>
      <c r="N113" s="331">
        <v>8</v>
      </c>
      <c r="O113" s="331">
        <v>3</v>
      </c>
      <c r="P113" s="331">
        <v>9</v>
      </c>
      <c r="Q113" s="331">
        <v>7</v>
      </c>
      <c r="R113" s="332">
        <v>13</v>
      </c>
    </row>
    <row r="114" spans="1:18" ht="15.75" customHeight="1" x14ac:dyDescent="0.2">
      <c r="A114" s="329" t="s">
        <v>451</v>
      </c>
      <c r="B114" s="330">
        <v>1</v>
      </c>
      <c r="C114" s="331">
        <v>3</v>
      </c>
      <c r="D114" s="331">
        <v>4</v>
      </c>
      <c r="E114" s="331">
        <v>4</v>
      </c>
      <c r="F114" s="331">
        <v>2</v>
      </c>
      <c r="G114" s="331">
        <v>4</v>
      </c>
      <c r="H114" s="331">
        <v>1</v>
      </c>
      <c r="I114" s="331">
        <v>3</v>
      </c>
      <c r="J114" s="331">
        <v>1</v>
      </c>
      <c r="K114" s="331">
        <v>3</v>
      </c>
      <c r="L114" s="331">
        <v>1</v>
      </c>
      <c r="M114" s="331">
        <v>2</v>
      </c>
      <c r="N114" s="331">
        <v>3</v>
      </c>
      <c r="O114" s="331">
        <v>1</v>
      </c>
      <c r="P114" s="331">
        <v>3</v>
      </c>
      <c r="Q114" s="331">
        <v>1</v>
      </c>
      <c r="R114" s="332">
        <v>4</v>
      </c>
    </row>
    <row r="115" spans="1:18" ht="15.75" customHeight="1" x14ac:dyDescent="0.2">
      <c r="A115" s="329" t="s">
        <v>452</v>
      </c>
      <c r="B115" s="330">
        <v>1</v>
      </c>
      <c r="C115" s="331">
        <v>2</v>
      </c>
      <c r="D115" s="331">
        <v>3</v>
      </c>
      <c r="E115" s="331">
        <v>4</v>
      </c>
      <c r="F115" s="331">
        <v>1</v>
      </c>
      <c r="G115" s="331">
        <v>4</v>
      </c>
      <c r="H115" s="331">
        <v>3</v>
      </c>
      <c r="I115" s="331">
        <v>2</v>
      </c>
      <c r="J115" s="331">
        <v>1</v>
      </c>
      <c r="K115" s="331">
        <v>2</v>
      </c>
      <c r="L115" s="331">
        <v>3</v>
      </c>
      <c r="M115" s="331">
        <v>2</v>
      </c>
      <c r="N115" s="331">
        <v>4</v>
      </c>
      <c r="O115" s="331">
        <v>1</v>
      </c>
      <c r="P115" s="331">
        <v>2</v>
      </c>
      <c r="Q115" s="331">
        <v>4</v>
      </c>
      <c r="R115" s="332">
        <v>3</v>
      </c>
    </row>
    <row r="116" spans="1:18" ht="15.75" customHeight="1" x14ac:dyDescent="0.2">
      <c r="A116" s="329" t="s">
        <v>453</v>
      </c>
      <c r="B116" s="330">
        <v>1</v>
      </c>
      <c r="C116" s="331">
        <v>3</v>
      </c>
      <c r="D116" s="331">
        <v>4</v>
      </c>
      <c r="E116" s="331">
        <v>4</v>
      </c>
      <c r="F116" s="331">
        <v>2</v>
      </c>
      <c r="G116" s="331">
        <v>3</v>
      </c>
      <c r="H116" s="331">
        <v>1</v>
      </c>
      <c r="I116" s="331">
        <v>4</v>
      </c>
      <c r="J116" s="331">
        <v>0</v>
      </c>
      <c r="K116" s="331">
        <v>1</v>
      </c>
      <c r="L116" s="331">
        <v>0</v>
      </c>
      <c r="M116" s="331">
        <v>2</v>
      </c>
      <c r="N116" s="331">
        <v>4</v>
      </c>
      <c r="O116" s="331">
        <v>1</v>
      </c>
      <c r="P116" s="331">
        <v>2</v>
      </c>
      <c r="Q116" s="331">
        <v>0</v>
      </c>
      <c r="R116" s="332">
        <v>3</v>
      </c>
    </row>
    <row r="117" spans="1:18" ht="15.75" customHeight="1" x14ac:dyDescent="0.2">
      <c r="A117" s="329" t="s">
        <v>454</v>
      </c>
      <c r="B117" s="330">
        <v>1</v>
      </c>
      <c r="C117" s="331">
        <v>2</v>
      </c>
      <c r="D117" s="331">
        <v>3</v>
      </c>
      <c r="E117" s="331">
        <v>4</v>
      </c>
      <c r="F117" s="331">
        <v>2</v>
      </c>
      <c r="G117" s="331">
        <v>3</v>
      </c>
      <c r="H117" s="331">
        <v>4</v>
      </c>
      <c r="I117" s="331">
        <v>3</v>
      </c>
      <c r="J117" s="331">
        <v>1</v>
      </c>
      <c r="K117" s="331">
        <v>1</v>
      </c>
      <c r="L117" s="331">
        <v>1</v>
      </c>
      <c r="M117" s="331">
        <v>2</v>
      </c>
      <c r="N117" s="331">
        <v>3</v>
      </c>
      <c r="O117" s="331">
        <v>1</v>
      </c>
      <c r="P117" s="331">
        <v>2</v>
      </c>
      <c r="Q117" s="331">
        <v>2</v>
      </c>
      <c r="R117" s="332">
        <v>4</v>
      </c>
    </row>
    <row r="118" spans="1:18" ht="15.75" customHeight="1" x14ac:dyDescent="0.2">
      <c r="A118" s="329" t="s">
        <v>455</v>
      </c>
      <c r="B118" s="330">
        <v>1</v>
      </c>
      <c r="C118" s="331">
        <v>2</v>
      </c>
      <c r="D118" s="331">
        <v>3</v>
      </c>
      <c r="E118" s="331">
        <v>4</v>
      </c>
      <c r="F118" s="331">
        <v>1</v>
      </c>
      <c r="G118" s="331">
        <v>4</v>
      </c>
      <c r="H118" s="331">
        <v>3</v>
      </c>
      <c r="I118" s="331">
        <v>2</v>
      </c>
      <c r="J118" s="331">
        <v>0</v>
      </c>
      <c r="K118" s="331">
        <v>1</v>
      </c>
      <c r="L118" s="331">
        <v>1</v>
      </c>
      <c r="M118" s="331">
        <v>2</v>
      </c>
      <c r="N118" s="331">
        <v>4</v>
      </c>
      <c r="O118" s="331">
        <v>1</v>
      </c>
      <c r="P118" s="331">
        <v>2</v>
      </c>
      <c r="Q118" s="331">
        <v>1</v>
      </c>
      <c r="R118" s="332">
        <v>2</v>
      </c>
    </row>
    <row r="119" spans="1:18" ht="15.75" customHeight="1" x14ac:dyDescent="0.2">
      <c r="A119" s="329" t="s">
        <v>54</v>
      </c>
      <c r="B119" s="330">
        <v>3</v>
      </c>
      <c r="C119" s="331">
        <v>8</v>
      </c>
      <c r="D119" s="331">
        <v>11</v>
      </c>
      <c r="E119" s="331">
        <v>11</v>
      </c>
      <c r="F119" s="331">
        <v>6</v>
      </c>
      <c r="G119" s="331">
        <v>11</v>
      </c>
      <c r="H119" s="331">
        <v>8</v>
      </c>
      <c r="I119" s="331">
        <v>9</v>
      </c>
      <c r="J119" s="331">
        <v>3</v>
      </c>
      <c r="K119" s="331">
        <v>2</v>
      </c>
      <c r="L119" s="331">
        <v>1</v>
      </c>
      <c r="M119" s="331">
        <v>6</v>
      </c>
      <c r="N119" s="331">
        <v>9</v>
      </c>
      <c r="O119" s="331">
        <v>4</v>
      </c>
      <c r="P119" s="331">
        <v>6</v>
      </c>
      <c r="Q119" s="331">
        <v>3</v>
      </c>
      <c r="R119" s="332">
        <v>9</v>
      </c>
    </row>
    <row r="120" spans="1:18" ht="15.75" customHeight="1" x14ac:dyDescent="0.2">
      <c r="A120" s="329" t="s">
        <v>456</v>
      </c>
      <c r="B120" s="330">
        <v>1</v>
      </c>
      <c r="C120" s="331">
        <v>3</v>
      </c>
      <c r="D120" s="331">
        <v>4</v>
      </c>
      <c r="E120" s="331">
        <v>4</v>
      </c>
      <c r="F120" s="331">
        <v>2</v>
      </c>
      <c r="G120" s="331">
        <v>3</v>
      </c>
      <c r="H120" s="331">
        <v>1</v>
      </c>
      <c r="I120" s="331">
        <v>2</v>
      </c>
      <c r="J120" s="331">
        <v>0</v>
      </c>
      <c r="K120" s="331">
        <v>3</v>
      </c>
      <c r="L120" s="331">
        <v>0</v>
      </c>
      <c r="M120" s="331">
        <v>0</v>
      </c>
      <c r="N120" s="331">
        <v>1</v>
      </c>
      <c r="O120" s="331">
        <v>1</v>
      </c>
      <c r="P120" s="331">
        <v>2</v>
      </c>
      <c r="Q120" s="331">
        <v>0</v>
      </c>
      <c r="R120" s="332">
        <v>3</v>
      </c>
    </row>
    <row r="121" spans="1:18" ht="15.75" customHeight="1" x14ac:dyDescent="0.2">
      <c r="A121" s="329" t="s">
        <v>457</v>
      </c>
      <c r="B121" s="330">
        <v>4</v>
      </c>
      <c r="C121" s="331">
        <v>8</v>
      </c>
      <c r="D121" s="331">
        <v>12</v>
      </c>
      <c r="E121" s="331">
        <v>15</v>
      </c>
      <c r="F121" s="331">
        <v>10</v>
      </c>
      <c r="G121" s="331">
        <v>13</v>
      </c>
      <c r="H121" s="331">
        <v>12</v>
      </c>
      <c r="I121" s="331">
        <v>12</v>
      </c>
      <c r="J121" s="331">
        <v>1</v>
      </c>
      <c r="K121" s="331">
        <v>4</v>
      </c>
      <c r="L121" s="331">
        <v>3</v>
      </c>
      <c r="M121" s="331">
        <v>3</v>
      </c>
      <c r="N121" s="331">
        <v>12</v>
      </c>
      <c r="O121" s="331">
        <v>4</v>
      </c>
      <c r="P121" s="331">
        <v>11</v>
      </c>
      <c r="Q121" s="331">
        <v>1</v>
      </c>
      <c r="R121" s="332">
        <v>15</v>
      </c>
    </row>
    <row r="122" spans="1:18" ht="15.75" customHeight="1" x14ac:dyDescent="0.2">
      <c r="A122" s="329" t="s">
        <v>458</v>
      </c>
      <c r="B122" s="330">
        <v>1</v>
      </c>
      <c r="C122" s="331">
        <v>2</v>
      </c>
      <c r="D122" s="331">
        <v>3</v>
      </c>
      <c r="E122" s="331">
        <v>4</v>
      </c>
      <c r="F122" s="331">
        <v>1</v>
      </c>
      <c r="G122" s="331">
        <v>4</v>
      </c>
      <c r="H122" s="331">
        <v>2</v>
      </c>
      <c r="I122" s="331">
        <v>3</v>
      </c>
      <c r="J122" s="331">
        <v>0</v>
      </c>
      <c r="K122" s="331">
        <v>1</v>
      </c>
      <c r="L122" s="331">
        <v>2</v>
      </c>
      <c r="M122" s="331">
        <v>0</v>
      </c>
      <c r="N122" s="331">
        <v>4</v>
      </c>
      <c r="O122" s="331">
        <v>0</v>
      </c>
      <c r="P122" s="331">
        <v>2</v>
      </c>
      <c r="Q122" s="331">
        <v>1</v>
      </c>
      <c r="R122" s="332">
        <v>3</v>
      </c>
    </row>
    <row r="123" spans="1:18" ht="15.75" customHeight="1" x14ac:dyDescent="0.2">
      <c r="A123" s="329" t="s">
        <v>459</v>
      </c>
      <c r="B123" s="330">
        <v>2</v>
      </c>
      <c r="C123" s="331">
        <v>5</v>
      </c>
      <c r="D123" s="331">
        <v>7</v>
      </c>
      <c r="E123" s="331">
        <v>8</v>
      </c>
      <c r="F123" s="331">
        <v>5</v>
      </c>
      <c r="G123" s="331">
        <v>7</v>
      </c>
      <c r="H123" s="331">
        <v>5</v>
      </c>
      <c r="I123" s="331">
        <v>7</v>
      </c>
      <c r="J123" s="331">
        <v>1</v>
      </c>
      <c r="K123" s="331">
        <v>4</v>
      </c>
      <c r="L123" s="331">
        <v>3</v>
      </c>
      <c r="M123" s="331">
        <v>3</v>
      </c>
      <c r="N123" s="331">
        <v>8</v>
      </c>
      <c r="O123" s="331">
        <v>1</v>
      </c>
      <c r="P123" s="331">
        <v>5</v>
      </c>
      <c r="Q123" s="331">
        <v>8</v>
      </c>
      <c r="R123" s="332">
        <v>7</v>
      </c>
    </row>
    <row r="124" spans="1:18" ht="15.75" customHeight="1" x14ac:dyDescent="0.2">
      <c r="A124" s="329" t="s">
        <v>460</v>
      </c>
      <c r="B124" s="330">
        <v>1</v>
      </c>
      <c r="C124" s="331">
        <v>3</v>
      </c>
      <c r="D124" s="331">
        <v>4</v>
      </c>
      <c r="E124" s="331">
        <v>4</v>
      </c>
      <c r="F124" s="331">
        <v>2</v>
      </c>
      <c r="G124" s="331">
        <v>4</v>
      </c>
      <c r="H124" s="331">
        <v>1</v>
      </c>
      <c r="I124" s="331">
        <v>3</v>
      </c>
      <c r="J124" s="331">
        <v>0</v>
      </c>
      <c r="K124" s="331">
        <v>1</v>
      </c>
      <c r="L124" s="331">
        <v>0</v>
      </c>
      <c r="M124" s="331">
        <v>1</v>
      </c>
      <c r="N124" s="331">
        <v>4</v>
      </c>
      <c r="O124" s="331">
        <v>0</v>
      </c>
      <c r="P124" s="331">
        <v>2</v>
      </c>
      <c r="Q124" s="331">
        <v>1</v>
      </c>
      <c r="R124" s="332">
        <v>3</v>
      </c>
    </row>
    <row r="125" spans="1:18" ht="15.75" customHeight="1" x14ac:dyDescent="0.2">
      <c r="A125" s="329" t="s">
        <v>461</v>
      </c>
      <c r="B125" s="330">
        <v>1</v>
      </c>
      <c r="C125" s="331">
        <v>2</v>
      </c>
      <c r="D125" s="331">
        <v>3</v>
      </c>
      <c r="E125" s="331">
        <v>4</v>
      </c>
      <c r="F125" s="331">
        <v>2</v>
      </c>
      <c r="G125" s="331">
        <v>4</v>
      </c>
      <c r="H125" s="331">
        <v>3</v>
      </c>
      <c r="I125" s="331">
        <v>4</v>
      </c>
      <c r="J125" s="331">
        <v>0</v>
      </c>
      <c r="K125" s="331">
        <v>1</v>
      </c>
      <c r="L125" s="331">
        <v>3</v>
      </c>
      <c r="M125" s="331">
        <v>2</v>
      </c>
      <c r="N125" s="331">
        <v>4</v>
      </c>
      <c r="O125" s="331">
        <v>1</v>
      </c>
      <c r="P125" s="331">
        <v>2</v>
      </c>
      <c r="Q125" s="331">
        <v>4</v>
      </c>
      <c r="R125" s="332">
        <v>3</v>
      </c>
    </row>
    <row r="126" spans="1:18" ht="15.75" customHeight="1" x14ac:dyDescent="0.2">
      <c r="A126" s="329" t="s">
        <v>462</v>
      </c>
      <c r="B126" s="330">
        <v>1</v>
      </c>
      <c r="C126" s="331">
        <v>2</v>
      </c>
      <c r="D126" s="331">
        <v>3</v>
      </c>
      <c r="E126" s="331">
        <v>4</v>
      </c>
      <c r="F126" s="331">
        <v>2</v>
      </c>
      <c r="G126" s="331">
        <v>3</v>
      </c>
      <c r="H126" s="331">
        <v>2</v>
      </c>
      <c r="I126" s="331">
        <v>3</v>
      </c>
      <c r="J126" s="331">
        <v>1</v>
      </c>
      <c r="K126" s="331">
        <v>1</v>
      </c>
      <c r="L126" s="331">
        <v>2</v>
      </c>
      <c r="M126" s="331">
        <v>1</v>
      </c>
      <c r="N126" s="331">
        <v>4</v>
      </c>
      <c r="O126" s="331">
        <v>0</v>
      </c>
      <c r="P126" s="331">
        <v>2</v>
      </c>
      <c r="Q126" s="331">
        <v>4</v>
      </c>
      <c r="R126" s="332">
        <v>3</v>
      </c>
    </row>
    <row r="127" spans="1:18" ht="15.75" customHeight="1" x14ac:dyDescent="0.2">
      <c r="A127" s="329" t="s">
        <v>463</v>
      </c>
      <c r="B127" s="330">
        <v>1</v>
      </c>
      <c r="C127" s="331">
        <v>3</v>
      </c>
      <c r="D127" s="331">
        <v>4</v>
      </c>
      <c r="E127" s="331">
        <v>4</v>
      </c>
      <c r="F127" s="331">
        <v>3</v>
      </c>
      <c r="G127" s="331">
        <v>4</v>
      </c>
      <c r="H127" s="331">
        <v>2</v>
      </c>
      <c r="I127" s="331">
        <v>4</v>
      </c>
      <c r="J127" s="331">
        <v>1</v>
      </c>
      <c r="K127" s="331">
        <v>0</v>
      </c>
      <c r="L127" s="331">
        <v>0</v>
      </c>
      <c r="M127" s="331">
        <v>2</v>
      </c>
      <c r="N127" s="331">
        <v>3</v>
      </c>
      <c r="O127" s="331">
        <v>1</v>
      </c>
      <c r="P127" s="331">
        <v>3</v>
      </c>
      <c r="Q127" s="331">
        <v>4</v>
      </c>
      <c r="R127" s="332">
        <v>4</v>
      </c>
    </row>
    <row r="128" spans="1:18" ht="15.75" customHeight="1" x14ac:dyDescent="0.2">
      <c r="A128" s="329" t="s">
        <v>464</v>
      </c>
      <c r="B128" s="330">
        <v>1</v>
      </c>
      <c r="C128" s="331">
        <v>2</v>
      </c>
      <c r="D128" s="331">
        <v>3</v>
      </c>
      <c r="E128" s="331">
        <v>4</v>
      </c>
      <c r="F128" s="331">
        <v>1</v>
      </c>
      <c r="G128" s="331">
        <v>4</v>
      </c>
      <c r="H128" s="331">
        <v>3</v>
      </c>
      <c r="I128" s="331">
        <v>4</v>
      </c>
      <c r="J128" s="331">
        <v>1</v>
      </c>
      <c r="K128" s="331">
        <v>0</v>
      </c>
      <c r="L128" s="331">
        <v>3</v>
      </c>
      <c r="M128" s="331">
        <v>0</v>
      </c>
      <c r="N128" s="331">
        <v>1</v>
      </c>
      <c r="O128" s="331">
        <v>1</v>
      </c>
      <c r="P128" s="331">
        <v>2</v>
      </c>
      <c r="Q128" s="331">
        <v>4</v>
      </c>
      <c r="R128" s="332">
        <v>4</v>
      </c>
    </row>
    <row r="129" spans="1:18" ht="15.75" customHeight="1" x14ac:dyDescent="0.2">
      <c r="A129" s="329" t="s">
        <v>465</v>
      </c>
      <c r="B129" s="330">
        <v>1</v>
      </c>
      <c r="C129" s="331">
        <v>3</v>
      </c>
      <c r="D129" s="331">
        <v>4</v>
      </c>
      <c r="E129" s="331">
        <v>4</v>
      </c>
      <c r="F129" s="331">
        <v>3</v>
      </c>
      <c r="G129" s="331">
        <v>4</v>
      </c>
      <c r="H129" s="331">
        <v>2</v>
      </c>
      <c r="I129" s="331">
        <v>4</v>
      </c>
      <c r="J129" s="331">
        <v>1</v>
      </c>
      <c r="K129" s="331">
        <v>2</v>
      </c>
      <c r="L129" s="331">
        <v>1</v>
      </c>
      <c r="M129" s="331">
        <v>2</v>
      </c>
      <c r="N129" s="331">
        <v>2</v>
      </c>
      <c r="O129" s="331">
        <v>1</v>
      </c>
      <c r="P129" s="331">
        <v>3</v>
      </c>
      <c r="Q129" s="331">
        <v>4</v>
      </c>
      <c r="R129" s="332">
        <v>4</v>
      </c>
    </row>
    <row r="130" spans="1:18" ht="15.75" customHeight="1" x14ac:dyDescent="0.2">
      <c r="A130" s="329" t="s">
        <v>466</v>
      </c>
      <c r="B130" s="330">
        <v>1</v>
      </c>
      <c r="C130" s="331">
        <v>2</v>
      </c>
      <c r="D130" s="331">
        <v>3</v>
      </c>
      <c r="E130" s="331">
        <v>3</v>
      </c>
      <c r="F130" s="331">
        <v>1</v>
      </c>
      <c r="G130" s="331">
        <v>4</v>
      </c>
      <c r="H130" s="331">
        <v>2</v>
      </c>
      <c r="I130" s="331">
        <v>3</v>
      </c>
      <c r="J130" s="331">
        <v>1</v>
      </c>
      <c r="K130" s="331">
        <v>2</v>
      </c>
      <c r="L130" s="331">
        <v>0</v>
      </c>
      <c r="M130" s="331">
        <v>3</v>
      </c>
      <c r="N130" s="331">
        <v>4</v>
      </c>
      <c r="O130" s="331">
        <v>1</v>
      </c>
      <c r="P130" s="331">
        <v>2</v>
      </c>
      <c r="Q130" s="331">
        <v>2</v>
      </c>
      <c r="R130" s="332">
        <v>3</v>
      </c>
    </row>
    <row r="131" spans="1:18" ht="15.75" customHeight="1" x14ac:dyDescent="0.2">
      <c r="A131" s="329" t="s">
        <v>467</v>
      </c>
      <c r="B131" s="330">
        <v>1</v>
      </c>
      <c r="C131" s="331">
        <v>3</v>
      </c>
      <c r="D131" s="331">
        <v>4</v>
      </c>
      <c r="E131" s="331">
        <v>4</v>
      </c>
      <c r="F131" s="331">
        <v>3</v>
      </c>
      <c r="G131" s="331">
        <v>2</v>
      </c>
      <c r="H131" s="331">
        <v>1</v>
      </c>
      <c r="I131" s="331">
        <v>3</v>
      </c>
      <c r="J131" s="331">
        <v>0</v>
      </c>
      <c r="K131" s="331">
        <v>2</v>
      </c>
      <c r="L131" s="331">
        <v>0</v>
      </c>
      <c r="M131" s="331">
        <v>3</v>
      </c>
      <c r="N131" s="331">
        <v>2</v>
      </c>
      <c r="O131" s="331">
        <v>1</v>
      </c>
      <c r="P131" s="331">
        <v>3</v>
      </c>
      <c r="Q131" s="331">
        <v>2</v>
      </c>
      <c r="R131" s="332">
        <v>4</v>
      </c>
    </row>
    <row r="132" spans="1:18" ht="15.75" customHeight="1" x14ac:dyDescent="0.2">
      <c r="A132" s="329" t="s">
        <v>468</v>
      </c>
      <c r="B132" s="330">
        <v>1</v>
      </c>
      <c r="C132" s="331">
        <v>2</v>
      </c>
      <c r="D132" s="331">
        <v>3</v>
      </c>
      <c r="E132" s="331">
        <v>4</v>
      </c>
      <c r="F132" s="331">
        <v>1</v>
      </c>
      <c r="G132" s="331">
        <v>4</v>
      </c>
      <c r="H132" s="331">
        <v>2</v>
      </c>
      <c r="I132" s="331">
        <v>3</v>
      </c>
      <c r="J132" s="331">
        <v>1</v>
      </c>
      <c r="K132" s="331">
        <v>0</v>
      </c>
      <c r="L132" s="331">
        <v>2</v>
      </c>
      <c r="M132" s="331">
        <v>3</v>
      </c>
      <c r="N132" s="331">
        <v>2</v>
      </c>
      <c r="O132" s="331">
        <v>0</v>
      </c>
      <c r="P132" s="331">
        <v>1</v>
      </c>
      <c r="Q132" s="331">
        <v>4</v>
      </c>
      <c r="R132" s="332">
        <v>4</v>
      </c>
    </row>
    <row r="133" spans="1:18" ht="15.75" customHeight="1" x14ac:dyDescent="0.2">
      <c r="A133" s="329" t="s">
        <v>469</v>
      </c>
      <c r="B133" s="330">
        <v>1</v>
      </c>
      <c r="C133" s="331">
        <v>2</v>
      </c>
      <c r="D133" s="331">
        <v>3</v>
      </c>
      <c r="E133" s="331">
        <v>3</v>
      </c>
      <c r="F133" s="331">
        <v>1</v>
      </c>
      <c r="G133" s="331">
        <v>4</v>
      </c>
      <c r="H133" s="331">
        <v>2</v>
      </c>
      <c r="I133" s="331">
        <v>3</v>
      </c>
      <c r="J133" s="331">
        <v>1</v>
      </c>
      <c r="K133" s="331">
        <v>3</v>
      </c>
      <c r="L133" s="331">
        <v>2</v>
      </c>
      <c r="M133" s="331">
        <v>3</v>
      </c>
      <c r="N133" s="331">
        <v>2</v>
      </c>
      <c r="O133" s="331">
        <v>1</v>
      </c>
      <c r="P133" s="331">
        <v>2</v>
      </c>
      <c r="Q133" s="331">
        <v>4</v>
      </c>
      <c r="R133" s="332">
        <v>3</v>
      </c>
    </row>
    <row r="134" spans="1:18" ht="15.75" customHeight="1" x14ac:dyDescent="0.2">
      <c r="A134" s="329" t="s">
        <v>470</v>
      </c>
      <c r="B134" s="330">
        <v>1</v>
      </c>
      <c r="C134" s="331">
        <v>2</v>
      </c>
      <c r="D134" s="331">
        <v>3</v>
      </c>
      <c r="E134" s="331">
        <v>4</v>
      </c>
      <c r="F134" s="331">
        <v>2</v>
      </c>
      <c r="G134" s="331">
        <v>4</v>
      </c>
      <c r="H134" s="331">
        <v>1</v>
      </c>
      <c r="I134" s="331">
        <v>3</v>
      </c>
      <c r="J134" s="331">
        <v>0</v>
      </c>
      <c r="K134" s="331">
        <v>2</v>
      </c>
      <c r="L134" s="331">
        <v>0</v>
      </c>
      <c r="M134" s="331">
        <v>1</v>
      </c>
      <c r="N134" s="331">
        <v>4</v>
      </c>
      <c r="O134" s="331">
        <v>1</v>
      </c>
      <c r="P134" s="331">
        <v>3</v>
      </c>
      <c r="Q134" s="331">
        <v>2</v>
      </c>
      <c r="R134" s="332">
        <v>3</v>
      </c>
    </row>
    <row r="135" spans="1:18" ht="15.75" customHeight="1" x14ac:dyDescent="0.2">
      <c r="A135" s="329" t="s">
        <v>471</v>
      </c>
      <c r="B135" s="330">
        <v>1</v>
      </c>
      <c r="C135" s="331">
        <v>3</v>
      </c>
      <c r="D135" s="331">
        <v>4</v>
      </c>
      <c r="E135" s="331">
        <v>4</v>
      </c>
      <c r="F135" s="331">
        <v>3</v>
      </c>
      <c r="G135" s="331">
        <v>4</v>
      </c>
      <c r="H135" s="331">
        <v>2</v>
      </c>
      <c r="I135" s="331">
        <v>3</v>
      </c>
      <c r="J135" s="331">
        <v>1</v>
      </c>
      <c r="K135" s="331">
        <v>2</v>
      </c>
      <c r="L135" s="331">
        <v>2</v>
      </c>
      <c r="M135" s="331">
        <v>3</v>
      </c>
      <c r="N135" s="331">
        <v>3</v>
      </c>
      <c r="O135" s="331">
        <v>1</v>
      </c>
      <c r="P135" s="331">
        <v>3</v>
      </c>
      <c r="Q135" s="331">
        <v>4</v>
      </c>
      <c r="R135" s="332">
        <v>3</v>
      </c>
    </row>
    <row r="136" spans="1:18" ht="15.75" customHeight="1" x14ac:dyDescent="0.2">
      <c r="A136" s="329" t="s">
        <v>472</v>
      </c>
      <c r="B136" s="330">
        <v>1</v>
      </c>
      <c r="C136" s="331">
        <v>2</v>
      </c>
      <c r="D136" s="331">
        <v>3</v>
      </c>
      <c r="E136" s="331">
        <v>4</v>
      </c>
      <c r="F136" s="331">
        <v>3</v>
      </c>
      <c r="G136" s="331">
        <v>4</v>
      </c>
      <c r="H136" s="331">
        <v>2</v>
      </c>
      <c r="I136" s="331">
        <v>3</v>
      </c>
      <c r="J136" s="331">
        <v>1</v>
      </c>
      <c r="K136" s="331">
        <v>2</v>
      </c>
      <c r="L136" s="331">
        <v>3</v>
      </c>
      <c r="M136" s="331">
        <v>1</v>
      </c>
      <c r="N136" s="331">
        <v>2</v>
      </c>
      <c r="O136" s="331">
        <v>1</v>
      </c>
      <c r="P136" s="331">
        <v>3</v>
      </c>
      <c r="Q136" s="331">
        <v>4</v>
      </c>
      <c r="R136" s="332">
        <v>4</v>
      </c>
    </row>
    <row r="137" spans="1:18" ht="15.75" customHeight="1" x14ac:dyDescent="0.2">
      <c r="A137" s="329" t="s">
        <v>473</v>
      </c>
      <c r="B137" s="330">
        <v>3</v>
      </c>
      <c r="C137" s="331">
        <v>5</v>
      </c>
      <c r="D137" s="331">
        <v>8</v>
      </c>
      <c r="E137" s="331">
        <v>10</v>
      </c>
      <c r="F137" s="331">
        <v>3</v>
      </c>
      <c r="G137" s="331">
        <v>9</v>
      </c>
      <c r="H137" s="331">
        <v>8</v>
      </c>
      <c r="I137" s="331">
        <v>9</v>
      </c>
      <c r="J137" s="331">
        <v>1</v>
      </c>
      <c r="K137" s="331">
        <v>4</v>
      </c>
      <c r="L137" s="331">
        <v>1</v>
      </c>
      <c r="M137" s="331">
        <v>8</v>
      </c>
      <c r="N137" s="331">
        <v>8</v>
      </c>
      <c r="O137" s="331">
        <v>2</v>
      </c>
      <c r="P137" s="331">
        <v>4</v>
      </c>
      <c r="Q137" s="331">
        <v>2</v>
      </c>
      <c r="R137" s="332">
        <v>8</v>
      </c>
    </row>
    <row r="138" spans="1:18" ht="15.75" customHeight="1" x14ac:dyDescent="0.2">
      <c r="A138" s="329" t="s">
        <v>474</v>
      </c>
      <c r="B138" s="330">
        <v>4</v>
      </c>
      <c r="C138" s="331">
        <v>11</v>
      </c>
      <c r="D138" s="331">
        <v>15</v>
      </c>
      <c r="E138" s="331">
        <v>16</v>
      </c>
      <c r="F138" s="331">
        <v>9</v>
      </c>
      <c r="G138" s="331">
        <v>13</v>
      </c>
      <c r="H138" s="331">
        <v>6</v>
      </c>
      <c r="I138" s="331">
        <v>13</v>
      </c>
      <c r="J138" s="331">
        <v>2</v>
      </c>
      <c r="K138" s="331">
        <v>10</v>
      </c>
      <c r="L138" s="331">
        <v>0</v>
      </c>
      <c r="M138" s="331">
        <v>6</v>
      </c>
      <c r="N138" s="331">
        <v>6</v>
      </c>
      <c r="O138" s="331">
        <v>7</v>
      </c>
      <c r="P138" s="331">
        <v>11</v>
      </c>
      <c r="Q138" s="331">
        <v>14</v>
      </c>
      <c r="R138" s="332">
        <v>16</v>
      </c>
    </row>
    <row r="139" spans="1:18" ht="15.75" customHeight="1" x14ac:dyDescent="0.2">
      <c r="A139" s="329" t="s">
        <v>475</v>
      </c>
      <c r="B139" s="330">
        <v>1</v>
      </c>
      <c r="C139" s="331">
        <v>3</v>
      </c>
      <c r="D139" s="331">
        <v>4</v>
      </c>
      <c r="E139" s="331">
        <v>4</v>
      </c>
      <c r="F139" s="331">
        <v>3</v>
      </c>
      <c r="G139" s="331">
        <v>3</v>
      </c>
      <c r="H139" s="331">
        <v>2</v>
      </c>
      <c r="I139" s="331">
        <v>2</v>
      </c>
      <c r="J139" s="331">
        <v>0</v>
      </c>
      <c r="K139" s="331">
        <v>1</v>
      </c>
      <c r="L139" s="331">
        <v>0</v>
      </c>
      <c r="M139" s="331">
        <v>2</v>
      </c>
      <c r="N139" s="331">
        <v>1</v>
      </c>
      <c r="O139" s="331">
        <v>2</v>
      </c>
      <c r="P139" s="331">
        <v>3</v>
      </c>
      <c r="Q139" s="331">
        <v>0</v>
      </c>
      <c r="R139" s="332">
        <v>4</v>
      </c>
    </row>
    <row r="140" spans="1:18" ht="15.75" customHeight="1" x14ac:dyDescent="0.2">
      <c r="A140" s="329" t="s">
        <v>476</v>
      </c>
      <c r="B140" s="330">
        <v>1</v>
      </c>
      <c r="C140" s="331">
        <v>3</v>
      </c>
      <c r="D140" s="331">
        <v>2</v>
      </c>
      <c r="E140" s="331">
        <v>3</v>
      </c>
      <c r="F140" s="331">
        <v>2</v>
      </c>
      <c r="G140" s="331">
        <v>4</v>
      </c>
      <c r="H140" s="331">
        <v>1</v>
      </c>
      <c r="I140" s="331">
        <v>3</v>
      </c>
      <c r="J140" s="331">
        <v>0</v>
      </c>
      <c r="K140" s="331">
        <v>1</v>
      </c>
      <c r="L140" s="331">
        <v>0</v>
      </c>
      <c r="M140" s="331">
        <v>1</v>
      </c>
      <c r="N140" s="331">
        <v>4</v>
      </c>
      <c r="O140" s="331">
        <v>1</v>
      </c>
      <c r="P140" s="331">
        <v>2</v>
      </c>
      <c r="Q140" s="331">
        <v>1</v>
      </c>
      <c r="R140" s="332">
        <v>3</v>
      </c>
    </row>
    <row r="141" spans="1:18" ht="15.75" customHeight="1" x14ac:dyDescent="0.2">
      <c r="A141" s="329" t="s">
        <v>477</v>
      </c>
      <c r="B141" s="330">
        <v>1</v>
      </c>
      <c r="C141" s="331">
        <v>2</v>
      </c>
      <c r="D141" s="331">
        <v>3</v>
      </c>
      <c r="E141" s="331">
        <v>4</v>
      </c>
      <c r="F141" s="331">
        <v>2</v>
      </c>
      <c r="G141" s="331">
        <v>4</v>
      </c>
      <c r="H141" s="331">
        <v>1</v>
      </c>
      <c r="I141" s="331">
        <v>3</v>
      </c>
      <c r="J141" s="331">
        <v>0</v>
      </c>
      <c r="K141" s="331">
        <v>1</v>
      </c>
      <c r="L141" s="331">
        <v>2</v>
      </c>
      <c r="M141" s="331">
        <v>1</v>
      </c>
      <c r="N141" s="331">
        <v>4</v>
      </c>
      <c r="O141" s="331">
        <v>0</v>
      </c>
      <c r="P141" s="331">
        <v>3</v>
      </c>
      <c r="Q141" s="331">
        <v>3</v>
      </c>
      <c r="R141" s="332">
        <v>4</v>
      </c>
    </row>
    <row r="142" spans="1:18" ht="15.75" customHeight="1" x14ac:dyDescent="0.2">
      <c r="A142" s="329" t="s">
        <v>478</v>
      </c>
      <c r="B142" s="330">
        <v>1</v>
      </c>
      <c r="C142" s="331">
        <v>2</v>
      </c>
      <c r="D142" s="331">
        <v>3</v>
      </c>
      <c r="E142" s="331">
        <v>3</v>
      </c>
      <c r="F142" s="331">
        <v>2</v>
      </c>
      <c r="G142" s="331">
        <v>3</v>
      </c>
      <c r="H142" s="331">
        <v>2</v>
      </c>
      <c r="I142" s="331">
        <v>1</v>
      </c>
      <c r="J142" s="331">
        <v>1</v>
      </c>
      <c r="K142" s="331">
        <v>1</v>
      </c>
      <c r="L142" s="331">
        <v>2</v>
      </c>
      <c r="M142" s="331">
        <v>0</v>
      </c>
      <c r="N142" s="331">
        <v>1</v>
      </c>
      <c r="O142" s="331">
        <v>1</v>
      </c>
      <c r="P142" s="331">
        <v>2</v>
      </c>
      <c r="Q142" s="331">
        <v>2</v>
      </c>
      <c r="R142" s="332">
        <v>3</v>
      </c>
    </row>
    <row r="143" spans="1:18" ht="15.75" customHeight="1" x14ac:dyDescent="0.2">
      <c r="A143" s="329" t="s">
        <v>46</v>
      </c>
      <c r="B143" s="330">
        <v>1</v>
      </c>
      <c r="C143" s="331">
        <v>2</v>
      </c>
      <c r="D143" s="331">
        <v>3</v>
      </c>
      <c r="E143" s="331">
        <v>4</v>
      </c>
      <c r="F143" s="331">
        <v>2</v>
      </c>
      <c r="G143" s="331">
        <v>3</v>
      </c>
      <c r="H143" s="331">
        <v>1</v>
      </c>
      <c r="I143" s="331">
        <v>3</v>
      </c>
      <c r="J143" s="331">
        <v>0</v>
      </c>
      <c r="K143" s="331">
        <v>4</v>
      </c>
      <c r="L143" s="331">
        <v>1</v>
      </c>
      <c r="M143" s="331">
        <v>0</v>
      </c>
      <c r="N143" s="331">
        <v>2</v>
      </c>
      <c r="O143" s="331">
        <v>1</v>
      </c>
      <c r="P143" s="331">
        <v>3</v>
      </c>
      <c r="Q143" s="331">
        <v>4</v>
      </c>
      <c r="R143" s="332">
        <v>3</v>
      </c>
    </row>
    <row r="144" spans="1:18" ht="15.75" customHeight="1" x14ac:dyDescent="0.2">
      <c r="A144" s="329" t="s">
        <v>479</v>
      </c>
      <c r="B144" s="330">
        <v>4</v>
      </c>
      <c r="C144" s="331">
        <v>9</v>
      </c>
      <c r="D144" s="331">
        <v>13</v>
      </c>
      <c r="E144" s="331">
        <v>15</v>
      </c>
      <c r="F144" s="331">
        <v>7</v>
      </c>
      <c r="G144" s="331">
        <v>15</v>
      </c>
      <c r="H144" s="331">
        <v>7</v>
      </c>
      <c r="I144" s="331">
        <v>12</v>
      </c>
      <c r="J144" s="331">
        <v>5</v>
      </c>
      <c r="K144" s="331">
        <v>11</v>
      </c>
      <c r="L144" s="331">
        <v>5</v>
      </c>
      <c r="M144" s="331">
        <v>12</v>
      </c>
      <c r="N144" s="331">
        <v>13</v>
      </c>
      <c r="O144" s="331">
        <v>3</v>
      </c>
      <c r="P144" s="331">
        <v>8</v>
      </c>
      <c r="Q144" s="331">
        <v>11</v>
      </c>
      <c r="R144" s="332">
        <v>12</v>
      </c>
    </row>
    <row r="145" spans="1:18" ht="15.75" customHeight="1" x14ac:dyDescent="0.2">
      <c r="A145" s="329" t="s">
        <v>480</v>
      </c>
      <c r="B145" s="330">
        <v>1</v>
      </c>
      <c r="C145" s="331">
        <v>3</v>
      </c>
      <c r="D145" s="331">
        <v>2</v>
      </c>
      <c r="E145" s="331">
        <v>3</v>
      </c>
      <c r="F145" s="331">
        <v>2</v>
      </c>
      <c r="G145" s="331">
        <v>4</v>
      </c>
      <c r="H145" s="331">
        <v>1</v>
      </c>
      <c r="I145" s="331">
        <v>3</v>
      </c>
      <c r="J145" s="331">
        <v>2</v>
      </c>
      <c r="K145" s="331">
        <v>1</v>
      </c>
      <c r="L145" s="331">
        <v>1</v>
      </c>
      <c r="M145" s="331">
        <v>2</v>
      </c>
      <c r="N145" s="331">
        <v>1</v>
      </c>
      <c r="O145" s="331">
        <v>1</v>
      </c>
      <c r="P145" s="331">
        <v>3</v>
      </c>
      <c r="Q145" s="331">
        <v>4</v>
      </c>
      <c r="R145" s="332">
        <v>4</v>
      </c>
    </row>
    <row r="146" spans="1:18" ht="15.75" customHeight="1" x14ac:dyDescent="0.2">
      <c r="A146" s="329" t="s">
        <v>481</v>
      </c>
      <c r="B146" s="330">
        <v>1</v>
      </c>
      <c r="C146" s="331">
        <v>3</v>
      </c>
      <c r="D146" s="331">
        <v>4</v>
      </c>
      <c r="E146" s="331">
        <v>4</v>
      </c>
      <c r="F146" s="331">
        <v>3</v>
      </c>
      <c r="G146" s="331">
        <v>4</v>
      </c>
      <c r="H146" s="331">
        <v>2</v>
      </c>
      <c r="I146" s="331">
        <v>3</v>
      </c>
      <c r="J146" s="331">
        <v>1</v>
      </c>
      <c r="K146" s="331">
        <v>2</v>
      </c>
      <c r="L146" s="331">
        <v>1</v>
      </c>
      <c r="M146" s="331">
        <v>3</v>
      </c>
      <c r="N146" s="331">
        <v>2</v>
      </c>
      <c r="O146" s="331">
        <v>1</v>
      </c>
      <c r="P146" s="331">
        <v>3</v>
      </c>
      <c r="Q146" s="331">
        <v>4</v>
      </c>
      <c r="R146" s="332">
        <v>4</v>
      </c>
    </row>
    <row r="147" spans="1:18" ht="15.75" customHeight="1" x14ac:dyDescent="0.2">
      <c r="A147" s="329" t="s">
        <v>482</v>
      </c>
      <c r="B147" s="330">
        <v>1</v>
      </c>
      <c r="C147" s="331">
        <v>2</v>
      </c>
      <c r="D147" s="331">
        <v>3</v>
      </c>
      <c r="E147" s="331">
        <v>4</v>
      </c>
      <c r="F147" s="331">
        <v>2</v>
      </c>
      <c r="G147" s="331">
        <v>4</v>
      </c>
      <c r="H147" s="331">
        <v>1</v>
      </c>
      <c r="I147" s="331">
        <v>3</v>
      </c>
      <c r="J147" s="331">
        <v>0</v>
      </c>
      <c r="K147" s="331">
        <v>1</v>
      </c>
      <c r="L147" s="331">
        <v>1</v>
      </c>
      <c r="M147" s="331">
        <v>2</v>
      </c>
      <c r="N147" s="331">
        <v>3</v>
      </c>
      <c r="O147" s="331">
        <v>0</v>
      </c>
      <c r="P147" s="331">
        <v>2</v>
      </c>
      <c r="Q147" s="331">
        <v>4</v>
      </c>
      <c r="R147" s="332">
        <v>3</v>
      </c>
    </row>
    <row r="148" spans="1:18" ht="15.75" customHeight="1" x14ac:dyDescent="0.2">
      <c r="A148" s="329" t="s">
        <v>483</v>
      </c>
      <c r="B148" s="330">
        <v>2</v>
      </c>
      <c r="C148" s="331">
        <v>4</v>
      </c>
      <c r="D148" s="331">
        <v>6</v>
      </c>
      <c r="E148" s="331">
        <v>8</v>
      </c>
      <c r="F148" s="331">
        <v>3</v>
      </c>
      <c r="G148" s="331">
        <v>8</v>
      </c>
      <c r="H148" s="331">
        <v>3</v>
      </c>
      <c r="I148" s="331">
        <v>6</v>
      </c>
      <c r="J148" s="331">
        <v>1</v>
      </c>
      <c r="K148" s="331">
        <v>1</v>
      </c>
      <c r="L148" s="331">
        <v>3</v>
      </c>
      <c r="M148" s="331">
        <v>8</v>
      </c>
      <c r="N148" s="331">
        <v>7</v>
      </c>
      <c r="O148" s="331">
        <v>1</v>
      </c>
      <c r="P148" s="331">
        <v>5</v>
      </c>
      <c r="Q148" s="331">
        <v>1</v>
      </c>
      <c r="R148" s="332">
        <v>6</v>
      </c>
    </row>
    <row r="149" spans="1:18" ht="15.75" customHeight="1" x14ac:dyDescent="0.2">
      <c r="A149" s="329" t="s">
        <v>484</v>
      </c>
      <c r="B149" s="330">
        <v>1</v>
      </c>
      <c r="C149" s="331">
        <v>3</v>
      </c>
      <c r="D149" s="331">
        <v>4</v>
      </c>
      <c r="E149" s="331">
        <v>4</v>
      </c>
      <c r="F149" s="331">
        <v>3</v>
      </c>
      <c r="G149" s="331">
        <v>3</v>
      </c>
      <c r="H149" s="331">
        <v>2</v>
      </c>
      <c r="I149" s="331">
        <v>3</v>
      </c>
      <c r="J149" s="331">
        <v>1</v>
      </c>
      <c r="K149" s="331">
        <v>3</v>
      </c>
      <c r="L149" s="331">
        <v>0</v>
      </c>
      <c r="M149" s="331">
        <v>1</v>
      </c>
      <c r="N149" s="331">
        <v>1</v>
      </c>
      <c r="O149" s="331">
        <v>2</v>
      </c>
      <c r="P149" s="331">
        <v>3</v>
      </c>
      <c r="Q149" s="331">
        <v>4</v>
      </c>
      <c r="R149" s="332">
        <v>4</v>
      </c>
    </row>
    <row r="150" spans="1:18" ht="15.75" customHeight="1" x14ac:dyDescent="0.2">
      <c r="A150" s="329" t="s">
        <v>485</v>
      </c>
      <c r="B150" s="330">
        <v>1</v>
      </c>
      <c r="C150" s="331">
        <v>3</v>
      </c>
      <c r="D150" s="331">
        <v>4</v>
      </c>
      <c r="E150" s="331">
        <v>4</v>
      </c>
      <c r="F150" s="331">
        <v>2</v>
      </c>
      <c r="G150" s="331">
        <v>3</v>
      </c>
      <c r="H150" s="331">
        <v>4</v>
      </c>
      <c r="I150" s="331">
        <v>2</v>
      </c>
      <c r="J150" s="331">
        <v>0</v>
      </c>
      <c r="K150" s="331">
        <v>3</v>
      </c>
      <c r="L150" s="331">
        <v>0</v>
      </c>
      <c r="M150" s="331">
        <v>1</v>
      </c>
      <c r="N150" s="331">
        <v>2</v>
      </c>
      <c r="O150" s="331">
        <v>1</v>
      </c>
      <c r="P150" s="331">
        <v>2</v>
      </c>
      <c r="Q150" s="331">
        <v>0</v>
      </c>
      <c r="R150" s="332">
        <v>3</v>
      </c>
    </row>
    <row r="151" spans="1:18" ht="15.75" customHeight="1" x14ac:dyDescent="0.2">
      <c r="A151" s="329" t="s">
        <v>486</v>
      </c>
      <c r="B151" s="330">
        <v>1</v>
      </c>
      <c r="C151" s="331">
        <v>3</v>
      </c>
      <c r="D151" s="331">
        <v>4</v>
      </c>
      <c r="E151" s="331">
        <v>4</v>
      </c>
      <c r="F151" s="331">
        <v>2</v>
      </c>
      <c r="G151" s="331">
        <v>4</v>
      </c>
      <c r="H151" s="331">
        <v>1</v>
      </c>
      <c r="I151" s="331">
        <v>3</v>
      </c>
      <c r="J151" s="331">
        <v>0</v>
      </c>
      <c r="K151" s="331">
        <v>2</v>
      </c>
      <c r="L151" s="331">
        <v>1</v>
      </c>
      <c r="M151" s="331">
        <v>2</v>
      </c>
      <c r="N151" s="331">
        <v>4</v>
      </c>
      <c r="O151" s="331">
        <v>0</v>
      </c>
      <c r="P151" s="331">
        <v>2</v>
      </c>
      <c r="Q151" s="331">
        <v>4</v>
      </c>
      <c r="R151" s="332">
        <v>3</v>
      </c>
    </row>
    <row r="152" spans="1:18" ht="15.75" customHeight="1" x14ac:dyDescent="0.2">
      <c r="A152" s="329" t="s">
        <v>487</v>
      </c>
      <c r="B152" s="330">
        <v>1</v>
      </c>
      <c r="C152" s="331">
        <v>3</v>
      </c>
      <c r="D152" s="331">
        <v>4</v>
      </c>
      <c r="E152" s="331">
        <v>4</v>
      </c>
      <c r="F152" s="331">
        <v>4</v>
      </c>
      <c r="G152" s="331">
        <v>3</v>
      </c>
      <c r="H152" s="331">
        <v>2</v>
      </c>
      <c r="I152" s="331">
        <v>4</v>
      </c>
      <c r="J152" s="331">
        <v>1</v>
      </c>
      <c r="K152" s="331">
        <v>2</v>
      </c>
      <c r="L152" s="331">
        <v>2</v>
      </c>
      <c r="M152" s="331">
        <v>1</v>
      </c>
      <c r="N152" s="331">
        <v>3</v>
      </c>
      <c r="O152" s="331">
        <v>2</v>
      </c>
      <c r="P152" s="331">
        <v>4</v>
      </c>
      <c r="Q152" s="331">
        <v>4</v>
      </c>
      <c r="R152" s="332">
        <v>4</v>
      </c>
    </row>
    <row r="153" spans="1:18" ht="15.75" customHeight="1" x14ac:dyDescent="0.2">
      <c r="A153" s="329" t="s">
        <v>488</v>
      </c>
      <c r="B153" s="330">
        <v>1</v>
      </c>
      <c r="C153" s="331">
        <v>2</v>
      </c>
      <c r="D153" s="331">
        <v>3</v>
      </c>
      <c r="E153" s="331">
        <v>4</v>
      </c>
      <c r="F153" s="331">
        <v>1</v>
      </c>
      <c r="G153" s="331">
        <v>3</v>
      </c>
      <c r="H153" s="331">
        <v>2</v>
      </c>
      <c r="I153" s="331">
        <v>4</v>
      </c>
      <c r="J153" s="331">
        <v>0</v>
      </c>
      <c r="K153" s="331">
        <v>1</v>
      </c>
      <c r="L153" s="331">
        <v>2</v>
      </c>
      <c r="M153" s="331">
        <v>1</v>
      </c>
      <c r="N153" s="331">
        <v>4</v>
      </c>
      <c r="O153" s="331">
        <v>0</v>
      </c>
      <c r="P153" s="331">
        <v>2</v>
      </c>
      <c r="Q153" s="331">
        <v>1</v>
      </c>
      <c r="R153" s="332">
        <v>3</v>
      </c>
    </row>
    <row r="154" spans="1:18" ht="15.75" customHeight="1" x14ac:dyDescent="0.2">
      <c r="A154" s="329" t="s">
        <v>14</v>
      </c>
      <c r="B154" s="330">
        <v>3</v>
      </c>
      <c r="C154" s="331">
        <v>6</v>
      </c>
      <c r="D154" s="331">
        <v>10</v>
      </c>
      <c r="E154" s="331">
        <v>10</v>
      </c>
      <c r="F154" s="331">
        <v>6</v>
      </c>
      <c r="G154" s="331">
        <v>10</v>
      </c>
      <c r="H154" s="331">
        <v>4</v>
      </c>
      <c r="I154" s="331">
        <v>10</v>
      </c>
      <c r="J154" s="331">
        <v>2</v>
      </c>
      <c r="K154" s="331">
        <v>4</v>
      </c>
      <c r="L154" s="331">
        <v>4</v>
      </c>
      <c r="M154" s="331">
        <v>8</v>
      </c>
      <c r="N154" s="331">
        <v>10</v>
      </c>
      <c r="O154" s="331">
        <v>3</v>
      </c>
      <c r="P154" s="331">
        <v>7</v>
      </c>
      <c r="Q154" s="331">
        <v>3</v>
      </c>
      <c r="R154" s="332">
        <v>8</v>
      </c>
    </row>
    <row r="155" spans="1:18" ht="15.75" customHeight="1" x14ac:dyDescent="0.2">
      <c r="A155" s="329" t="s">
        <v>489</v>
      </c>
      <c r="B155" s="330">
        <v>1</v>
      </c>
      <c r="C155" s="331">
        <v>2</v>
      </c>
      <c r="D155" s="331">
        <v>3</v>
      </c>
      <c r="E155" s="331">
        <v>4</v>
      </c>
      <c r="F155" s="331">
        <v>1</v>
      </c>
      <c r="G155" s="331">
        <v>3</v>
      </c>
      <c r="H155" s="331">
        <v>2</v>
      </c>
      <c r="I155" s="331">
        <v>4</v>
      </c>
      <c r="J155" s="331">
        <v>0</v>
      </c>
      <c r="K155" s="331">
        <v>3</v>
      </c>
      <c r="L155" s="331">
        <v>1</v>
      </c>
      <c r="M155" s="331">
        <v>0</v>
      </c>
      <c r="N155" s="331">
        <v>4</v>
      </c>
      <c r="O155" s="331">
        <v>0</v>
      </c>
      <c r="P155" s="331">
        <v>2</v>
      </c>
      <c r="Q155" s="331">
        <v>0</v>
      </c>
      <c r="R155" s="332">
        <v>3</v>
      </c>
    </row>
    <row r="156" spans="1:18" ht="15.75" customHeight="1" x14ac:dyDescent="0.2">
      <c r="A156" s="329" t="s">
        <v>490</v>
      </c>
      <c r="B156" s="330">
        <v>1</v>
      </c>
      <c r="C156" s="331">
        <v>3</v>
      </c>
      <c r="D156" s="331">
        <v>4</v>
      </c>
      <c r="E156" s="331">
        <v>4</v>
      </c>
      <c r="F156" s="331">
        <v>3</v>
      </c>
      <c r="G156" s="331">
        <v>4</v>
      </c>
      <c r="H156" s="331">
        <v>2</v>
      </c>
      <c r="I156" s="331">
        <v>3</v>
      </c>
      <c r="J156" s="331">
        <v>1</v>
      </c>
      <c r="K156" s="331">
        <v>2</v>
      </c>
      <c r="L156" s="331">
        <v>2</v>
      </c>
      <c r="M156" s="331">
        <v>1</v>
      </c>
      <c r="N156" s="331">
        <v>3</v>
      </c>
      <c r="O156" s="331">
        <v>2</v>
      </c>
      <c r="P156" s="331">
        <v>3</v>
      </c>
      <c r="Q156" s="331">
        <v>4</v>
      </c>
      <c r="R156" s="332">
        <v>4</v>
      </c>
    </row>
    <row r="157" spans="1:18" ht="15.75" customHeight="1" x14ac:dyDescent="0.2">
      <c r="A157" s="329" t="s">
        <v>491</v>
      </c>
      <c r="B157" s="330">
        <v>1</v>
      </c>
      <c r="C157" s="331">
        <v>3</v>
      </c>
      <c r="D157" s="331">
        <v>4</v>
      </c>
      <c r="E157" s="331">
        <v>4</v>
      </c>
      <c r="F157" s="331">
        <v>3</v>
      </c>
      <c r="G157" s="331">
        <v>3</v>
      </c>
      <c r="H157" s="331">
        <v>2</v>
      </c>
      <c r="I157" s="331">
        <v>4</v>
      </c>
      <c r="J157" s="331">
        <v>0</v>
      </c>
      <c r="K157" s="331">
        <v>1</v>
      </c>
      <c r="L157" s="331">
        <v>3</v>
      </c>
      <c r="M157" s="331">
        <v>0</v>
      </c>
      <c r="N157" s="331">
        <v>4</v>
      </c>
      <c r="O157" s="331">
        <v>2</v>
      </c>
      <c r="P157" s="331">
        <v>3</v>
      </c>
      <c r="Q157" s="331">
        <v>2</v>
      </c>
      <c r="R157" s="332">
        <v>4</v>
      </c>
    </row>
    <row r="158" spans="1:18" ht="15.75" customHeight="1" x14ac:dyDescent="0.2">
      <c r="A158" s="329" t="s">
        <v>37</v>
      </c>
      <c r="B158" s="330">
        <v>1</v>
      </c>
      <c r="C158" s="331">
        <v>3</v>
      </c>
      <c r="D158" s="331">
        <v>4</v>
      </c>
      <c r="E158" s="331">
        <v>4</v>
      </c>
      <c r="F158" s="331">
        <v>3</v>
      </c>
      <c r="G158" s="331">
        <v>4</v>
      </c>
      <c r="H158" s="331">
        <v>2</v>
      </c>
      <c r="I158" s="331">
        <v>3</v>
      </c>
      <c r="J158" s="331">
        <v>1</v>
      </c>
      <c r="K158" s="331">
        <v>2</v>
      </c>
      <c r="L158" s="331">
        <v>4</v>
      </c>
      <c r="M158" s="331">
        <v>0</v>
      </c>
      <c r="N158" s="331">
        <v>1</v>
      </c>
      <c r="O158" s="331">
        <v>2</v>
      </c>
      <c r="P158" s="331">
        <v>3</v>
      </c>
      <c r="Q158" s="331">
        <v>4</v>
      </c>
      <c r="R158" s="332">
        <v>4</v>
      </c>
    </row>
    <row r="159" spans="1:18" ht="15.75" customHeight="1" x14ac:dyDescent="0.2">
      <c r="A159" s="329" t="s">
        <v>492</v>
      </c>
      <c r="B159" s="330">
        <v>1</v>
      </c>
      <c r="C159" s="331">
        <v>2</v>
      </c>
      <c r="D159" s="331">
        <v>3</v>
      </c>
      <c r="E159" s="331">
        <v>3</v>
      </c>
      <c r="F159" s="331">
        <v>2</v>
      </c>
      <c r="G159" s="331">
        <v>4</v>
      </c>
      <c r="H159" s="331">
        <v>1</v>
      </c>
      <c r="I159" s="331">
        <v>4</v>
      </c>
      <c r="J159" s="331">
        <v>0</v>
      </c>
      <c r="K159" s="331">
        <v>2</v>
      </c>
      <c r="L159" s="331">
        <v>0</v>
      </c>
      <c r="M159" s="331">
        <v>1</v>
      </c>
      <c r="N159" s="331">
        <v>3</v>
      </c>
      <c r="O159" s="331">
        <v>1</v>
      </c>
      <c r="P159" s="331">
        <v>3</v>
      </c>
      <c r="Q159" s="331">
        <v>0</v>
      </c>
      <c r="R159" s="332">
        <v>4</v>
      </c>
    </row>
    <row r="160" spans="1:18" ht="15.75" customHeight="1" x14ac:dyDescent="0.2">
      <c r="A160" s="329" t="s">
        <v>493</v>
      </c>
      <c r="B160" s="330">
        <v>1</v>
      </c>
      <c r="C160" s="331">
        <v>2</v>
      </c>
      <c r="D160" s="331">
        <v>3</v>
      </c>
      <c r="E160" s="331">
        <v>4</v>
      </c>
      <c r="F160" s="331">
        <v>2</v>
      </c>
      <c r="G160" s="331">
        <v>4</v>
      </c>
      <c r="H160" s="331">
        <v>1</v>
      </c>
      <c r="I160" s="331">
        <v>3</v>
      </c>
      <c r="J160" s="331">
        <v>0</v>
      </c>
      <c r="K160" s="331">
        <v>3</v>
      </c>
      <c r="L160" s="331">
        <v>1</v>
      </c>
      <c r="M160" s="331">
        <v>0</v>
      </c>
      <c r="N160" s="331">
        <v>4</v>
      </c>
      <c r="O160" s="331">
        <v>1</v>
      </c>
      <c r="P160" s="331">
        <v>2</v>
      </c>
      <c r="Q160" s="331">
        <v>0</v>
      </c>
      <c r="R160" s="332">
        <v>3</v>
      </c>
    </row>
    <row r="161" spans="1:18" ht="15.75" customHeight="1" x14ac:dyDescent="0.2">
      <c r="A161" s="329" t="s">
        <v>494</v>
      </c>
      <c r="B161" s="330">
        <v>1</v>
      </c>
      <c r="C161" s="331">
        <v>3</v>
      </c>
      <c r="D161" s="331">
        <v>4</v>
      </c>
      <c r="E161" s="331">
        <v>4</v>
      </c>
      <c r="F161" s="331">
        <v>3</v>
      </c>
      <c r="G161" s="331">
        <v>4</v>
      </c>
      <c r="H161" s="331">
        <v>2</v>
      </c>
      <c r="I161" s="331">
        <v>3</v>
      </c>
      <c r="J161" s="331">
        <v>4</v>
      </c>
      <c r="K161" s="331">
        <v>2</v>
      </c>
      <c r="L161" s="331">
        <v>3</v>
      </c>
      <c r="M161" s="331">
        <v>2</v>
      </c>
      <c r="N161" s="331">
        <v>1</v>
      </c>
      <c r="O161" s="331">
        <v>2</v>
      </c>
      <c r="P161" s="331">
        <v>3</v>
      </c>
      <c r="Q161" s="331">
        <v>3</v>
      </c>
      <c r="R161" s="332">
        <v>4</v>
      </c>
    </row>
    <row r="162" spans="1:18" ht="15.75" customHeight="1" x14ac:dyDescent="0.2">
      <c r="A162" s="329" t="s">
        <v>495</v>
      </c>
      <c r="B162" s="330">
        <v>1</v>
      </c>
      <c r="C162" s="331">
        <v>2</v>
      </c>
      <c r="D162" s="331">
        <v>3</v>
      </c>
      <c r="E162" s="331">
        <v>4</v>
      </c>
      <c r="F162" s="331">
        <v>2</v>
      </c>
      <c r="G162" s="331">
        <v>4</v>
      </c>
      <c r="H162" s="331">
        <v>1</v>
      </c>
      <c r="I162" s="331">
        <v>3</v>
      </c>
      <c r="J162" s="331">
        <v>0</v>
      </c>
      <c r="K162" s="331">
        <v>2</v>
      </c>
      <c r="L162" s="331">
        <v>0</v>
      </c>
      <c r="M162" s="331">
        <v>1</v>
      </c>
      <c r="N162" s="331">
        <v>3</v>
      </c>
      <c r="O162" s="331">
        <v>1</v>
      </c>
      <c r="P162" s="331">
        <v>2</v>
      </c>
      <c r="Q162" s="331">
        <v>3</v>
      </c>
      <c r="R162" s="332">
        <v>4</v>
      </c>
    </row>
    <row r="163" spans="1:18" ht="15.75" customHeight="1" x14ac:dyDescent="0.2">
      <c r="A163" s="329" t="s">
        <v>48</v>
      </c>
      <c r="B163" s="330">
        <v>1</v>
      </c>
      <c r="C163" s="331">
        <v>2</v>
      </c>
      <c r="D163" s="331">
        <v>3</v>
      </c>
      <c r="E163" s="331">
        <v>4</v>
      </c>
      <c r="F163" s="331">
        <v>2</v>
      </c>
      <c r="G163" s="331">
        <v>3</v>
      </c>
      <c r="H163" s="331">
        <v>3</v>
      </c>
      <c r="I163" s="331">
        <v>2</v>
      </c>
      <c r="J163" s="331">
        <v>1</v>
      </c>
      <c r="K163" s="331">
        <v>4</v>
      </c>
      <c r="L163" s="331">
        <v>0</v>
      </c>
      <c r="M163" s="331">
        <v>1</v>
      </c>
      <c r="N163" s="331">
        <v>2</v>
      </c>
      <c r="O163" s="331">
        <v>2</v>
      </c>
      <c r="P163" s="331">
        <v>3</v>
      </c>
      <c r="Q163" s="331">
        <v>4</v>
      </c>
      <c r="R163" s="332">
        <v>4</v>
      </c>
    </row>
    <row r="164" spans="1:18" ht="15.75" customHeight="1" x14ac:dyDescent="0.2">
      <c r="A164" s="329" t="s">
        <v>496</v>
      </c>
      <c r="B164" s="330">
        <v>2</v>
      </c>
      <c r="C164" s="331">
        <v>4</v>
      </c>
      <c r="D164" s="331">
        <v>6</v>
      </c>
      <c r="E164" s="331">
        <v>6</v>
      </c>
      <c r="F164" s="331">
        <v>2</v>
      </c>
      <c r="G164" s="331">
        <v>7</v>
      </c>
      <c r="H164" s="331">
        <v>6</v>
      </c>
      <c r="I164" s="331">
        <v>6</v>
      </c>
      <c r="J164" s="331">
        <v>1</v>
      </c>
      <c r="K164" s="331">
        <v>0</v>
      </c>
      <c r="L164" s="331">
        <v>5</v>
      </c>
      <c r="M164" s="331">
        <v>3</v>
      </c>
      <c r="N164" s="331">
        <v>6</v>
      </c>
      <c r="O164" s="331">
        <v>1</v>
      </c>
      <c r="P164" s="331">
        <v>3</v>
      </c>
      <c r="Q164" s="331">
        <v>5</v>
      </c>
      <c r="R164" s="332">
        <v>6</v>
      </c>
    </row>
    <row r="165" spans="1:18" ht="15.75" customHeight="1" x14ac:dyDescent="0.2">
      <c r="A165" s="329" t="s">
        <v>497</v>
      </c>
      <c r="B165" s="330">
        <v>1</v>
      </c>
      <c r="C165" s="331">
        <v>3</v>
      </c>
      <c r="D165" s="331">
        <v>4</v>
      </c>
      <c r="E165" s="331">
        <v>4</v>
      </c>
      <c r="F165" s="331">
        <v>2</v>
      </c>
      <c r="G165" s="331">
        <v>3</v>
      </c>
      <c r="H165" s="331">
        <v>1</v>
      </c>
      <c r="I165" s="331">
        <v>3</v>
      </c>
      <c r="J165" s="331">
        <v>0</v>
      </c>
      <c r="K165" s="331">
        <v>2</v>
      </c>
      <c r="L165" s="331">
        <v>3</v>
      </c>
      <c r="M165" s="331">
        <v>0</v>
      </c>
      <c r="N165" s="331">
        <v>1</v>
      </c>
      <c r="O165" s="331">
        <v>2</v>
      </c>
      <c r="P165" s="331">
        <v>2</v>
      </c>
      <c r="Q165" s="331">
        <v>4</v>
      </c>
      <c r="R165" s="332">
        <v>3</v>
      </c>
    </row>
    <row r="166" spans="1:18" ht="15.75" customHeight="1" x14ac:dyDescent="0.2">
      <c r="A166" s="329" t="s">
        <v>498</v>
      </c>
      <c r="B166" s="330">
        <v>1</v>
      </c>
      <c r="C166" s="331">
        <v>3</v>
      </c>
      <c r="D166" s="331">
        <v>4</v>
      </c>
      <c r="E166" s="331">
        <v>4</v>
      </c>
      <c r="F166" s="331">
        <v>3</v>
      </c>
      <c r="G166" s="331">
        <v>4</v>
      </c>
      <c r="H166" s="331">
        <v>2</v>
      </c>
      <c r="I166" s="331">
        <v>3</v>
      </c>
      <c r="J166" s="331">
        <v>1</v>
      </c>
      <c r="K166" s="331">
        <v>3</v>
      </c>
      <c r="L166" s="331">
        <v>2</v>
      </c>
      <c r="M166" s="331">
        <v>1</v>
      </c>
      <c r="N166" s="331">
        <v>3</v>
      </c>
      <c r="O166" s="331">
        <v>2</v>
      </c>
      <c r="P166" s="331">
        <v>3</v>
      </c>
      <c r="Q166" s="331">
        <v>4</v>
      </c>
      <c r="R166" s="332">
        <v>4</v>
      </c>
    </row>
    <row r="167" spans="1:18" ht="15.75" customHeight="1" x14ac:dyDescent="0.2">
      <c r="A167" s="329" t="s">
        <v>499</v>
      </c>
      <c r="B167" s="330">
        <v>1</v>
      </c>
      <c r="C167" s="331">
        <v>2</v>
      </c>
      <c r="D167" s="331">
        <v>3</v>
      </c>
      <c r="E167" s="331">
        <v>4</v>
      </c>
      <c r="F167" s="331">
        <v>3</v>
      </c>
      <c r="G167" s="331">
        <v>2</v>
      </c>
      <c r="H167" s="331">
        <v>1</v>
      </c>
      <c r="I167" s="331">
        <v>4</v>
      </c>
      <c r="J167" s="331">
        <v>1</v>
      </c>
      <c r="K167" s="331">
        <v>0</v>
      </c>
      <c r="L167" s="331">
        <v>0</v>
      </c>
      <c r="M167" s="331">
        <v>2</v>
      </c>
      <c r="N167" s="331">
        <v>1</v>
      </c>
      <c r="O167" s="331">
        <v>2</v>
      </c>
      <c r="P167" s="331">
        <v>3</v>
      </c>
      <c r="Q167" s="331">
        <v>2</v>
      </c>
      <c r="R167" s="332">
        <v>4</v>
      </c>
    </row>
    <row r="168" spans="1:18" ht="15.75" customHeight="1" x14ac:dyDescent="0.2">
      <c r="A168" s="329" t="s">
        <v>500</v>
      </c>
      <c r="B168" s="330">
        <v>4</v>
      </c>
      <c r="C168" s="331">
        <v>11</v>
      </c>
      <c r="D168" s="331">
        <v>15</v>
      </c>
      <c r="E168" s="331">
        <v>16</v>
      </c>
      <c r="F168" s="331">
        <v>9</v>
      </c>
      <c r="G168" s="331">
        <v>14</v>
      </c>
      <c r="H168" s="331">
        <v>7</v>
      </c>
      <c r="I168" s="331">
        <v>14</v>
      </c>
      <c r="J168" s="331">
        <v>1</v>
      </c>
      <c r="K168" s="331">
        <v>5</v>
      </c>
      <c r="L168" s="331">
        <v>1</v>
      </c>
      <c r="M168" s="331">
        <v>10</v>
      </c>
      <c r="N168" s="331">
        <v>16</v>
      </c>
      <c r="O168" s="331">
        <v>4</v>
      </c>
      <c r="P168" s="331">
        <v>9</v>
      </c>
      <c r="Q168" s="331">
        <v>1</v>
      </c>
      <c r="R168" s="332">
        <v>14</v>
      </c>
    </row>
    <row r="169" spans="1:18" ht="15.75" customHeight="1" x14ac:dyDescent="0.2">
      <c r="A169" s="329" t="s">
        <v>501</v>
      </c>
      <c r="B169" s="330">
        <v>1</v>
      </c>
      <c r="C169" s="331">
        <v>2</v>
      </c>
      <c r="D169" s="331">
        <v>3</v>
      </c>
      <c r="E169" s="331">
        <v>4</v>
      </c>
      <c r="F169" s="331">
        <v>2</v>
      </c>
      <c r="G169" s="331">
        <v>4</v>
      </c>
      <c r="H169" s="331">
        <v>3</v>
      </c>
      <c r="I169" s="331">
        <v>4</v>
      </c>
      <c r="J169" s="331">
        <v>1</v>
      </c>
      <c r="K169" s="331">
        <v>2</v>
      </c>
      <c r="L169" s="331">
        <v>2</v>
      </c>
      <c r="M169" s="331">
        <v>1</v>
      </c>
      <c r="N169" s="331">
        <v>3</v>
      </c>
      <c r="O169" s="331">
        <v>1</v>
      </c>
      <c r="P169" s="331">
        <v>2</v>
      </c>
      <c r="Q169" s="331">
        <v>3</v>
      </c>
      <c r="R169" s="332">
        <v>4</v>
      </c>
    </row>
    <row r="170" spans="1:18" ht="15.75" customHeight="1" x14ac:dyDescent="0.2">
      <c r="A170" s="329" t="s">
        <v>502</v>
      </c>
      <c r="B170" s="330">
        <v>1</v>
      </c>
      <c r="C170" s="331">
        <v>2</v>
      </c>
      <c r="D170" s="331">
        <v>3</v>
      </c>
      <c r="E170" s="331">
        <v>4</v>
      </c>
      <c r="F170" s="331">
        <v>2</v>
      </c>
      <c r="G170" s="331">
        <v>4</v>
      </c>
      <c r="H170" s="331">
        <v>1</v>
      </c>
      <c r="I170" s="331">
        <v>3</v>
      </c>
      <c r="J170" s="331">
        <v>0</v>
      </c>
      <c r="K170" s="331">
        <v>3</v>
      </c>
      <c r="L170" s="331">
        <v>0</v>
      </c>
      <c r="M170" s="331">
        <v>1</v>
      </c>
      <c r="N170" s="331">
        <v>2</v>
      </c>
      <c r="O170" s="331">
        <v>1</v>
      </c>
      <c r="P170" s="331">
        <v>2</v>
      </c>
      <c r="Q170" s="331">
        <v>0</v>
      </c>
      <c r="R170" s="332">
        <v>3</v>
      </c>
    </row>
    <row r="171" spans="1:18" ht="15.75" customHeight="1" x14ac:dyDescent="0.2">
      <c r="A171" s="329" t="s">
        <v>503</v>
      </c>
      <c r="B171" s="330">
        <v>1</v>
      </c>
      <c r="C171" s="331">
        <v>3</v>
      </c>
      <c r="D171" s="331">
        <v>4</v>
      </c>
      <c r="E171" s="331">
        <v>4</v>
      </c>
      <c r="F171" s="331">
        <v>3</v>
      </c>
      <c r="G171" s="331">
        <v>3</v>
      </c>
      <c r="H171" s="331">
        <v>2</v>
      </c>
      <c r="I171" s="331">
        <v>3</v>
      </c>
      <c r="J171" s="331">
        <v>2</v>
      </c>
      <c r="K171" s="331">
        <v>3</v>
      </c>
      <c r="L171" s="331">
        <v>1</v>
      </c>
      <c r="M171" s="331">
        <v>3</v>
      </c>
      <c r="N171" s="331">
        <v>1</v>
      </c>
      <c r="O171" s="331">
        <v>2</v>
      </c>
      <c r="P171" s="331">
        <v>3</v>
      </c>
      <c r="Q171" s="331">
        <v>2</v>
      </c>
      <c r="R171" s="332">
        <v>4</v>
      </c>
    </row>
    <row r="172" spans="1:18" ht="15.75" customHeight="1" x14ac:dyDescent="0.2">
      <c r="A172" s="329" t="s">
        <v>504</v>
      </c>
      <c r="B172" s="330">
        <v>2</v>
      </c>
      <c r="C172" s="331">
        <v>4</v>
      </c>
      <c r="D172" s="331">
        <v>6</v>
      </c>
      <c r="E172" s="331">
        <v>8</v>
      </c>
      <c r="F172" s="331">
        <v>3</v>
      </c>
      <c r="G172" s="331">
        <v>6</v>
      </c>
      <c r="H172" s="331">
        <v>3</v>
      </c>
      <c r="I172" s="331">
        <v>7</v>
      </c>
      <c r="J172" s="331">
        <v>0</v>
      </c>
      <c r="K172" s="331">
        <v>5</v>
      </c>
      <c r="L172" s="331">
        <v>4</v>
      </c>
      <c r="M172" s="331">
        <v>1</v>
      </c>
      <c r="N172" s="331">
        <v>7</v>
      </c>
      <c r="O172" s="331">
        <v>2</v>
      </c>
      <c r="P172" s="331">
        <v>4</v>
      </c>
      <c r="Q172" s="331">
        <v>3</v>
      </c>
      <c r="R172" s="332">
        <v>5</v>
      </c>
    </row>
    <row r="173" spans="1:18" ht="15.75" customHeight="1" x14ac:dyDescent="0.2">
      <c r="A173" s="329" t="s">
        <v>505</v>
      </c>
      <c r="B173" s="330">
        <v>1</v>
      </c>
      <c r="C173" s="331">
        <v>2</v>
      </c>
      <c r="D173" s="331">
        <v>3</v>
      </c>
      <c r="E173" s="331">
        <v>4</v>
      </c>
      <c r="F173" s="331">
        <v>2</v>
      </c>
      <c r="G173" s="331">
        <v>3</v>
      </c>
      <c r="H173" s="331">
        <v>3</v>
      </c>
      <c r="I173" s="331">
        <v>2</v>
      </c>
      <c r="J173" s="331">
        <v>0</v>
      </c>
      <c r="K173" s="331">
        <v>3</v>
      </c>
      <c r="L173" s="331">
        <v>0</v>
      </c>
      <c r="M173" s="331">
        <v>0</v>
      </c>
      <c r="N173" s="331">
        <v>4</v>
      </c>
      <c r="O173" s="331">
        <v>1</v>
      </c>
      <c r="P173" s="331">
        <v>2</v>
      </c>
      <c r="Q173" s="331">
        <v>0</v>
      </c>
      <c r="R173" s="332">
        <v>3</v>
      </c>
    </row>
    <row r="174" spans="1:18" ht="15.75" customHeight="1" x14ac:dyDescent="0.2">
      <c r="A174" s="329" t="s">
        <v>506</v>
      </c>
      <c r="B174" s="330">
        <v>1</v>
      </c>
      <c r="C174" s="331">
        <v>3</v>
      </c>
      <c r="D174" s="331">
        <v>4</v>
      </c>
      <c r="E174" s="331">
        <v>4</v>
      </c>
      <c r="F174" s="331">
        <v>3</v>
      </c>
      <c r="G174" s="331">
        <v>4</v>
      </c>
      <c r="H174" s="331">
        <v>2</v>
      </c>
      <c r="I174" s="331">
        <v>3</v>
      </c>
      <c r="J174" s="331">
        <v>1</v>
      </c>
      <c r="K174" s="331">
        <v>3</v>
      </c>
      <c r="L174" s="331">
        <v>2</v>
      </c>
      <c r="M174" s="331">
        <v>0</v>
      </c>
      <c r="N174" s="331">
        <v>2</v>
      </c>
      <c r="O174" s="331">
        <v>1</v>
      </c>
      <c r="P174" s="331">
        <v>3</v>
      </c>
      <c r="Q174" s="331">
        <v>2</v>
      </c>
      <c r="R174" s="332">
        <v>4</v>
      </c>
    </row>
    <row r="175" spans="1:18" ht="15.75" customHeight="1" x14ac:dyDescent="0.2">
      <c r="A175" s="329" t="s">
        <v>507</v>
      </c>
      <c r="B175" s="330">
        <v>1</v>
      </c>
      <c r="C175" s="331">
        <v>3</v>
      </c>
      <c r="D175" s="331">
        <v>4</v>
      </c>
      <c r="E175" s="331">
        <v>4</v>
      </c>
      <c r="F175" s="331">
        <v>3</v>
      </c>
      <c r="G175" s="331">
        <v>2</v>
      </c>
      <c r="H175" s="331">
        <v>4</v>
      </c>
      <c r="I175" s="331">
        <v>3</v>
      </c>
      <c r="J175" s="331">
        <v>0</v>
      </c>
      <c r="K175" s="331">
        <v>1</v>
      </c>
      <c r="L175" s="331">
        <v>0</v>
      </c>
      <c r="M175" s="331">
        <v>2</v>
      </c>
      <c r="N175" s="331">
        <v>4</v>
      </c>
      <c r="O175" s="331">
        <v>1</v>
      </c>
      <c r="P175" s="331">
        <v>2</v>
      </c>
      <c r="Q175" s="331">
        <v>0</v>
      </c>
      <c r="R175" s="332">
        <v>3</v>
      </c>
    </row>
    <row r="176" spans="1:18" ht="15.75" customHeight="1" x14ac:dyDescent="0.2">
      <c r="A176" s="329" t="s">
        <v>508</v>
      </c>
      <c r="B176" s="330">
        <v>1</v>
      </c>
      <c r="C176" s="331">
        <v>2</v>
      </c>
      <c r="D176" s="331">
        <v>3</v>
      </c>
      <c r="E176" s="331">
        <v>3</v>
      </c>
      <c r="F176" s="331">
        <v>2</v>
      </c>
      <c r="G176" s="331">
        <v>4</v>
      </c>
      <c r="H176" s="331">
        <v>1</v>
      </c>
      <c r="I176" s="331">
        <v>3</v>
      </c>
      <c r="J176" s="331">
        <v>2</v>
      </c>
      <c r="K176" s="331">
        <v>1</v>
      </c>
      <c r="L176" s="331">
        <v>3</v>
      </c>
      <c r="M176" s="331">
        <v>1</v>
      </c>
      <c r="N176" s="331">
        <v>2</v>
      </c>
      <c r="O176" s="331">
        <v>1</v>
      </c>
      <c r="P176" s="331">
        <v>2</v>
      </c>
      <c r="Q176" s="331">
        <v>3</v>
      </c>
      <c r="R176" s="332">
        <v>3</v>
      </c>
    </row>
    <row r="177" spans="1:18" ht="15.75" customHeight="1" x14ac:dyDescent="0.2">
      <c r="A177" s="329" t="s">
        <v>509</v>
      </c>
      <c r="B177" s="330">
        <v>1</v>
      </c>
      <c r="C177" s="331">
        <v>1</v>
      </c>
      <c r="D177" s="331">
        <v>2</v>
      </c>
      <c r="E177" s="331">
        <v>3</v>
      </c>
      <c r="F177" s="331">
        <v>2</v>
      </c>
      <c r="G177" s="331">
        <v>4</v>
      </c>
      <c r="H177" s="331">
        <v>1</v>
      </c>
      <c r="I177" s="331">
        <v>3</v>
      </c>
      <c r="J177" s="331">
        <v>0</v>
      </c>
      <c r="K177" s="331">
        <v>0</v>
      </c>
      <c r="L177" s="331">
        <v>0</v>
      </c>
      <c r="M177" s="331">
        <v>1</v>
      </c>
      <c r="N177" s="331">
        <v>0</v>
      </c>
      <c r="O177" s="331">
        <v>1</v>
      </c>
      <c r="P177" s="331">
        <v>2</v>
      </c>
      <c r="Q177" s="331">
        <v>4</v>
      </c>
      <c r="R177" s="332">
        <v>3</v>
      </c>
    </row>
    <row r="178" spans="1:18" ht="15.75" customHeight="1" x14ac:dyDescent="0.2">
      <c r="A178" s="329" t="s">
        <v>510</v>
      </c>
      <c r="B178" s="330">
        <v>1</v>
      </c>
      <c r="C178" s="331">
        <v>2</v>
      </c>
      <c r="D178" s="331">
        <v>3</v>
      </c>
      <c r="E178" s="331">
        <v>4</v>
      </c>
      <c r="F178" s="331">
        <v>2</v>
      </c>
      <c r="G178" s="331">
        <v>3</v>
      </c>
      <c r="H178" s="331">
        <v>1</v>
      </c>
      <c r="I178" s="331">
        <v>3</v>
      </c>
      <c r="J178" s="331">
        <v>1</v>
      </c>
      <c r="K178" s="331">
        <v>2</v>
      </c>
      <c r="L178" s="331">
        <v>1</v>
      </c>
      <c r="M178" s="331">
        <v>3</v>
      </c>
      <c r="N178" s="331">
        <v>2</v>
      </c>
      <c r="O178" s="331">
        <v>1</v>
      </c>
      <c r="P178" s="331">
        <v>2</v>
      </c>
      <c r="Q178" s="331">
        <v>2</v>
      </c>
      <c r="R178" s="332">
        <v>3</v>
      </c>
    </row>
    <row r="179" spans="1:18" ht="15.75" customHeight="1" x14ac:dyDescent="0.2">
      <c r="A179" s="329" t="s">
        <v>511</v>
      </c>
      <c r="B179" s="330">
        <v>1</v>
      </c>
      <c r="C179" s="331">
        <v>2</v>
      </c>
      <c r="D179" s="331">
        <v>1</v>
      </c>
      <c r="E179" s="331">
        <v>2</v>
      </c>
      <c r="F179" s="331">
        <v>2</v>
      </c>
      <c r="G179" s="331">
        <v>3</v>
      </c>
      <c r="H179" s="331">
        <v>2</v>
      </c>
      <c r="I179" s="331">
        <v>4</v>
      </c>
      <c r="J179" s="331">
        <v>0</v>
      </c>
      <c r="K179" s="331">
        <v>0</v>
      </c>
      <c r="L179" s="331">
        <v>1</v>
      </c>
      <c r="M179" s="331">
        <v>2</v>
      </c>
      <c r="N179" s="331">
        <v>2</v>
      </c>
      <c r="O179" s="331">
        <v>1</v>
      </c>
      <c r="P179" s="331">
        <v>2</v>
      </c>
      <c r="Q179" s="331">
        <v>4</v>
      </c>
      <c r="R179" s="332">
        <v>3</v>
      </c>
    </row>
    <row r="180" spans="1:18" ht="15.75" customHeight="1" x14ac:dyDescent="0.2">
      <c r="A180" s="329" t="s">
        <v>512</v>
      </c>
      <c r="B180" s="330">
        <v>2</v>
      </c>
      <c r="C180" s="331">
        <v>6</v>
      </c>
      <c r="D180" s="331">
        <v>8</v>
      </c>
      <c r="E180" s="331">
        <v>8</v>
      </c>
      <c r="F180" s="331">
        <v>5</v>
      </c>
      <c r="G180" s="331">
        <v>8</v>
      </c>
      <c r="H180" s="331">
        <v>3</v>
      </c>
      <c r="I180" s="331">
        <v>6</v>
      </c>
      <c r="J180" s="331">
        <v>1</v>
      </c>
      <c r="K180" s="331">
        <v>4</v>
      </c>
      <c r="L180" s="331">
        <v>3</v>
      </c>
      <c r="M180" s="331">
        <v>1</v>
      </c>
      <c r="N180" s="331">
        <v>4</v>
      </c>
      <c r="O180" s="331">
        <v>3</v>
      </c>
      <c r="P180" s="331">
        <v>6</v>
      </c>
      <c r="Q180" s="331">
        <v>6</v>
      </c>
      <c r="R180" s="332">
        <v>8</v>
      </c>
    </row>
    <row r="181" spans="1:18" ht="15.75" customHeight="1" x14ac:dyDescent="0.2">
      <c r="A181" s="329" t="s">
        <v>513</v>
      </c>
      <c r="B181" s="330">
        <v>1</v>
      </c>
      <c r="C181" s="331">
        <v>1</v>
      </c>
      <c r="D181" s="331">
        <v>2</v>
      </c>
      <c r="E181" s="331">
        <v>3</v>
      </c>
      <c r="F181" s="331">
        <v>1</v>
      </c>
      <c r="G181" s="331">
        <v>4</v>
      </c>
      <c r="H181" s="331">
        <v>2</v>
      </c>
      <c r="I181" s="331">
        <v>3</v>
      </c>
      <c r="J181" s="331">
        <v>1</v>
      </c>
      <c r="K181" s="331">
        <v>0</v>
      </c>
      <c r="L181" s="331">
        <v>1</v>
      </c>
      <c r="M181" s="331">
        <v>0</v>
      </c>
      <c r="N181" s="331">
        <v>2</v>
      </c>
      <c r="O181" s="331">
        <v>0</v>
      </c>
      <c r="P181" s="331">
        <v>1</v>
      </c>
      <c r="Q181" s="331">
        <v>3</v>
      </c>
      <c r="R181" s="332">
        <v>3</v>
      </c>
    </row>
    <row r="182" spans="1:18" ht="15.75" customHeight="1" x14ac:dyDescent="0.2">
      <c r="A182" s="329" t="s">
        <v>514</v>
      </c>
      <c r="B182" s="330">
        <v>1</v>
      </c>
      <c r="C182" s="331">
        <v>1</v>
      </c>
      <c r="D182" s="331">
        <v>3</v>
      </c>
      <c r="E182" s="331">
        <v>4</v>
      </c>
      <c r="F182" s="331">
        <v>2</v>
      </c>
      <c r="G182" s="331">
        <v>3</v>
      </c>
      <c r="H182" s="331">
        <v>4</v>
      </c>
      <c r="I182" s="331">
        <v>3</v>
      </c>
      <c r="J182" s="331">
        <v>0</v>
      </c>
      <c r="K182" s="331">
        <v>1</v>
      </c>
      <c r="L182" s="331">
        <v>0</v>
      </c>
      <c r="M182" s="331">
        <v>2</v>
      </c>
      <c r="N182" s="331">
        <v>4</v>
      </c>
      <c r="O182" s="331">
        <v>0</v>
      </c>
      <c r="P182" s="331">
        <v>2</v>
      </c>
      <c r="Q182" s="331">
        <v>1</v>
      </c>
      <c r="R182" s="332">
        <v>3</v>
      </c>
    </row>
    <row r="183" spans="1:18" ht="15.75" customHeight="1" x14ac:dyDescent="0.2">
      <c r="A183" s="329" t="s">
        <v>44</v>
      </c>
      <c r="B183" s="330">
        <v>4</v>
      </c>
      <c r="C183" s="331">
        <v>12</v>
      </c>
      <c r="D183" s="331">
        <v>16</v>
      </c>
      <c r="E183" s="331">
        <v>16</v>
      </c>
      <c r="F183" s="331">
        <v>11</v>
      </c>
      <c r="G183" s="331">
        <v>15</v>
      </c>
      <c r="H183" s="331">
        <v>7</v>
      </c>
      <c r="I183" s="331">
        <v>13</v>
      </c>
      <c r="J183" s="331">
        <v>3</v>
      </c>
      <c r="K183" s="331">
        <v>9</v>
      </c>
      <c r="L183" s="331">
        <v>5</v>
      </c>
      <c r="M183" s="331">
        <v>7</v>
      </c>
      <c r="N183" s="331">
        <v>11</v>
      </c>
      <c r="O183" s="331">
        <v>7</v>
      </c>
      <c r="P183" s="331">
        <v>11</v>
      </c>
      <c r="Q183" s="331">
        <v>15</v>
      </c>
      <c r="R183" s="332">
        <v>14</v>
      </c>
    </row>
    <row r="184" spans="1:18" ht="15.75" customHeight="1" x14ac:dyDescent="0.2">
      <c r="A184" s="329" t="s">
        <v>515</v>
      </c>
      <c r="B184" s="330">
        <v>1</v>
      </c>
      <c r="C184" s="331">
        <v>2</v>
      </c>
      <c r="D184" s="331">
        <v>3</v>
      </c>
      <c r="E184" s="331">
        <v>4</v>
      </c>
      <c r="F184" s="331">
        <v>1</v>
      </c>
      <c r="G184" s="331">
        <v>3</v>
      </c>
      <c r="H184" s="331">
        <v>4</v>
      </c>
      <c r="I184" s="331">
        <v>3</v>
      </c>
      <c r="J184" s="331">
        <v>0</v>
      </c>
      <c r="K184" s="331">
        <v>0</v>
      </c>
      <c r="L184" s="331">
        <v>1</v>
      </c>
      <c r="M184" s="331">
        <v>2</v>
      </c>
      <c r="N184" s="331">
        <v>3</v>
      </c>
      <c r="O184" s="331">
        <v>1</v>
      </c>
      <c r="P184" s="331">
        <v>2</v>
      </c>
      <c r="Q184" s="331">
        <v>1</v>
      </c>
      <c r="R184" s="332">
        <v>2</v>
      </c>
    </row>
    <row r="185" spans="1:18" ht="15.75" customHeight="1" x14ac:dyDescent="0.2">
      <c r="A185" s="329" t="s">
        <v>516</v>
      </c>
      <c r="B185" s="330">
        <v>1</v>
      </c>
      <c r="C185" s="331">
        <v>3</v>
      </c>
      <c r="D185" s="331">
        <v>4</v>
      </c>
      <c r="E185" s="331">
        <v>4</v>
      </c>
      <c r="F185" s="331">
        <v>2</v>
      </c>
      <c r="G185" s="331">
        <v>3</v>
      </c>
      <c r="H185" s="331">
        <v>1</v>
      </c>
      <c r="I185" s="331">
        <v>3</v>
      </c>
      <c r="J185" s="331">
        <v>0</v>
      </c>
      <c r="K185" s="331">
        <v>2</v>
      </c>
      <c r="L185" s="331">
        <v>0</v>
      </c>
      <c r="M185" s="331">
        <v>1</v>
      </c>
      <c r="N185" s="331">
        <v>3</v>
      </c>
      <c r="O185" s="331">
        <v>0</v>
      </c>
      <c r="P185" s="331">
        <v>2</v>
      </c>
      <c r="Q185" s="331">
        <v>4</v>
      </c>
      <c r="R185" s="332">
        <v>3</v>
      </c>
    </row>
    <row r="186" spans="1:18" ht="15.75" customHeight="1" x14ac:dyDescent="0.2">
      <c r="A186" s="329" t="s">
        <v>517</v>
      </c>
      <c r="B186" s="330">
        <v>1</v>
      </c>
      <c r="C186" s="331">
        <v>2</v>
      </c>
      <c r="D186" s="331">
        <v>3</v>
      </c>
      <c r="E186" s="331">
        <v>4</v>
      </c>
      <c r="F186" s="331">
        <v>2</v>
      </c>
      <c r="G186" s="331">
        <v>4</v>
      </c>
      <c r="H186" s="331">
        <v>3</v>
      </c>
      <c r="I186" s="331">
        <v>4</v>
      </c>
      <c r="J186" s="331">
        <v>1</v>
      </c>
      <c r="K186" s="331">
        <v>0</v>
      </c>
      <c r="L186" s="331">
        <v>1</v>
      </c>
      <c r="M186" s="331">
        <v>2</v>
      </c>
      <c r="N186" s="331">
        <v>3</v>
      </c>
      <c r="O186" s="331">
        <v>1</v>
      </c>
      <c r="P186" s="331">
        <v>2</v>
      </c>
      <c r="Q186" s="331">
        <v>3</v>
      </c>
      <c r="R186" s="332">
        <v>3</v>
      </c>
    </row>
    <row r="187" spans="1:18" ht="15.75" customHeight="1" x14ac:dyDescent="0.2">
      <c r="A187" s="329" t="s">
        <v>518</v>
      </c>
      <c r="B187" s="330">
        <v>1</v>
      </c>
      <c r="C187" s="331">
        <v>2</v>
      </c>
      <c r="D187" s="331">
        <v>3</v>
      </c>
      <c r="E187" s="331">
        <v>3</v>
      </c>
      <c r="F187" s="331">
        <v>2</v>
      </c>
      <c r="G187" s="331">
        <v>4</v>
      </c>
      <c r="H187" s="331">
        <v>1</v>
      </c>
      <c r="I187" s="331">
        <v>3</v>
      </c>
      <c r="J187" s="331">
        <v>0</v>
      </c>
      <c r="K187" s="331">
        <v>2</v>
      </c>
      <c r="L187" s="331">
        <v>1</v>
      </c>
      <c r="M187" s="331">
        <v>2</v>
      </c>
      <c r="N187" s="331">
        <v>3</v>
      </c>
      <c r="O187" s="331">
        <v>1</v>
      </c>
      <c r="P187" s="331">
        <v>2</v>
      </c>
      <c r="Q187" s="331">
        <v>1</v>
      </c>
      <c r="R187" s="332">
        <v>3</v>
      </c>
    </row>
    <row r="188" spans="1:18" ht="15.75" customHeight="1" x14ac:dyDescent="0.2">
      <c r="A188" s="329" t="s">
        <v>35</v>
      </c>
      <c r="B188" s="330">
        <v>1</v>
      </c>
      <c r="C188" s="331">
        <v>2</v>
      </c>
      <c r="D188" s="331">
        <v>3</v>
      </c>
      <c r="E188" s="331">
        <v>3</v>
      </c>
      <c r="F188" s="331">
        <v>2</v>
      </c>
      <c r="G188" s="331">
        <v>3</v>
      </c>
      <c r="H188" s="331">
        <v>2</v>
      </c>
      <c r="I188" s="331">
        <v>3</v>
      </c>
      <c r="J188" s="331">
        <v>1</v>
      </c>
      <c r="K188" s="331">
        <v>1</v>
      </c>
      <c r="L188" s="331">
        <v>4</v>
      </c>
      <c r="M188" s="331">
        <v>0</v>
      </c>
      <c r="N188" s="331">
        <v>1</v>
      </c>
      <c r="O188" s="331">
        <v>2</v>
      </c>
      <c r="P188" s="331">
        <v>2</v>
      </c>
      <c r="Q188" s="331">
        <v>4</v>
      </c>
      <c r="R188" s="332">
        <v>3</v>
      </c>
    </row>
    <row r="189" spans="1:18" ht="15.75" customHeight="1" x14ac:dyDescent="0.2">
      <c r="A189" s="329" t="s">
        <v>519</v>
      </c>
      <c r="B189" s="330">
        <v>1</v>
      </c>
      <c r="C189" s="331">
        <v>3</v>
      </c>
      <c r="D189" s="331">
        <v>4</v>
      </c>
      <c r="E189" s="331">
        <v>4</v>
      </c>
      <c r="F189" s="331">
        <v>2</v>
      </c>
      <c r="G189" s="331">
        <v>3</v>
      </c>
      <c r="H189" s="331">
        <v>3</v>
      </c>
      <c r="I189" s="331">
        <v>4</v>
      </c>
      <c r="J189" s="331">
        <v>0</v>
      </c>
      <c r="K189" s="331">
        <v>2</v>
      </c>
      <c r="L189" s="331">
        <v>0</v>
      </c>
      <c r="M189" s="331">
        <v>1</v>
      </c>
      <c r="N189" s="331">
        <v>4</v>
      </c>
      <c r="O189" s="331">
        <v>1</v>
      </c>
      <c r="P189" s="331">
        <v>2</v>
      </c>
      <c r="Q189" s="331">
        <v>0</v>
      </c>
      <c r="R189" s="332">
        <v>3</v>
      </c>
    </row>
    <row r="190" spans="1:18" ht="15.75" customHeight="1" x14ac:dyDescent="0.2">
      <c r="A190" s="329" t="s">
        <v>520</v>
      </c>
      <c r="B190" s="330">
        <v>1</v>
      </c>
      <c r="C190" s="331">
        <v>2</v>
      </c>
      <c r="D190" s="331">
        <v>3</v>
      </c>
      <c r="E190" s="331">
        <v>4</v>
      </c>
      <c r="F190" s="331">
        <v>2</v>
      </c>
      <c r="G190" s="331">
        <v>4</v>
      </c>
      <c r="H190" s="331">
        <v>3</v>
      </c>
      <c r="I190" s="331">
        <v>4</v>
      </c>
      <c r="J190" s="331">
        <v>1</v>
      </c>
      <c r="K190" s="331">
        <v>2</v>
      </c>
      <c r="L190" s="331">
        <v>3</v>
      </c>
      <c r="M190" s="331">
        <v>1</v>
      </c>
      <c r="N190" s="331">
        <v>3</v>
      </c>
      <c r="O190" s="331">
        <v>1</v>
      </c>
      <c r="P190" s="331">
        <v>3</v>
      </c>
      <c r="Q190" s="331">
        <v>2</v>
      </c>
      <c r="R190" s="332">
        <v>4</v>
      </c>
    </row>
    <row r="191" spans="1:18" ht="15.75" customHeight="1" x14ac:dyDescent="0.2">
      <c r="A191" s="329" t="s">
        <v>521</v>
      </c>
      <c r="B191" s="330">
        <v>1</v>
      </c>
      <c r="C191" s="331">
        <v>3</v>
      </c>
      <c r="D191" s="331">
        <v>4</v>
      </c>
      <c r="E191" s="331">
        <v>4</v>
      </c>
      <c r="F191" s="331">
        <v>2</v>
      </c>
      <c r="G191" s="331">
        <v>3</v>
      </c>
      <c r="H191" s="331">
        <v>1</v>
      </c>
      <c r="I191" s="331">
        <v>3</v>
      </c>
      <c r="J191" s="331">
        <v>0</v>
      </c>
      <c r="K191" s="331">
        <v>1</v>
      </c>
      <c r="L191" s="331">
        <v>2</v>
      </c>
      <c r="M191" s="331">
        <v>4</v>
      </c>
      <c r="N191" s="331">
        <v>4</v>
      </c>
      <c r="O191" s="331">
        <v>0</v>
      </c>
      <c r="P191" s="331">
        <v>1</v>
      </c>
      <c r="Q191" s="331">
        <v>3</v>
      </c>
      <c r="R191" s="332">
        <v>2</v>
      </c>
    </row>
    <row r="192" spans="1:18" ht="15.75" customHeight="1" x14ac:dyDescent="0.2">
      <c r="A192" s="329" t="s">
        <v>522</v>
      </c>
      <c r="B192" s="330">
        <v>11</v>
      </c>
      <c r="C192" s="331">
        <v>27</v>
      </c>
      <c r="D192" s="331">
        <v>38</v>
      </c>
      <c r="E192" s="331">
        <v>43</v>
      </c>
      <c r="F192" s="331">
        <v>24</v>
      </c>
      <c r="G192" s="331">
        <v>39</v>
      </c>
      <c r="H192" s="331">
        <v>23</v>
      </c>
      <c r="I192" s="331">
        <v>37</v>
      </c>
      <c r="J192" s="331">
        <v>2</v>
      </c>
      <c r="K192" s="331">
        <v>19</v>
      </c>
      <c r="L192" s="331">
        <v>6</v>
      </c>
      <c r="M192" s="331">
        <v>8</v>
      </c>
      <c r="N192" s="331">
        <v>34</v>
      </c>
      <c r="O192" s="331">
        <v>10</v>
      </c>
      <c r="P192" s="331">
        <v>26</v>
      </c>
      <c r="Q192" s="331">
        <v>8</v>
      </c>
      <c r="R192" s="332">
        <v>37</v>
      </c>
    </row>
    <row r="193" spans="1:18" ht="15.75" customHeight="1" x14ac:dyDescent="0.2">
      <c r="A193" s="329" t="s">
        <v>523</v>
      </c>
      <c r="B193" s="330">
        <v>1</v>
      </c>
      <c r="C193" s="331">
        <v>2</v>
      </c>
      <c r="D193" s="331">
        <v>3</v>
      </c>
      <c r="E193" s="331">
        <v>3</v>
      </c>
      <c r="F193" s="331">
        <v>1</v>
      </c>
      <c r="G193" s="331">
        <v>4</v>
      </c>
      <c r="H193" s="331">
        <v>2</v>
      </c>
      <c r="I193" s="331">
        <v>3</v>
      </c>
      <c r="J193" s="331">
        <v>0</v>
      </c>
      <c r="K193" s="331">
        <v>2</v>
      </c>
      <c r="L193" s="331">
        <v>1</v>
      </c>
      <c r="M193" s="331">
        <v>2</v>
      </c>
      <c r="N193" s="331">
        <v>4</v>
      </c>
      <c r="O193" s="331">
        <v>1</v>
      </c>
      <c r="P193" s="331">
        <v>1</v>
      </c>
      <c r="Q193" s="331">
        <v>3</v>
      </c>
      <c r="R193" s="332">
        <v>3</v>
      </c>
    </row>
    <row r="194" spans="1:18" ht="15.75" customHeight="1" x14ac:dyDescent="0.2">
      <c r="A194" s="329" t="s">
        <v>524</v>
      </c>
      <c r="B194" s="330">
        <v>1</v>
      </c>
      <c r="C194" s="331">
        <v>2</v>
      </c>
      <c r="D194" s="331">
        <v>3</v>
      </c>
      <c r="E194" s="331">
        <v>4</v>
      </c>
      <c r="F194" s="331">
        <v>2</v>
      </c>
      <c r="G194" s="331">
        <v>4</v>
      </c>
      <c r="H194" s="331">
        <v>1</v>
      </c>
      <c r="I194" s="331">
        <v>4</v>
      </c>
      <c r="J194" s="331">
        <v>2</v>
      </c>
      <c r="K194" s="331">
        <v>0</v>
      </c>
      <c r="L194" s="331">
        <v>4</v>
      </c>
      <c r="M194" s="331">
        <v>1</v>
      </c>
      <c r="N194" s="331">
        <v>2</v>
      </c>
      <c r="O194" s="331">
        <v>2</v>
      </c>
      <c r="P194" s="331">
        <v>3</v>
      </c>
      <c r="Q194" s="331">
        <v>4</v>
      </c>
      <c r="R194" s="332">
        <v>3</v>
      </c>
    </row>
    <row r="195" spans="1:18" ht="15.75" customHeight="1" x14ac:dyDescent="0.2">
      <c r="A195" s="329" t="s">
        <v>525</v>
      </c>
      <c r="B195" s="330">
        <v>1</v>
      </c>
      <c r="C195" s="331">
        <v>3</v>
      </c>
      <c r="D195" s="331">
        <v>4</v>
      </c>
      <c r="E195" s="331">
        <v>4</v>
      </c>
      <c r="F195" s="331">
        <v>3</v>
      </c>
      <c r="G195" s="331">
        <v>2</v>
      </c>
      <c r="H195" s="331">
        <v>1</v>
      </c>
      <c r="I195" s="331">
        <v>4</v>
      </c>
      <c r="J195" s="331">
        <v>1</v>
      </c>
      <c r="K195" s="331">
        <v>0</v>
      </c>
      <c r="L195" s="331">
        <v>2</v>
      </c>
      <c r="M195" s="331">
        <v>3</v>
      </c>
      <c r="N195" s="331">
        <v>4</v>
      </c>
      <c r="O195" s="331">
        <v>1</v>
      </c>
      <c r="P195" s="331">
        <v>3</v>
      </c>
      <c r="Q195" s="331">
        <v>0</v>
      </c>
      <c r="R195" s="332">
        <v>4</v>
      </c>
    </row>
    <row r="196" spans="1:18" ht="15.75" customHeight="1" x14ac:dyDescent="0.2">
      <c r="A196" s="329" t="s">
        <v>526</v>
      </c>
      <c r="B196" s="330">
        <v>1</v>
      </c>
      <c r="C196" s="331">
        <v>2</v>
      </c>
      <c r="D196" s="331">
        <v>3</v>
      </c>
      <c r="E196" s="331">
        <v>4</v>
      </c>
      <c r="F196" s="331">
        <v>2</v>
      </c>
      <c r="G196" s="331">
        <v>4</v>
      </c>
      <c r="H196" s="331">
        <v>1</v>
      </c>
      <c r="I196" s="331">
        <v>3</v>
      </c>
      <c r="J196" s="331">
        <v>1</v>
      </c>
      <c r="K196" s="331">
        <v>0</v>
      </c>
      <c r="L196" s="331">
        <v>2</v>
      </c>
      <c r="M196" s="331">
        <v>1</v>
      </c>
      <c r="N196" s="331">
        <v>2</v>
      </c>
      <c r="O196" s="331">
        <v>1</v>
      </c>
      <c r="P196" s="331">
        <v>2</v>
      </c>
      <c r="Q196" s="331">
        <v>4</v>
      </c>
      <c r="R196" s="332">
        <v>4</v>
      </c>
    </row>
    <row r="197" spans="1:18" ht="15.75" customHeight="1" x14ac:dyDescent="0.2">
      <c r="A197" s="329" t="s">
        <v>527</v>
      </c>
      <c r="B197" s="330">
        <v>1</v>
      </c>
      <c r="C197" s="331">
        <v>2</v>
      </c>
      <c r="D197" s="331">
        <v>3</v>
      </c>
      <c r="E197" s="331">
        <v>4</v>
      </c>
      <c r="F197" s="331">
        <v>2</v>
      </c>
      <c r="G197" s="331">
        <v>4</v>
      </c>
      <c r="H197" s="331">
        <v>3</v>
      </c>
      <c r="I197" s="331">
        <v>4</v>
      </c>
      <c r="J197" s="331">
        <v>1</v>
      </c>
      <c r="K197" s="331">
        <v>2</v>
      </c>
      <c r="L197" s="331">
        <v>1</v>
      </c>
      <c r="M197" s="331">
        <v>3</v>
      </c>
      <c r="N197" s="331">
        <v>2</v>
      </c>
      <c r="O197" s="331">
        <v>1</v>
      </c>
      <c r="P197" s="331">
        <v>2</v>
      </c>
      <c r="Q197" s="331">
        <v>3</v>
      </c>
      <c r="R197" s="332">
        <v>4</v>
      </c>
    </row>
    <row r="198" spans="1:18" ht="15.75" customHeight="1" x14ac:dyDescent="0.2">
      <c r="A198" s="329" t="s">
        <v>56</v>
      </c>
      <c r="B198" s="330">
        <v>2</v>
      </c>
      <c r="C198" s="331">
        <v>4</v>
      </c>
      <c r="D198" s="331">
        <v>6</v>
      </c>
      <c r="E198" s="331">
        <v>8</v>
      </c>
      <c r="F198" s="331">
        <v>4</v>
      </c>
      <c r="G198" s="331">
        <v>6</v>
      </c>
      <c r="H198" s="331">
        <v>5</v>
      </c>
      <c r="I198" s="331">
        <v>7</v>
      </c>
      <c r="J198" s="331">
        <v>4</v>
      </c>
      <c r="K198" s="331">
        <v>3</v>
      </c>
      <c r="L198" s="331">
        <v>8</v>
      </c>
      <c r="M198" s="331">
        <v>3</v>
      </c>
      <c r="N198" s="331">
        <v>2</v>
      </c>
      <c r="O198" s="331">
        <v>3</v>
      </c>
      <c r="P198" s="331">
        <v>3</v>
      </c>
      <c r="Q198" s="331">
        <v>6</v>
      </c>
      <c r="R198" s="332">
        <v>6</v>
      </c>
    </row>
    <row r="199" spans="1:18" ht="15.75" customHeight="1" x14ac:dyDescent="0.2">
      <c r="A199" s="329" t="s">
        <v>528</v>
      </c>
      <c r="B199" s="330">
        <v>1</v>
      </c>
      <c r="C199" s="331">
        <v>3</v>
      </c>
      <c r="D199" s="331">
        <v>2</v>
      </c>
      <c r="E199" s="331">
        <v>3</v>
      </c>
      <c r="F199" s="331">
        <v>1</v>
      </c>
      <c r="G199" s="331">
        <v>4</v>
      </c>
      <c r="H199" s="331">
        <v>1</v>
      </c>
      <c r="I199" s="331">
        <v>3</v>
      </c>
      <c r="J199" s="331">
        <v>0</v>
      </c>
      <c r="K199" s="331">
        <v>4</v>
      </c>
      <c r="L199" s="331">
        <v>1</v>
      </c>
      <c r="M199" s="331">
        <v>3</v>
      </c>
      <c r="N199" s="331">
        <v>2</v>
      </c>
      <c r="O199" s="331">
        <v>0</v>
      </c>
      <c r="P199" s="331">
        <v>2</v>
      </c>
      <c r="Q199" s="331">
        <v>4</v>
      </c>
      <c r="R199" s="332">
        <v>3</v>
      </c>
    </row>
    <row r="200" spans="1:18" ht="15.75" customHeight="1" x14ac:dyDescent="0.2">
      <c r="A200" s="329" t="s">
        <v>529</v>
      </c>
      <c r="B200" s="330">
        <v>1</v>
      </c>
      <c r="C200" s="331">
        <v>2</v>
      </c>
      <c r="D200" s="331">
        <v>3</v>
      </c>
      <c r="E200" s="331">
        <v>4</v>
      </c>
      <c r="F200" s="331">
        <v>1</v>
      </c>
      <c r="G200" s="331">
        <v>4</v>
      </c>
      <c r="H200" s="331">
        <v>2</v>
      </c>
      <c r="I200" s="331">
        <v>3</v>
      </c>
      <c r="J200" s="331">
        <v>1</v>
      </c>
      <c r="K200" s="331">
        <v>2</v>
      </c>
      <c r="L200" s="331">
        <v>1</v>
      </c>
      <c r="M200" s="331">
        <v>1</v>
      </c>
      <c r="N200" s="331">
        <v>3</v>
      </c>
      <c r="O200" s="331">
        <v>0</v>
      </c>
      <c r="P200" s="331">
        <v>2</v>
      </c>
      <c r="Q200" s="331">
        <v>3</v>
      </c>
      <c r="R200" s="332">
        <v>3</v>
      </c>
    </row>
    <row r="201" spans="1:18" ht="15.75" customHeight="1" x14ac:dyDescent="0.2">
      <c r="A201" s="329" t="s">
        <v>530</v>
      </c>
      <c r="B201" s="330">
        <v>1</v>
      </c>
      <c r="C201" s="331">
        <v>3</v>
      </c>
      <c r="D201" s="331">
        <v>4</v>
      </c>
      <c r="E201" s="331">
        <v>4</v>
      </c>
      <c r="F201" s="331">
        <v>2</v>
      </c>
      <c r="G201" s="331">
        <v>4</v>
      </c>
      <c r="H201" s="331">
        <v>1</v>
      </c>
      <c r="I201" s="331">
        <v>3</v>
      </c>
      <c r="J201" s="331">
        <v>0</v>
      </c>
      <c r="K201" s="331">
        <v>2</v>
      </c>
      <c r="L201" s="331">
        <v>0</v>
      </c>
      <c r="M201" s="331">
        <v>1</v>
      </c>
      <c r="N201" s="331">
        <v>3</v>
      </c>
      <c r="O201" s="331">
        <v>1</v>
      </c>
      <c r="P201" s="331">
        <v>2</v>
      </c>
      <c r="Q201" s="331">
        <v>0</v>
      </c>
      <c r="R201" s="332">
        <v>3</v>
      </c>
    </row>
    <row r="202" spans="1:18" ht="15.75" customHeight="1" x14ac:dyDescent="0.2">
      <c r="A202" s="329" t="s">
        <v>531</v>
      </c>
      <c r="B202" s="330">
        <v>1</v>
      </c>
      <c r="C202" s="331">
        <v>2</v>
      </c>
      <c r="D202" s="331">
        <v>3</v>
      </c>
      <c r="E202" s="331">
        <v>4</v>
      </c>
      <c r="F202" s="331">
        <v>2</v>
      </c>
      <c r="G202" s="331">
        <v>3</v>
      </c>
      <c r="H202" s="331">
        <v>1</v>
      </c>
      <c r="I202" s="331">
        <v>4</v>
      </c>
      <c r="J202" s="331">
        <v>0</v>
      </c>
      <c r="K202" s="331">
        <v>1</v>
      </c>
      <c r="L202" s="331">
        <v>2</v>
      </c>
      <c r="M202" s="331">
        <v>0</v>
      </c>
      <c r="N202" s="331">
        <v>3</v>
      </c>
      <c r="O202" s="331">
        <v>1</v>
      </c>
      <c r="P202" s="331">
        <v>2</v>
      </c>
      <c r="Q202" s="331">
        <v>0</v>
      </c>
      <c r="R202" s="332">
        <v>3</v>
      </c>
    </row>
    <row r="203" spans="1:18" ht="15.75" customHeight="1" x14ac:dyDescent="0.2">
      <c r="A203" s="329" t="s">
        <v>532</v>
      </c>
      <c r="B203" s="330">
        <v>1</v>
      </c>
      <c r="C203" s="331">
        <v>2</v>
      </c>
      <c r="D203" s="331">
        <v>3</v>
      </c>
      <c r="E203" s="331">
        <v>4</v>
      </c>
      <c r="F203" s="331">
        <v>2</v>
      </c>
      <c r="G203" s="331">
        <v>4</v>
      </c>
      <c r="H203" s="331">
        <v>3</v>
      </c>
      <c r="I203" s="331">
        <v>4</v>
      </c>
      <c r="J203" s="331">
        <v>0</v>
      </c>
      <c r="K203" s="331">
        <v>1</v>
      </c>
      <c r="L203" s="331">
        <v>0</v>
      </c>
      <c r="M203" s="331">
        <v>2</v>
      </c>
      <c r="N203" s="331">
        <v>3</v>
      </c>
      <c r="O203" s="331">
        <v>1</v>
      </c>
      <c r="P203" s="331">
        <v>2</v>
      </c>
      <c r="Q203" s="331">
        <v>0</v>
      </c>
      <c r="R203" s="332">
        <v>3</v>
      </c>
    </row>
    <row r="204" spans="1:18" ht="15.75" customHeight="1" x14ac:dyDescent="0.2">
      <c r="A204" s="329" t="s">
        <v>533</v>
      </c>
      <c r="B204" s="330">
        <v>1</v>
      </c>
      <c r="C204" s="331">
        <v>2</v>
      </c>
      <c r="D204" s="331">
        <v>3</v>
      </c>
      <c r="E204" s="331">
        <v>4</v>
      </c>
      <c r="F204" s="331">
        <v>2</v>
      </c>
      <c r="G204" s="331">
        <v>4</v>
      </c>
      <c r="H204" s="331">
        <v>1</v>
      </c>
      <c r="I204" s="331">
        <v>4</v>
      </c>
      <c r="J204" s="331">
        <v>1</v>
      </c>
      <c r="K204" s="331">
        <v>2</v>
      </c>
      <c r="L204" s="331">
        <v>3</v>
      </c>
      <c r="M204" s="331">
        <v>2</v>
      </c>
      <c r="N204" s="331">
        <v>3</v>
      </c>
      <c r="O204" s="331">
        <v>1</v>
      </c>
      <c r="P204" s="331">
        <v>2</v>
      </c>
      <c r="Q204" s="331">
        <v>4</v>
      </c>
      <c r="R204" s="332">
        <v>3</v>
      </c>
    </row>
    <row r="205" spans="1:18" ht="15.75" customHeight="1" x14ac:dyDescent="0.2">
      <c r="A205" s="329" t="s">
        <v>534</v>
      </c>
      <c r="B205" s="330">
        <v>4</v>
      </c>
      <c r="C205" s="331">
        <v>10</v>
      </c>
      <c r="D205" s="331">
        <v>14</v>
      </c>
      <c r="E205" s="331">
        <v>15</v>
      </c>
      <c r="F205" s="331">
        <v>10</v>
      </c>
      <c r="G205" s="331">
        <v>15</v>
      </c>
      <c r="H205" s="331">
        <v>9</v>
      </c>
      <c r="I205" s="331">
        <v>13</v>
      </c>
      <c r="J205" s="331">
        <v>3</v>
      </c>
      <c r="K205" s="331">
        <v>7</v>
      </c>
      <c r="L205" s="331">
        <v>4</v>
      </c>
      <c r="M205" s="331">
        <v>7</v>
      </c>
      <c r="N205" s="331">
        <v>11</v>
      </c>
      <c r="O205" s="331">
        <v>5</v>
      </c>
      <c r="P205" s="331">
        <v>12</v>
      </c>
      <c r="Q205" s="331">
        <v>9</v>
      </c>
      <c r="R205" s="332">
        <v>15</v>
      </c>
    </row>
    <row r="206" spans="1:18" ht="15.75" customHeight="1" x14ac:dyDescent="0.2">
      <c r="A206" s="329" t="s">
        <v>535</v>
      </c>
      <c r="B206" s="330">
        <v>1</v>
      </c>
      <c r="C206" s="331">
        <v>3</v>
      </c>
      <c r="D206" s="331">
        <v>4</v>
      </c>
      <c r="E206" s="331">
        <v>4</v>
      </c>
      <c r="F206" s="331">
        <v>3</v>
      </c>
      <c r="G206" s="331">
        <v>4</v>
      </c>
      <c r="H206" s="331">
        <v>2</v>
      </c>
      <c r="I206" s="331">
        <v>4</v>
      </c>
      <c r="J206" s="331">
        <v>1</v>
      </c>
      <c r="K206" s="331">
        <v>3</v>
      </c>
      <c r="L206" s="331">
        <v>2</v>
      </c>
      <c r="M206" s="331">
        <v>1</v>
      </c>
      <c r="N206" s="331">
        <v>2</v>
      </c>
      <c r="O206" s="331">
        <v>1</v>
      </c>
      <c r="P206" s="331">
        <v>3</v>
      </c>
      <c r="Q206" s="331">
        <v>4</v>
      </c>
      <c r="R206" s="332">
        <v>4</v>
      </c>
    </row>
    <row r="207" spans="1:18" ht="15.75" customHeight="1" x14ac:dyDescent="0.2">
      <c r="A207" s="329" t="s">
        <v>536</v>
      </c>
      <c r="B207" s="330">
        <v>1</v>
      </c>
      <c r="C207" s="331">
        <v>2</v>
      </c>
      <c r="D207" s="331">
        <v>3</v>
      </c>
      <c r="E207" s="331">
        <v>4</v>
      </c>
      <c r="F207" s="331">
        <v>1</v>
      </c>
      <c r="G207" s="331">
        <v>3</v>
      </c>
      <c r="H207" s="331">
        <v>2</v>
      </c>
      <c r="I207" s="331">
        <v>3</v>
      </c>
      <c r="J207" s="331">
        <v>0</v>
      </c>
      <c r="K207" s="331">
        <v>3</v>
      </c>
      <c r="L207" s="331">
        <v>1</v>
      </c>
      <c r="M207" s="331">
        <v>0</v>
      </c>
      <c r="N207" s="331">
        <v>4</v>
      </c>
      <c r="O207" s="331">
        <v>0</v>
      </c>
      <c r="P207" s="331">
        <v>1</v>
      </c>
      <c r="Q207" s="331">
        <v>2</v>
      </c>
      <c r="R207" s="332">
        <v>2</v>
      </c>
    </row>
    <row r="208" spans="1:18" ht="15.75" customHeight="1" x14ac:dyDescent="0.2">
      <c r="A208" s="329" t="s">
        <v>537</v>
      </c>
      <c r="B208" s="330">
        <v>1</v>
      </c>
      <c r="C208" s="331">
        <v>3</v>
      </c>
      <c r="D208" s="331">
        <v>4</v>
      </c>
      <c r="E208" s="331">
        <v>4</v>
      </c>
      <c r="F208" s="331">
        <v>2</v>
      </c>
      <c r="G208" s="331">
        <v>3</v>
      </c>
      <c r="H208" s="331">
        <v>1</v>
      </c>
      <c r="I208" s="331">
        <v>3</v>
      </c>
      <c r="J208" s="331">
        <v>0</v>
      </c>
      <c r="K208" s="331">
        <v>2</v>
      </c>
      <c r="L208" s="331">
        <v>0</v>
      </c>
      <c r="M208" s="331">
        <v>1</v>
      </c>
      <c r="N208" s="331">
        <v>3</v>
      </c>
      <c r="O208" s="331">
        <v>0</v>
      </c>
      <c r="P208" s="331">
        <v>2</v>
      </c>
      <c r="Q208" s="331">
        <v>0</v>
      </c>
      <c r="R208" s="332">
        <v>3</v>
      </c>
    </row>
    <row r="209" spans="1:18" ht="15.75" customHeight="1" x14ac:dyDescent="0.2">
      <c r="A209" s="329" t="s">
        <v>538</v>
      </c>
      <c r="B209" s="330">
        <v>1</v>
      </c>
      <c r="C209" s="331">
        <v>1</v>
      </c>
      <c r="D209" s="331">
        <v>2</v>
      </c>
      <c r="E209" s="331">
        <v>3</v>
      </c>
      <c r="F209" s="331">
        <v>1</v>
      </c>
      <c r="G209" s="331">
        <v>4</v>
      </c>
      <c r="H209" s="331">
        <v>2</v>
      </c>
      <c r="I209" s="331">
        <v>3</v>
      </c>
      <c r="J209" s="331">
        <v>1</v>
      </c>
      <c r="K209" s="331">
        <v>1</v>
      </c>
      <c r="L209" s="331">
        <v>2</v>
      </c>
      <c r="M209" s="331">
        <v>3</v>
      </c>
      <c r="N209" s="331">
        <v>3</v>
      </c>
      <c r="O209" s="331">
        <v>1</v>
      </c>
      <c r="P209" s="331">
        <v>2</v>
      </c>
      <c r="Q209" s="331">
        <v>4</v>
      </c>
      <c r="R209" s="332">
        <v>3</v>
      </c>
    </row>
    <row r="210" spans="1:18" ht="15.75" customHeight="1" x14ac:dyDescent="0.2">
      <c r="A210" s="329" t="s">
        <v>539</v>
      </c>
      <c r="B210" s="330">
        <v>1</v>
      </c>
      <c r="C210" s="331">
        <v>2</v>
      </c>
      <c r="D210" s="331">
        <v>3</v>
      </c>
      <c r="E210" s="331">
        <v>4</v>
      </c>
      <c r="F210" s="331">
        <v>1</v>
      </c>
      <c r="G210" s="331">
        <v>3</v>
      </c>
      <c r="H210" s="331">
        <v>2</v>
      </c>
      <c r="I210" s="331">
        <v>4</v>
      </c>
      <c r="J210" s="331">
        <v>2</v>
      </c>
      <c r="K210" s="331">
        <v>1</v>
      </c>
      <c r="L210" s="331">
        <v>1</v>
      </c>
      <c r="M210" s="331">
        <v>3</v>
      </c>
      <c r="N210" s="331">
        <v>3</v>
      </c>
      <c r="O210" s="331">
        <v>1</v>
      </c>
      <c r="P210" s="331">
        <v>2</v>
      </c>
      <c r="Q210" s="331">
        <v>1</v>
      </c>
      <c r="R210" s="332">
        <v>3</v>
      </c>
    </row>
    <row r="211" spans="1:18" ht="15.75" customHeight="1" x14ac:dyDescent="0.2">
      <c r="A211" s="329" t="s">
        <v>540</v>
      </c>
      <c r="B211" s="330">
        <v>2</v>
      </c>
      <c r="C211" s="331">
        <v>4</v>
      </c>
      <c r="D211" s="331">
        <v>6</v>
      </c>
      <c r="E211" s="331">
        <v>8</v>
      </c>
      <c r="F211" s="331">
        <v>3</v>
      </c>
      <c r="G211" s="331">
        <v>8</v>
      </c>
      <c r="H211" s="331">
        <v>3</v>
      </c>
      <c r="I211" s="331">
        <v>6</v>
      </c>
      <c r="J211" s="331">
        <v>1</v>
      </c>
      <c r="K211" s="331">
        <v>4</v>
      </c>
      <c r="L211" s="331">
        <v>4</v>
      </c>
      <c r="M211" s="331">
        <v>4</v>
      </c>
      <c r="N211" s="331">
        <v>6</v>
      </c>
      <c r="O211" s="331">
        <v>2</v>
      </c>
      <c r="P211" s="331">
        <v>4</v>
      </c>
      <c r="Q211" s="331">
        <v>7</v>
      </c>
      <c r="R211" s="332">
        <v>6</v>
      </c>
    </row>
    <row r="212" spans="1:18" ht="15.75" customHeight="1" x14ac:dyDescent="0.2">
      <c r="A212" s="329" t="s">
        <v>541</v>
      </c>
      <c r="B212" s="330">
        <v>1</v>
      </c>
      <c r="C212" s="331">
        <v>2</v>
      </c>
      <c r="D212" s="331">
        <v>3</v>
      </c>
      <c r="E212" s="331">
        <v>4</v>
      </c>
      <c r="F212" s="331">
        <v>1</v>
      </c>
      <c r="G212" s="331">
        <v>3</v>
      </c>
      <c r="H212" s="331">
        <v>2</v>
      </c>
      <c r="I212" s="331">
        <v>4</v>
      </c>
      <c r="J212" s="331">
        <v>0</v>
      </c>
      <c r="K212" s="331">
        <v>1</v>
      </c>
      <c r="L212" s="331">
        <v>0</v>
      </c>
      <c r="M212" s="331">
        <v>2</v>
      </c>
      <c r="N212" s="331">
        <v>4</v>
      </c>
      <c r="O212" s="331">
        <v>0</v>
      </c>
      <c r="P212" s="331">
        <v>3</v>
      </c>
      <c r="Q212" s="331">
        <v>0</v>
      </c>
      <c r="R212" s="332">
        <v>2</v>
      </c>
    </row>
    <row r="213" spans="1:18" ht="15.75" customHeight="1" x14ac:dyDescent="0.2">
      <c r="A213" s="329" t="s">
        <v>542</v>
      </c>
      <c r="B213" s="330">
        <v>1</v>
      </c>
      <c r="C213" s="331">
        <v>2</v>
      </c>
      <c r="D213" s="331">
        <v>3</v>
      </c>
      <c r="E213" s="331">
        <v>4</v>
      </c>
      <c r="F213" s="331">
        <v>2</v>
      </c>
      <c r="G213" s="331">
        <v>3</v>
      </c>
      <c r="H213" s="331">
        <v>4</v>
      </c>
      <c r="I213" s="331">
        <v>4</v>
      </c>
      <c r="J213" s="331">
        <v>2</v>
      </c>
      <c r="K213" s="331">
        <v>1</v>
      </c>
      <c r="L213" s="331">
        <v>3</v>
      </c>
      <c r="M213" s="331">
        <v>3</v>
      </c>
      <c r="N213" s="331">
        <v>1</v>
      </c>
      <c r="O213" s="331">
        <v>1</v>
      </c>
      <c r="P213" s="331">
        <v>2</v>
      </c>
      <c r="Q213" s="331">
        <v>1</v>
      </c>
      <c r="R213" s="332">
        <v>3</v>
      </c>
    </row>
    <row r="214" spans="1:18" ht="15.75" customHeight="1" x14ac:dyDescent="0.2">
      <c r="A214" s="329" t="s">
        <v>543</v>
      </c>
      <c r="B214" s="330">
        <v>2</v>
      </c>
      <c r="C214" s="331">
        <v>4</v>
      </c>
      <c r="D214" s="331">
        <v>6</v>
      </c>
      <c r="E214" s="331">
        <v>7</v>
      </c>
      <c r="F214" s="331">
        <v>3</v>
      </c>
      <c r="G214" s="331">
        <v>7</v>
      </c>
      <c r="H214" s="331">
        <v>4</v>
      </c>
      <c r="I214" s="331">
        <v>8</v>
      </c>
      <c r="J214" s="331">
        <v>1</v>
      </c>
      <c r="K214" s="331">
        <v>0</v>
      </c>
      <c r="L214" s="331">
        <v>5</v>
      </c>
      <c r="M214" s="331">
        <v>0</v>
      </c>
      <c r="N214" s="331">
        <v>7</v>
      </c>
      <c r="O214" s="331">
        <v>1</v>
      </c>
      <c r="P214" s="331">
        <v>3</v>
      </c>
      <c r="Q214" s="331">
        <v>7</v>
      </c>
      <c r="R214" s="332">
        <v>5</v>
      </c>
    </row>
    <row r="215" spans="1:18" ht="15.75" customHeight="1" x14ac:dyDescent="0.2">
      <c r="A215" s="329" t="s">
        <v>544</v>
      </c>
      <c r="B215" s="330">
        <v>1</v>
      </c>
      <c r="C215" s="331">
        <v>3</v>
      </c>
      <c r="D215" s="331">
        <v>4</v>
      </c>
      <c r="E215" s="331">
        <v>4</v>
      </c>
      <c r="F215" s="331">
        <v>3</v>
      </c>
      <c r="G215" s="331">
        <v>4</v>
      </c>
      <c r="H215" s="331">
        <v>2</v>
      </c>
      <c r="I215" s="331">
        <v>4</v>
      </c>
      <c r="J215" s="331">
        <v>1</v>
      </c>
      <c r="K215" s="331">
        <v>2</v>
      </c>
      <c r="L215" s="331">
        <v>1</v>
      </c>
      <c r="M215" s="331">
        <v>3</v>
      </c>
      <c r="N215" s="331">
        <v>4</v>
      </c>
      <c r="O215" s="331">
        <v>1</v>
      </c>
      <c r="P215" s="331">
        <v>3</v>
      </c>
      <c r="Q215" s="331">
        <v>2</v>
      </c>
      <c r="R215" s="332">
        <v>4</v>
      </c>
    </row>
    <row r="216" spans="1:18" ht="15.75" customHeight="1" x14ac:dyDescent="0.2">
      <c r="A216" s="329" t="s">
        <v>16</v>
      </c>
      <c r="B216" s="330">
        <v>1</v>
      </c>
      <c r="C216" s="331">
        <v>3</v>
      </c>
      <c r="D216" s="331">
        <v>4</v>
      </c>
      <c r="E216" s="331">
        <v>4</v>
      </c>
      <c r="F216" s="331">
        <v>3</v>
      </c>
      <c r="G216" s="331">
        <v>4</v>
      </c>
      <c r="H216" s="331">
        <v>2</v>
      </c>
      <c r="I216" s="331">
        <v>3</v>
      </c>
      <c r="J216" s="331">
        <v>1</v>
      </c>
      <c r="K216" s="331">
        <v>2</v>
      </c>
      <c r="L216" s="331">
        <v>0</v>
      </c>
      <c r="M216" s="331">
        <v>3</v>
      </c>
      <c r="N216" s="331">
        <v>4</v>
      </c>
      <c r="O216" s="331">
        <v>1</v>
      </c>
      <c r="P216" s="331">
        <v>2</v>
      </c>
      <c r="Q216" s="331">
        <v>1</v>
      </c>
      <c r="R216" s="332">
        <v>4</v>
      </c>
    </row>
    <row r="217" spans="1:18" ht="15.75" customHeight="1" x14ac:dyDescent="0.2">
      <c r="A217" s="329" t="s">
        <v>545</v>
      </c>
      <c r="B217" s="330">
        <v>1</v>
      </c>
      <c r="C217" s="331">
        <v>3</v>
      </c>
      <c r="D217" s="331">
        <v>4</v>
      </c>
      <c r="E217" s="331">
        <v>4</v>
      </c>
      <c r="F217" s="331">
        <v>3</v>
      </c>
      <c r="G217" s="331">
        <v>4</v>
      </c>
      <c r="H217" s="331">
        <v>2</v>
      </c>
      <c r="I217" s="331">
        <v>4</v>
      </c>
      <c r="J217" s="331">
        <v>1</v>
      </c>
      <c r="K217" s="331">
        <v>0</v>
      </c>
      <c r="L217" s="331">
        <v>3</v>
      </c>
      <c r="M217" s="331">
        <v>2</v>
      </c>
      <c r="N217" s="331">
        <v>1</v>
      </c>
      <c r="O217" s="331">
        <v>1</v>
      </c>
      <c r="P217" s="331">
        <v>3</v>
      </c>
      <c r="Q217" s="331">
        <v>4</v>
      </c>
      <c r="R217" s="332">
        <v>4</v>
      </c>
    </row>
    <row r="218" spans="1:18" ht="15.75" customHeight="1" x14ac:dyDescent="0.2">
      <c r="A218" s="329" t="s">
        <v>58</v>
      </c>
      <c r="B218" s="330">
        <v>1</v>
      </c>
      <c r="C218" s="331">
        <v>2</v>
      </c>
      <c r="D218" s="331">
        <v>3</v>
      </c>
      <c r="E218" s="331">
        <v>4</v>
      </c>
      <c r="F218" s="331">
        <v>1</v>
      </c>
      <c r="G218" s="331">
        <v>3</v>
      </c>
      <c r="H218" s="331">
        <v>2</v>
      </c>
      <c r="I218" s="331">
        <v>4</v>
      </c>
      <c r="J218" s="331">
        <v>3</v>
      </c>
      <c r="K218" s="331">
        <v>1</v>
      </c>
      <c r="L218" s="331">
        <v>4</v>
      </c>
      <c r="M218" s="331">
        <v>2</v>
      </c>
      <c r="N218" s="331">
        <v>1</v>
      </c>
      <c r="O218" s="331">
        <v>2</v>
      </c>
      <c r="P218" s="331">
        <v>2</v>
      </c>
      <c r="Q218" s="331">
        <v>4</v>
      </c>
      <c r="R218" s="332">
        <v>3</v>
      </c>
    </row>
    <row r="219" spans="1:18" ht="15.75" customHeight="1" x14ac:dyDescent="0.2">
      <c r="A219" s="333" t="s">
        <v>335</v>
      </c>
      <c r="B219" s="334">
        <v>306</v>
      </c>
      <c r="C219" s="335">
        <v>720</v>
      </c>
      <c r="D219" s="335">
        <v>1017</v>
      </c>
      <c r="E219" s="335">
        <v>1161</v>
      </c>
      <c r="F219" s="335">
        <v>621</v>
      </c>
      <c r="G219" s="335">
        <v>1066</v>
      </c>
      <c r="H219" s="335">
        <v>622</v>
      </c>
      <c r="I219" s="335">
        <v>980</v>
      </c>
      <c r="J219" s="335">
        <v>201</v>
      </c>
      <c r="K219" s="335">
        <v>520</v>
      </c>
      <c r="L219" s="335">
        <v>394</v>
      </c>
      <c r="M219" s="335">
        <v>476</v>
      </c>
      <c r="N219" s="335">
        <v>825</v>
      </c>
      <c r="O219" s="335">
        <v>309</v>
      </c>
      <c r="P219" s="335">
        <v>699</v>
      </c>
      <c r="Q219" s="335">
        <v>627</v>
      </c>
      <c r="R219" s="336">
        <v>995</v>
      </c>
    </row>
    <row r="220" spans="1:18" ht="15.75" customHeight="1" x14ac:dyDescent="0.2"/>
    <row r="221" spans="1:18" ht="15.75" customHeight="1" x14ac:dyDescent="0.2"/>
    <row r="222" spans="1:18" ht="15.75" customHeight="1" x14ac:dyDescent="0.2"/>
    <row r="223" spans="1:18" ht="15.75" customHeight="1" x14ac:dyDescent="0.2"/>
    <row r="224" spans="1:1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000"/>
  <sheetViews>
    <sheetView workbookViewId="0"/>
  </sheetViews>
  <sheetFormatPr baseColWidth="10" defaultColWidth="14.5" defaultRowHeight="15" customHeight="1" x14ac:dyDescent="0.2"/>
  <cols>
    <col min="1" max="1" width="16.83203125" customWidth="1"/>
    <col min="2" max="2" width="10.6640625" customWidth="1"/>
    <col min="3" max="3" width="10.5" customWidth="1"/>
    <col min="4" max="38" width="10.6640625" customWidth="1"/>
  </cols>
  <sheetData>
    <row r="1" spans="1:18" ht="64" x14ac:dyDescent="0.2">
      <c r="A1" s="6" t="s">
        <v>2</v>
      </c>
      <c r="B1" s="243" t="s">
        <v>546</v>
      </c>
      <c r="C1" s="244" t="s">
        <v>547</v>
      </c>
      <c r="D1" s="245" t="s">
        <v>548</v>
      </c>
      <c r="E1" s="245" t="s">
        <v>549</v>
      </c>
      <c r="F1" s="246" t="s">
        <v>550</v>
      </c>
      <c r="G1" s="244" t="s">
        <v>551</v>
      </c>
      <c r="H1" s="245" t="s">
        <v>552</v>
      </c>
      <c r="I1" s="245" t="s">
        <v>553</v>
      </c>
      <c r="J1" s="246" t="s">
        <v>554</v>
      </c>
      <c r="K1" s="247" t="s">
        <v>555</v>
      </c>
      <c r="L1" s="247" t="s">
        <v>556</v>
      </c>
      <c r="M1" s="243" t="s">
        <v>557</v>
      </c>
      <c r="N1" s="244" t="s">
        <v>558</v>
      </c>
      <c r="O1" s="245" t="s">
        <v>559</v>
      </c>
      <c r="P1" s="245" t="s">
        <v>560</v>
      </c>
      <c r="Q1" s="245" t="s">
        <v>561</v>
      </c>
      <c r="R1" s="246" t="s">
        <v>562</v>
      </c>
    </row>
    <row r="2" spans="1:18" x14ac:dyDescent="0.2">
      <c r="A2" s="242" t="s">
        <v>365</v>
      </c>
      <c r="B2" s="6">
        <v>5</v>
      </c>
      <c r="C2" s="248">
        <v>14</v>
      </c>
      <c r="D2" s="6">
        <v>19</v>
      </c>
      <c r="E2" s="6">
        <v>19</v>
      </c>
      <c r="F2" s="249">
        <v>13</v>
      </c>
      <c r="G2" s="248">
        <v>12</v>
      </c>
      <c r="H2" s="6">
        <v>8</v>
      </c>
      <c r="I2" s="6">
        <v>15</v>
      </c>
      <c r="J2" s="249">
        <v>12</v>
      </c>
      <c r="K2" s="250">
        <v>15</v>
      </c>
      <c r="L2" s="250">
        <v>15</v>
      </c>
      <c r="M2" s="6">
        <v>6</v>
      </c>
      <c r="N2" s="248">
        <v>2</v>
      </c>
      <c r="O2" s="6">
        <v>17</v>
      </c>
      <c r="P2" s="6">
        <v>9</v>
      </c>
      <c r="Q2" s="6">
        <v>2</v>
      </c>
      <c r="R2" s="249">
        <v>10</v>
      </c>
    </row>
    <row r="3" spans="1:18" x14ac:dyDescent="0.2">
      <c r="A3" s="242" t="s">
        <v>392</v>
      </c>
      <c r="B3" s="6">
        <v>4</v>
      </c>
      <c r="C3" s="248">
        <v>11</v>
      </c>
      <c r="D3" s="6">
        <v>15</v>
      </c>
      <c r="E3" s="6">
        <v>16</v>
      </c>
      <c r="F3" s="249">
        <v>9</v>
      </c>
      <c r="G3" s="248">
        <v>7</v>
      </c>
      <c r="H3" s="6">
        <v>4</v>
      </c>
      <c r="I3" s="6">
        <v>11</v>
      </c>
      <c r="J3" s="249">
        <v>8</v>
      </c>
      <c r="K3" s="250">
        <v>10</v>
      </c>
      <c r="L3" s="250">
        <v>16</v>
      </c>
      <c r="M3" s="6">
        <v>4</v>
      </c>
      <c r="N3" s="248">
        <v>2</v>
      </c>
      <c r="O3" s="6">
        <v>16</v>
      </c>
      <c r="P3" s="6">
        <v>4</v>
      </c>
      <c r="Q3" s="6">
        <v>8</v>
      </c>
      <c r="R3" s="249">
        <v>11</v>
      </c>
    </row>
    <row r="4" spans="1:18" x14ac:dyDescent="0.2">
      <c r="A4" s="242" t="s">
        <v>399</v>
      </c>
      <c r="B4" s="6">
        <v>3</v>
      </c>
      <c r="C4" s="248">
        <v>7</v>
      </c>
      <c r="D4" s="6">
        <v>10</v>
      </c>
      <c r="E4" s="6">
        <v>11</v>
      </c>
      <c r="F4" s="249">
        <v>7</v>
      </c>
      <c r="G4" s="248">
        <v>5</v>
      </c>
      <c r="H4" s="6">
        <v>8</v>
      </c>
      <c r="I4" s="6">
        <v>9</v>
      </c>
      <c r="J4" s="249">
        <v>6</v>
      </c>
      <c r="K4" s="250">
        <v>11</v>
      </c>
      <c r="L4" s="250">
        <v>10</v>
      </c>
      <c r="M4" s="6">
        <v>3</v>
      </c>
      <c r="N4" s="248">
        <v>1</v>
      </c>
      <c r="O4" s="6">
        <v>4</v>
      </c>
      <c r="P4" s="6">
        <v>8</v>
      </c>
      <c r="Q4" s="6">
        <v>4</v>
      </c>
      <c r="R4" s="249">
        <v>9</v>
      </c>
    </row>
    <row r="5" spans="1:18" x14ac:dyDescent="0.2">
      <c r="A5" s="242" t="s">
        <v>402</v>
      </c>
      <c r="B5" s="6">
        <v>3</v>
      </c>
      <c r="C5" s="248">
        <v>5</v>
      </c>
      <c r="D5" s="6">
        <v>9</v>
      </c>
      <c r="E5" s="6">
        <v>10</v>
      </c>
      <c r="F5" s="249">
        <v>8</v>
      </c>
      <c r="G5" s="248">
        <v>3</v>
      </c>
      <c r="H5" s="6">
        <v>11</v>
      </c>
      <c r="I5" s="6">
        <v>8</v>
      </c>
      <c r="J5" s="249">
        <v>6</v>
      </c>
      <c r="K5" s="250">
        <v>9</v>
      </c>
      <c r="L5" s="250">
        <v>10</v>
      </c>
      <c r="M5" s="6">
        <v>3</v>
      </c>
      <c r="N5" s="248">
        <v>2</v>
      </c>
      <c r="O5" s="6">
        <v>2</v>
      </c>
      <c r="P5" s="6">
        <v>6</v>
      </c>
      <c r="Q5" s="6">
        <v>0</v>
      </c>
      <c r="R5" s="249">
        <v>8</v>
      </c>
    </row>
    <row r="6" spans="1:18" x14ac:dyDescent="0.2">
      <c r="A6" s="242" t="s">
        <v>411</v>
      </c>
      <c r="B6" s="6">
        <v>4</v>
      </c>
      <c r="C6" s="248">
        <v>11</v>
      </c>
      <c r="D6" s="6">
        <v>15</v>
      </c>
      <c r="E6" s="6">
        <v>16</v>
      </c>
      <c r="F6" s="249">
        <v>10</v>
      </c>
      <c r="G6" s="248">
        <v>10</v>
      </c>
      <c r="H6" s="6">
        <v>6</v>
      </c>
      <c r="I6" s="6">
        <v>15</v>
      </c>
      <c r="J6" s="249">
        <v>10</v>
      </c>
      <c r="K6" s="250">
        <v>12</v>
      </c>
      <c r="L6" s="250">
        <v>15</v>
      </c>
      <c r="M6" s="6">
        <v>5</v>
      </c>
      <c r="N6" s="248">
        <v>4</v>
      </c>
      <c r="O6" s="6">
        <v>8</v>
      </c>
      <c r="P6" s="6">
        <v>8</v>
      </c>
      <c r="Q6" s="6">
        <v>4</v>
      </c>
      <c r="R6" s="249">
        <v>8</v>
      </c>
    </row>
    <row r="7" spans="1:18" x14ac:dyDescent="0.2">
      <c r="A7" s="242" t="s">
        <v>414</v>
      </c>
      <c r="B7" s="6">
        <v>3</v>
      </c>
      <c r="C7" s="248">
        <v>8</v>
      </c>
      <c r="D7" s="6">
        <v>11</v>
      </c>
      <c r="E7" s="6">
        <v>11</v>
      </c>
      <c r="F7" s="249">
        <v>7</v>
      </c>
      <c r="G7" s="248">
        <v>6</v>
      </c>
      <c r="H7" s="6">
        <v>2</v>
      </c>
      <c r="I7" s="6">
        <v>9</v>
      </c>
      <c r="J7" s="249">
        <v>7</v>
      </c>
      <c r="K7" s="250">
        <v>9</v>
      </c>
      <c r="L7" s="250">
        <v>10</v>
      </c>
      <c r="M7" s="6">
        <v>3</v>
      </c>
      <c r="N7" s="248">
        <v>1</v>
      </c>
      <c r="O7" s="6">
        <v>8</v>
      </c>
      <c r="P7" s="6">
        <v>4</v>
      </c>
      <c r="Q7" s="6">
        <v>2</v>
      </c>
      <c r="R7" s="249">
        <v>10</v>
      </c>
    </row>
    <row r="8" spans="1:18" x14ac:dyDescent="0.2">
      <c r="A8" s="242" t="s">
        <v>416</v>
      </c>
      <c r="B8" s="6">
        <v>4</v>
      </c>
      <c r="C8" s="248">
        <v>11</v>
      </c>
      <c r="D8" s="6">
        <v>15</v>
      </c>
      <c r="E8" s="6">
        <v>16</v>
      </c>
      <c r="F8" s="249">
        <v>8</v>
      </c>
      <c r="G8" s="248">
        <v>10</v>
      </c>
      <c r="H8" s="6">
        <v>0</v>
      </c>
      <c r="I8" s="6">
        <v>12</v>
      </c>
      <c r="J8" s="249">
        <v>8</v>
      </c>
      <c r="K8" s="250">
        <v>12</v>
      </c>
      <c r="L8" s="250">
        <v>12</v>
      </c>
      <c r="M8" s="6">
        <v>4</v>
      </c>
      <c r="N8" s="248">
        <v>0</v>
      </c>
      <c r="O8" s="6">
        <v>5</v>
      </c>
      <c r="P8" s="6">
        <v>0</v>
      </c>
      <c r="Q8" s="6">
        <v>8</v>
      </c>
      <c r="R8" s="249">
        <v>10</v>
      </c>
    </row>
    <row r="9" spans="1:18" x14ac:dyDescent="0.2">
      <c r="A9" s="242" t="s">
        <v>418</v>
      </c>
      <c r="B9" s="6">
        <v>4</v>
      </c>
      <c r="C9" s="248">
        <v>11</v>
      </c>
      <c r="D9" s="6">
        <v>15</v>
      </c>
      <c r="E9" s="6">
        <v>16</v>
      </c>
      <c r="F9" s="249">
        <v>6</v>
      </c>
      <c r="G9" s="248">
        <v>9</v>
      </c>
      <c r="H9" s="6">
        <v>0</v>
      </c>
      <c r="I9" s="6">
        <v>13</v>
      </c>
      <c r="J9" s="249">
        <v>10</v>
      </c>
      <c r="K9" s="250">
        <v>13</v>
      </c>
      <c r="L9" s="250">
        <v>11</v>
      </c>
      <c r="M9" s="6">
        <v>4</v>
      </c>
      <c r="N9" s="248">
        <v>0</v>
      </c>
      <c r="O9" s="6">
        <v>11</v>
      </c>
      <c r="P9" s="6">
        <v>0</v>
      </c>
      <c r="Q9" s="6">
        <v>2</v>
      </c>
      <c r="R9" s="249">
        <v>11</v>
      </c>
    </row>
    <row r="10" spans="1:18" x14ac:dyDescent="0.2">
      <c r="A10" s="242" t="s">
        <v>42</v>
      </c>
      <c r="B10" s="6">
        <v>5</v>
      </c>
      <c r="C10" s="248">
        <v>10</v>
      </c>
      <c r="D10" s="6">
        <v>15</v>
      </c>
      <c r="E10" s="6">
        <v>19</v>
      </c>
      <c r="F10" s="249">
        <v>9</v>
      </c>
      <c r="G10" s="248">
        <v>7</v>
      </c>
      <c r="H10" s="6">
        <v>14</v>
      </c>
      <c r="I10" s="6">
        <v>14</v>
      </c>
      <c r="J10" s="249">
        <v>9</v>
      </c>
      <c r="K10" s="250">
        <v>16</v>
      </c>
      <c r="L10" s="250">
        <v>17</v>
      </c>
      <c r="M10" s="6">
        <v>2</v>
      </c>
      <c r="N10" s="248">
        <v>2</v>
      </c>
      <c r="O10" s="6">
        <v>11</v>
      </c>
      <c r="P10" s="6">
        <v>10</v>
      </c>
      <c r="Q10" s="6">
        <v>7</v>
      </c>
      <c r="R10" s="249">
        <v>16</v>
      </c>
    </row>
    <row r="11" spans="1:18" x14ac:dyDescent="0.2">
      <c r="A11" s="242" t="s">
        <v>425</v>
      </c>
      <c r="B11" s="6">
        <v>3</v>
      </c>
      <c r="C11" s="248">
        <v>6</v>
      </c>
      <c r="D11" s="6">
        <v>9</v>
      </c>
      <c r="E11" s="6">
        <v>12</v>
      </c>
      <c r="F11" s="249">
        <v>8</v>
      </c>
      <c r="G11" s="248">
        <v>3</v>
      </c>
      <c r="H11" s="6">
        <v>8</v>
      </c>
      <c r="I11" s="6">
        <v>9</v>
      </c>
      <c r="J11" s="249">
        <v>4</v>
      </c>
      <c r="K11" s="250">
        <v>9</v>
      </c>
      <c r="L11" s="250">
        <v>11</v>
      </c>
      <c r="M11" s="6">
        <v>1</v>
      </c>
      <c r="N11" s="248">
        <v>0</v>
      </c>
      <c r="O11" s="6">
        <v>5</v>
      </c>
      <c r="P11" s="6">
        <v>4</v>
      </c>
      <c r="Q11" s="6">
        <v>3</v>
      </c>
      <c r="R11" s="249">
        <v>11</v>
      </c>
    </row>
    <row r="12" spans="1:18" x14ac:dyDescent="0.2">
      <c r="A12" s="242" t="s">
        <v>439</v>
      </c>
      <c r="B12" s="6">
        <v>3</v>
      </c>
      <c r="C12" s="248">
        <v>9</v>
      </c>
      <c r="D12" s="6">
        <v>12</v>
      </c>
      <c r="E12" s="6">
        <v>12</v>
      </c>
      <c r="F12" s="249">
        <v>5</v>
      </c>
      <c r="G12" s="248">
        <v>6</v>
      </c>
      <c r="H12" s="6">
        <v>8</v>
      </c>
      <c r="I12" s="6">
        <v>9</v>
      </c>
      <c r="J12" s="249">
        <v>7</v>
      </c>
      <c r="K12" s="250">
        <v>10</v>
      </c>
      <c r="L12" s="250">
        <v>10</v>
      </c>
      <c r="M12" s="6">
        <v>4</v>
      </c>
      <c r="N12" s="248">
        <v>1</v>
      </c>
      <c r="O12" s="6">
        <v>6</v>
      </c>
      <c r="P12" s="6">
        <v>6</v>
      </c>
      <c r="Q12" s="6">
        <v>5</v>
      </c>
      <c r="R12" s="249">
        <v>12</v>
      </c>
    </row>
    <row r="13" spans="1:18" x14ac:dyDescent="0.2">
      <c r="A13" s="242" t="s">
        <v>450</v>
      </c>
      <c r="B13" s="6">
        <v>4</v>
      </c>
      <c r="C13" s="248">
        <v>5</v>
      </c>
      <c r="D13" s="6">
        <v>9</v>
      </c>
      <c r="E13" s="6">
        <v>12</v>
      </c>
      <c r="F13" s="249">
        <v>9</v>
      </c>
      <c r="G13" s="248">
        <v>7</v>
      </c>
      <c r="H13" s="6">
        <v>7</v>
      </c>
      <c r="I13" s="6">
        <v>13</v>
      </c>
      <c r="J13" s="249">
        <v>9</v>
      </c>
      <c r="K13" s="250">
        <v>15</v>
      </c>
      <c r="L13" s="250">
        <v>14</v>
      </c>
      <c r="M13" s="6">
        <v>3</v>
      </c>
      <c r="N13" s="248">
        <v>3</v>
      </c>
      <c r="O13" s="6">
        <v>3</v>
      </c>
      <c r="P13" s="6">
        <v>5</v>
      </c>
      <c r="Q13" s="6">
        <v>7</v>
      </c>
      <c r="R13" s="249">
        <v>8</v>
      </c>
    </row>
    <row r="14" spans="1:18" x14ac:dyDescent="0.2">
      <c r="A14" s="242" t="s">
        <v>54</v>
      </c>
      <c r="B14" s="6">
        <v>3</v>
      </c>
      <c r="C14" s="248">
        <v>8</v>
      </c>
      <c r="D14" s="6">
        <v>11</v>
      </c>
      <c r="E14" s="6">
        <v>11</v>
      </c>
      <c r="F14" s="249">
        <v>8</v>
      </c>
      <c r="G14" s="248">
        <v>6</v>
      </c>
      <c r="H14" s="6">
        <v>3</v>
      </c>
      <c r="I14" s="6">
        <v>9</v>
      </c>
      <c r="J14" s="249">
        <v>6</v>
      </c>
      <c r="K14" s="250">
        <v>9</v>
      </c>
      <c r="L14" s="250">
        <v>11</v>
      </c>
      <c r="M14" s="6">
        <v>4</v>
      </c>
      <c r="N14" s="248">
        <v>3</v>
      </c>
      <c r="O14" s="6">
        <v>2</v>
      </c>
      <c r="P14" s="6">
        <v>1</v>
      </c>
      <c r="Q14" s="6">
        <v>6</v>
      </c>
      <c r="R14" s="249">
        <v>9</v>
      </c>
    </row>
    <row r="15" spans="1:18" x14ac:dyDescent="0.2">
      <c r="A15" s="242" t="s">
        <v>457</v>
      </c>
      <c r="B15" s="6">
        <v>4</v>
      </c>
      <c r="C15" s="248">
        <v>8</v>
      </c>
      <c r="D15" s="6">
        <v>12</v>
      </c>
      <c r="E15" s="6">
        <v>15</v>
      </c>
      <c r="F15" s="249">
        <v>12</v>
      </c>
      <c r="G15" s="248">
        <v>10</v>
      </c>
      <c r="H15" s="6">
        <v>1</v>
      </c>
      <c r="I15" s="6">
        <v>15</v>
      </c>
      <c r="J15" s="249">
        <v>11</v>
      </c>
      <c r="K15" s="250">
        <v>12</v>
      </c>
      <c r="L15" s="250">
        <v>13</v>
      </c>
      <c r="M15" s="6">
        <v>4</v>
      </c>
      <c r="N15" s="248">
        <v>1</v>
      </c>
      <c r="O15" s="6">
        <v>4</v>
      </c>
      <c r="P15" s="6">
        <v>3</v>
      </c>
      <c r="Q15" s="6">
        <v>3</v>
      </c>
      <c r="R15" s="249">
        <v>12</v>
      </c>
    </row>
    <row r="16" spans="1:18" x14ac:dyDescent="0.2">
      <c r="A16" s="242" t="s">
        <v>473</v>
      </c>
      <c r="B16" s="6">
        <v>3</v>
      </c>
      <c r="C16" s="248">
        <v>5</v>
      </c>
      <c r="D16" s="6">
        <v>8</v>
      </c>
      <c r="E16" s="6">
        <v>10</v>
      </c>
      <c r="F16" s="249">
        <v>8</v>
      </c>
      <c r="G16" s="248">
        <v>3</v>
      </c>
      <c r="H16" s="6">
        <v>2</v>
      </c>
      <c r="I16" s="6">
        <v>8</v>
      </c>
      <c r="J16" s="249">
        <v>4</v>
      </c>
      <c r="K16" s="250">
        <v>9</v>
      </c>
      <c r="L16" s="250">
        <v>9</v>
      </c>
      <c r="M16" s="6">
        <v>2</v>
      </c>
      <c r="N16" s="248">
        <v>1</v>
      </c>
      <c r="O16" s="6">
        <v>4</v>
      </c>
      <c r="P16" s="6">
        <v>1</v>
      </c>
      <c r="Q16" s="6">
        <v>8</v>
      </c>
      <c r="R16" s="249">
        <v>8</v>
      </c>
    </row>
    <row r="17" spans="1:18" x14ac:dyDescent="0.2">
      <c r="A17" s="242" t="s">
        <v>474</v>
      </c>
      <c r="B17" s="6">
        <v>4</v>
      </c>
      <c r="C17" s="248">
        <v>11</v>
      </c>
      <c r="D17" s="6">
        <v>15</v>
      </c>
      <c r="E17" s="6">
        <v>16</v>
      </c>
      <c r="F17" s="249">
        <v>6</v>
      </c>
      <c r="G17" s="248">
        <v>9</v>
      </c>
      <c r="H17" s="6">
        <v>14</v>
      </c>
      <c r="I17" s="6">
        <v>16</v>
      </c>
      <c r="J17" s="249">
        <v>11</v>
      </c>
      <c r="K17" s="250">
        <v>13</v>
      </c>
      <c r="L17" s="250">
        <v>13</v>
      </c>
      <c r="M17" s="6">
        <v>7</v>
      </c>
      <c r="N17" s="248">
        <v>2</v>
      </c>
      <c r="O17" s="6">
        <v>10</v>
      </c>
      <c r="P17" s="6">
        <v>0</v>
      </c>
      <c r="Q17" s="6">
        <v>6</v>
      </c>
      <c r="R17" s="249">
        <v>6</v>
      </c>
    </row>
    <row r="18" spans="1:18" x14ac:dyDescent="0.2">
      <c r="A18" s="242" t="s">
        <v>479</v>
      </c>
      <c r="B18" s="6">
        <v>4</v>
      </c>
      <c r="C18" s="248">
        <v>9</v>
      </c>
      <c r="D18" s="6">
        <v>13</v>
      </c>
      <c r="E18" s="6">
        <v>15</v>
      </c>
      <c r="F18" s="249">
        <v>7</v>
      </c>
      <c r="G18" s="248">
        <v>7</v>
      </c>
      <c r="H18" s="6">
        <v>11</v>
      </c>
      <c r="I18" s="6">
        <v>12</v>
      </c>
      <c r="J18" s="249">
        <v>8</v>
      </c>
      <c r="K18" s="250">
        <v>12</v>
      </c>
      <c r="L18" s="250">
        <v>15</v>
      </c>
      <c r="M18" s="6">
        <v>3</v>
      </c>
      <c r="N18" s="248">
        <v>5</v>
      </c>
      <c r="O18" s="6">
        <v>11</v>
      </c>
      <c r="P18" s="6">
        <v>5</v>
      </c>
      <c r="Q18" s="6">
        <v>12</v>
      </c>
      <c r="R18" s="249">
        <v>13</v>
      </c>
    </row>
    <row r="19" spans="1:18" x14ac:dyDescent="0.2">
      <c r="A19" s="242" t="s">
        <v>14</v>
      </c>
      <c r="B19" s="6">
        <v>3</v>
      </c>
      <c r="C19" s="248">
        <v>6</v>
      </c>
      <c r="D19" s="6">
        <v>10</v>
      </c>
      <c r="E19" s="6">
        <v>10</v>
      </c>
      <c r="F19" s="249">
        <v>4</v>
      </c>
      <c r="G19" s="248">
        <v>6</v>
      </c>
      <c r="H19" s="6">
        <v>3</v>
      </c>
      <c r="I19" s="6">
        <v>8</v>
      </c>
      <c r="J19" s="249">
        <v>7</v>
      </c>
      <c r="K19" s="250">
        <v>10</v>
      </c>
      <c r="L19" s="250">
        <v>10</v>
      </c>
      <c r="M19" s="6">
        <v>3</v>
      </c>
      <c r="N19" s="248">
        <v>2</v>
      </c>
      <c r="O19" s="6">
        <v>4</v>
      </c>
      <c r="P19" s="6">
        <v>4</v>
      </c>
      <c r="Q19" s="6">
        <v>8</v>
      </c>
      <c r="R19" s="249">
        <v>10</v>
      </c>
    </row>
    <row r="20" spans="1:18" x14ac:dyDescent="0.2">
      <c r="A20" s="242" t="s">
        <v>44</v>
      </c>
      <c r="B20" s="6">
        <v>4</v>
      </c>
      <c r="C20" s="248">
        <v>12</v>
      </c>
      <c r="D20" s="6">
        <v>16</v>
      </c>
      <c r="E20" s="6">
        <v>16</v>
      </c>
      <c r="F20" s="249">
        <v>7</v>
      </c>
      <c r="G20" s="248">
        <v>11</v>
      </c>
      <c r="H20" s="6">
        <v>15</v>
      </c>
      <c r="I20" s="6">
        <v>14</v>
      </c>
      <c r="J20" s="249">
        <v>11</v>
      </c>
      <c r="K20" s="250">
        <v>13</v>
      </c>
      <c r="L20" s="250">
        <v>15</v>
      </c>
      <c r="M20" s="6">
        <v>7</v>
      </c>
      <c r="N20" s="248">
        <v>3</v>
      </c>
      <c r="O20" s="6">
        <v>9</v>
      </c>
      <c r="P20" s="6">
        <v>5</v>
      </c>
      <c r="Q20" s="6">
        <v>7</v>
      </c>
      <c r="R20" s="249">
        <v>11</v>
      </c>
    </row>
    <row r="21" spans="1:18" ht="15.75" customHeight="1" x14ac:dyDescent="0.2">
      <c r="A21" s="242" t="s">
        <v>534</v>
      </c>
      <c r="B21" s="6">
        <v>4</v>
      </c>
      <c r="C21" s="248">
        <v>10</v>
      </c>
      <c r="D21" s="6">
        <v>14</v>
      </c>
      <c r="E21" s="6">
        <v>15</v>
      </c>
      <c r="F21" s="249">
        <v>9</v>
      </c>
      <c r="G21" s="248">
        <v>10</v>
      </c>
      <c r="H21" s="6">
        <v>9</v>
      </c>
      <c r="I21" s="6">
        <v>15</v>
      </c>
      <c r="J21" s="249">
        <v>12</v>
      </c>
      <c r="K21" s="250">
        <v>13</v>
      </c>
      <c r="L21" s="250">
        <v>15</v>
      </c>
      <c r="M21" s="6">
        <v>5</v>
      </c>
      <c r="N21" s="248">
        <v>3</v>
      </c>
      <c r="O21" s="6">
        <v>7</v>
      </c>
      <c r="P21" s="6">
        <v>4</v>
      </c>
      <c r="Q21" s="6">
        <v>7</v>
      </c>
      <c r="R21" s="249">
        <v>11</v>
      </c>
    </row>
    <row r="22" spans="1:18" ht="15.75" customHeight="1" x14ac:dyDescent="0.2">
      <c r="A22" s="6" t="s">
        <v>522</v>
      </c>
      <c r="B22" s="6">
        <v>15</v>
      </c>
      <c r="C22" s="248">
        <v>38</v>
      </c>
      <c r="D22" s="6">
        <v>53</v>
      </c>
      <c r="E22" s="6">
        <v>59</v>
      </c>
      <c r="F22" s="249">
        <v>30</v>
      </c>
      <c r="G22" s="248">
        <v>33</v>
      </c>
      <c r="H22" s="6">
        <v>9</v>
      </c>
      <c r="I22" s="6">
        <v>51</v>
      </c>
      <c r="J22" s="249">
        <v>35</v>
      </c>
      <c r="K22" s="250">
        <v>51</v>
      </c>
      <c r="L22" s="250">
        <v>53</v>
      </c>
      <c r="M22" s="6">
        <v>14</v>
      </c>
      <c r="N22" s="248">
        <v>3</v>
      </c>
      <c r="O22" s="6">
        <v>24</v>
      </c>
      <c r="P22" s="6">
        <v>7</v>
      </c>
      <c r="Q22" s="6">
        <v>18</v>
      </c>
      <c r="R22" s="249">
        <v>50</v>
      </c>
    </row>
    <row r="23" spans="1:18" ht="15.75" customHeight="1" x14ac:dyDescent="0.2">
      <c r="C23" s="248"/>
      <c r="F23" s="249"/>
      <c r="G23" s="248"/>
      <c r="J23" s="249"/>
      <c r="K23" s="250"/>
      <c r="L23" s="250"/>
      <c r="N23" s="248"/>
      <c r="R23" s="249"/>
    </row>
    <row r="24" spans="1:18" ht="15.75" customHeight="1" x14ac:dyDescent="0.2">
      <c r="C24" s="251">
        <f t="shared" ref="C24:R24" si="0">AVERAGE(C2:C22)</f>
        <v>10.238095238095237</v>
      </c>
      <c r="D24" s="72">
        <f t="shared" si="0"/>
        <v>14.571428571428571</v>
      </c>
      <c r="E24" s="72">
        <f t="shared" si="0"/>
        <v>16.047619047619047</v>
      </c>
      <c r="F24" s="252">
        <f t="shared" si="0"/>
        <v>9.0476190476190474</v>
      </c>
      <c r="G24" s="251">
        <f t="shared" si="0"/>
        <v>8.5714285714285712</v>
      </c>
      <c r="H24" s="72">
        <f t="shared" si="0"/>
        <v>6.8095238095238093</v>
      </c>
      <c r="I24" s="72">
        <f t="shared" si="0"/>
        <v>13.571428571428571</v>
      </c>
      <c r="J24" s="252">
        <f t="shared" si="0"/>
        <v>9.5714285714285712</v>
      </c>
      <c r="K24" s="253">
        <f t="shared" si="0"/>
        <v>13.476190476190476</v>
      </c>
      <c r="L24" s="253">
        <f t="shared" si="0"/>
        <v>14.523809523809524</v>
      </c>
      <c r="M24" s="72">
        <f t="shared" si="0"/>
        <v>4.333333333333333</v>
      </c>
      <c r="N24" s="251">
        <f t="shared" si="0"/>
        <v>1.9523809523809523</v>
      </c>
      <c r="O24" s="72">
        <f t="shared" si="0"/>
        <v>8.1428571428571423</v>
      </c>
      <c r="P24" s="72">
        <f t="shared" si="0"/>
        <v>4.4761904761904763</v>
      </c>
      <c r="Q24" s="72">
        <f t="shared" si="0"/>
        <v>6.0476190476190474</v>
      </c>
      <c r="R24" s="252">
        <f t="shared" si="0"/>
        <v>12.095238095238095</v>
      </c>
    </row>
    <row r="25" spans="1:18" ht="15.75" customHeight="1" x14ac:dyDescent="0.2">
      <c r="C25" s="248">
        <f t="shared" ref="C25:R25" si="1">MAX(C2:C22)</f>
        <v>38</v>
      </c>
      <c r="D25" s="6">
        <f t="shared" si="1"/>
        <v>53</v>
      </c>
      <c r="E25" s="6">
        <f t="shared" si="1"/>
        <v>59</v>
      </c>
      <c r="F25" s="249">
        <f t="shared" si="1"/>
        <v>30</v>
      </c>
      <c r="G25" s="248">
        <f t="shared" si="1"/>
        <v>33</v>
      </c>
      <c r="H25" s="6">
        <f t="shared" si="1"/>
        <v>15</v>
      </c>
      <c r="I25" s="6">
        <f t="shared" si="1"/>
        <v>51</v>
      </c>
      <c r="J25" s="249">
        <f t="shared" si="1"/>
        <v>35</v>
      </c>
      <c r="K25" s="250">
        <f t="shared" si="1"/>
        <v>51</v>
      </c>
      <c r="L25" s="250">
        <f t="shared" si="1"/>
        <v>53</v>
      </c>
      <c r="M25" s="6">
        <f t="shared" si="1"/>
        <v>14</v>
      </c>
      <c r="N25" s="248">
        <f t="shared" si="1"/>
        <v>5</v>
      </c>
      <c r="O25" s="6">
        <f t="shared" si="1"/>
        <v>24</v>
      </c>
      <c r="P25" s="6">
        <f t="shared" si="1"/>
        <v>10</v>
      </c>
      <c r="Q25" s="6">
        <f t="shared" si="1"/>
        <v>18</v>
      </c>
      <c r="R25" s="249">
        <f t="shared" si="1"/>
        <v>50</v>
      </c>
    </row>
    <row r="26" spans="1:18" ht="15.75" customHeight="1" x14ac:dyDescent="0.2">
      <c r="A26" s="242"/>
      <c r="C26" s="254">
        <f t="shared" ref="C26:R26" si="2">MIN(C2:C22)</f>
        <v>5</v>
      </c>
      <c r="D26" s="255">
        <f t="shared" si="2"/>
        <v>8</v>
      </c>
      <c r="E26" s="255">
        <f t="shared" si="2"/>
        <v>10</v>
      </c>
      <c r="F26" s="256">
        <f t="shared" si="2"/>
        <v>4</v>
      </c>
      <c r="G26" s="254">
        <f t="shared" si="2"/>
        <v>3</v>
      </c>
      <c r="H26" s="255">
        <f t="shared" si="2"/>
        <v>0</v>
      </c>
      <c r="I26" s="255">
        <f t="shared" si="2"/>
        <v>8</v>
      </c>
      <c r="J26" s="256">
        <f t="shared" si="2"/>
        <v>4</v>
      </c>
      <c r="K26" s="257">
        <f t="shared" si="2"/>
        <v>9</v>
      </c>
      <c r="L26" s="257">
        <f t="shared" si="2"/>
        <v>9</v>
      </c>
      <c r="M26" s="6">
        <f t="shared" si="2"/>
        <v>1</v>
      </c>
      <c r="N26" s="254">
        <f t="shared" si="2"/>
        <v>0</v>
      </c>
      <c r="O26" s="255">
        <f t="shared" si="2"/>
        <v>2</v>
      </c>
      <c r="P26" s="255">
        <f t="shared" si="2"/>
        <v>0</v>
      </c>
      <c r="Q26" s="255">
        <f t="shared" si="2"/>
        <v>0</v>
      </c>
      <c r="R26" s="256">
        <f t="shared" si="2"/>
        <v>6</v>
      </c>
    </row>
    <row r="27" spans="1:18" ht="15.75" customHeight="1" x14ac:dyDescent="0.2"/>
    <row r="28" spans="1:18" ht="15.75" customHeight="1" x14ac:dyDescent="0.2"/>
    <row r="29" spans="1:18" ht="15.75" customHeight="1" x14ac:dyDescent="0.2"/>
    <row r="30" spans="1:18" ht="15.75" customHeight="1" x14ac:dyDescent="0.2"/>
    <row r="31" spans="1:18" ht="15.75" customHeight="1" x14ac:dyDescent="0.2"/>
    <row r="32" spans="1:1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B101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30.1640625" customWidth="1"/>
    <col min="2" max="2" width="6" customWidth="1"/>
    <col min="3" max="3" width="28.1640625" customWidth="1"/>
    <col min="4" max="4" width="17.1640625" customWidth="1"/>
    <col min="5" max="5" width="6.83203125" customWidth="1"/>
    <col min="6" max="6" width="7.83203125" customWidth="1"/>
    <col min="7" max="7" width="6.83203125" customWidth="1"/>
    <col min="8" max="8" width="8.1640625" customWidth="1"/>
    <col min="9" max="9" width="16.83203125" customWidth="1"/>
    <col min="10" max="10" width="6.6640625" customWidth="1"/>
    <col min="11" max="11" width="8" customWidth="1"/>
    <col min="12" max="12" width="6.33203125" customWidth="1"/>
    <col min="13" max="18" width="6.6640625" customWidth="1"/>
    <col min="19" max="19" width="5.6640625" customWidth="1"/>
    <col min="20" max="25" width="5.83203125" customWidth="1"/>
    <col min="26" max="26" width="10.6640625" customWidth="1"/>
    <col min="27" max="34" width="5.83203125" customWidth="1"/>
    <col min="35" max="35" width="10.6640625" customWidth="1"/>
    <col min="36" max="37" width="6.83203125" customWidth="1"/>
    <col min="38" max="38" width="20.5" customWidth="1"/>
    <col min="39" max="54" width="7" customWidth="1"/>
  </cols>
  <sheetData>
    <row r="1" spans="1:54" ht="60.75" customHeight="1" x14ac:dyDescent="0.2">
      <c r="A1" s="1" t="s">
        <v>0</v>
      </c>
      <c r="B1" s="1" t="s">
        <v>1</v>
      </c>
      <c r="C1" s="1" t="s">
        <v>2</v>
      </c>
      <c r="D1" s="14"/>
      <c r="E1" s="1" t="s">
        <v>304</v>
      </c>
      <c r="F1" s="1" t="s">
        <v>305</v>
      </c>
      <c r="G1" s="1" t="s">
        <v>306</v>
      </c>
      <c r="H1" s="15" t="s">
        <v>307</v>
      </c>
      <c r="I1" s="258" t="s">
        <v>308</v>
      </c>
      <c r="J1" s="15" t="s">
        <v>309</v>
      </c>
      <c r="K1" s="15" t="s">
        <v>310</v>
      </c>
      <c r="L1" s="15" t="s">
        <v>311</v>
      </c>
      <c r="M1" s="15" t="s">
        <v>312</v>
      </c>
      <c r="N1" s="15" t="s">
        <v>313</v>
      </c>
      <c r="O1" s="15" t="s">
        <v>314</v>
      </c>
      <c r="P1" s="15" t="s">
        <v>315</v>
      </c>
      <c r="Q1" s="15" t="s">
        <v>316</v>
      </c>
      <c r="R1" s="15" t="s">
        <v>317</v>
      </c>
      <c r="S1" s="16" t="s">
        <v>318</v>
      </c>
      <c r="T1" s="17" t="s">
        <v>319</v>
      </c>
      <c r="U1" s="17" t="s">
        <v>320</v>
      </c>
      <c r="V1" s="17" t="s">
        <v>321</v>
      </c>
      <c r="W1" s="17" t="s">
        <v>322</v>
      </c>
      <c r="X1" s="17" t="s">
        <v>323</v>
      </c>
      <c r="Y1" s="17" t="s">
        <v>324</v>
      </c>
      <c r="Z1" s="17" t="s">
        <v>325</v>
      </c>
      <c r="AA1" s="4" t="s">
        <v>76</v>
      </c>
      <c r="AB1" s="4" t="s">
        <v>77</v>
      </c>
      <c r="AC1" s="4" t="s">
        <v>78</v>
      </c>
      <c r="AD1" s="4" t="s">
        <v>79</v>
      </c>
      <c r="AE1" s="4" t="s">
        <v>80</v>
      </c>
      <c r="AF1" s="17" t="s">
        <v>61</v>
      </c>
      <c r="AG1" s="17" t="s">
        <v>62</v>
      </c>
      <c r="AH1" s="17" t="s">
        <v>63</v>
      </c>
      <c r="AI1" s="17" t="s">
        <v>64</v>
      </c>
      <c r="AJ1" s="14"/>
      <c r="AK1" s="14"/>
      <c r="AL1" s="259"/>
      <c r="AM1" s="260" t="s">
        <v>319</v>
      </c>
      <c r="AN1" s="260" t="s">
        <v>320</v>
      </c>
      <c r="AO1" s="260" t="s">
        <v>321</v>
      </c>
      <c r="AP1" s="260" t="s">
        <v>322</v>
      </c>
      <c r="AQ1" s="260" t="s">
        <v>323</v>
      </c>
      <c r="AR1" s="260" t="s">
        <v>324</v>
      </c>
      <c r="AS1" s="260" t="s">
        <v>325</v>
      </c>
      <c r="AT1" s="260" t="s">
        <v>76</v>
      </c>
      <c r="AU1" s="260" t="s">
        <v>77</v>
      </c>
      <c r="AV1" s="260" t="s">
        <v>78</v>
      </c>
      <c r="AW1" s="260" t="s">
        <v>79</v>
      </c>
      <c r="AX1" s="260" t="s">
        <v>80</v>
      </c>
      <c r="AY1" s="260" t="s">
        <v>61</v>
      </c>
      <c r="AZ1" s="260" t="s">
        <v>62</v>
      </c>
      <c r="BA1" s="260" t="s">
        <v>63</v>
      </c>
      <c r="BB1" s="260" t="s">
        <v>64</v>
      </c>
    </row>
    <row r="2" spans="1:54" ht="18.75" hidden="1" customHeight="1" x14ac:dyDescent="0.2">
      <c r="A2" s="261" t="s">
        <v>9</v>
      </c>
      <c r="B2" s="261">
        <v>1952</v>
      </c>
      <c r="C2" s="261" t="s">
        <v>10</v>
      </c>
      <c r="D2" s="261" t="s">
        <v>10</v>
      </c>
      <c r="E2" s="262">
        <v>3.81</v>
      </c>
      <c r="F2" s="262">
        <v>1206230</v>
      </c>
      <c r="G2" s="262">
        <v>26163</v>
      </c>
      <c r="H2" s="263">
        <v>131081</v>
      </c>
      <c r="I2" s="263">
        <v>26537</v>
      </c>
      <c r="J2" s="263">
        <v>2461</v>
      </c>
      <c r="K2" s="263">
        <v>1924</v>
      </c>
      <c r="L2" s="263">
        <v>30656</v>
      </c>
      <c r="M2" s="263">
        <v>1.1599999999999999</v>
      </c>
      <c r="N2" s="263">
        <v>13.8</v>
      </c>
      <c r="O2" s="263">
        <v>0.09</v>
      </c>
      <c r="P2" s="263">
        <v>1680</v>
      </c>
      <c r="Q2" s="263">
        <v>1.75</v>
      </c>
      <c r="R2" s="264">
        <v>0.31</v>
      </c>
      <c r="S2" s="265">
        <v>0.2</v>
      </c>
      <c r="T2" s="266">
        <v>2</v>
      </c>
      <c r="U2" s="266">
        <v>3</v>
      </c>
      <c r="V2" s="266">
        <v>4</v>
      </c>
      <c r="W2" s="266">
        <v>3</v>
      </c>
      <c r="X2" s="266">
        <v>2</v>
      </c>
      <c r="Y2" s="266">
        <v>4</v>
      </c>
      <c r="Z2" s="266">
        <v>3</v>
      </c>
      <c r="AA2" s="267">
        <v>0</v>
      </c>
      <c r="AB2" s="267">
        <v>0</v>
      </c>
      <c r="AC2" s="267">
        <v>0</v>
      </c>
      <c r="AD2" s="267">
        <v>0</v>
      </c>
      <c r="AE2" s="267">
        <v>2</v>
      </c>
      <c r="AF2" s="266">
        <v>1</v>
      </c>
      <c r="AG2" s="266">
        <v>3</v>
      </c>
      <c r="AH2" s="266">
        <v>1</v>
      </c>
      <c r="AI2" s="266">
        <v>3</v>
      </c>
      <c r="AJ2" s="261"/>
      <c r="AK2" s="261"/>
      <c r="AL2" s="268" t="s">
        <v>319</v>
      </c>
      <c r="AM2" s="269">
        <v>1</v>
      </c>
      <c r="AN2" s="269"/>
      <c r="AO2" s="269"/>
      <c r="AP2" s="269"/>
      <c r="AQ2" s="269"/>
      <c r="AR2" s="269"/>
      <c r="AS2" s="269"/>
      <c r="AT2" s="269"/>
      <c r="AU2" s="269"/>
      <c r="AV2" s="269"/>
      <c r="AW2" s="269"/>
      <c r="AX2" s="269"/>
      <c r="AY2" s="269"/>
      <c r="AZ2" s="269"/>
      <c r="BA2" s="269"/>
      <c r="BB2" s="269"/>
    </row>
    <row r="3" spans="1:54" hidden="1" x14ac:dyDescent="0.2">
      <c r="A3" s="261" t="s">
        <v>11</v>
      </c>
      <c r="B3" s="261">
        <v>1945</v>
      </c>
      <c r="C3" s="261" t="s">
        <v>12</v>
      </c>
      <c r="D3" s="261" t="s">
        <v>12</v>
      </c>
      <c r="E3" s="262">
        <v>3.99</v>
      </c>
      <c r="F3" s="262">
        <v>4084025</v>
      </c>
      <c r="G3" s="262">
        <v>51254</v>
      </c>
      <c r="H3" s="263">
        <v>167080</v>
      </c>
      <c r="I3" s="263">
        <v>30207</v>
      </c>
      <c r="J3" s="263">
        <v>3900</v>
      </c>
      <c r="K3" s="263">
        <v>1671</v>
      </c>
      <c r="L3" s="263">
        <v>36479</v>
      </c>
      <c r="M3" s="263">
        <v>1.21</v>
      </c>
      <c r="N3" s="263">
        <v>18.100000000000001</v>
      </c>
      <c r="O3" s="263">
        <v>0.13</v>
      </c>
      <c r="P3" s="263">
        <v>2795</v>
      </c>
      <c r="Q3" s="263">
        <v>1.96</v>
      </c>
      <c r="R3" s="264">
        <v>0.31</v>
      </c>
      <c r="S3" s="265">
        <v>0.19</v>
      </c>
      <c r="T3" s="266">
        <v>3</v>
      </c>
      <c r="U3" s="266">
        <v>4</v>
      </c>
      <c r="V3" s="266">
        <v>4</v>
      </c>
      <c r="W3" s="266">
        <v>2</v>
      </c>
      <c r="X3" s="266">
        <v>3</v>
      </c>
      <c r="Y3" s="266">
        <v>1</v>
      </c>
      <c r="Z3" s="266">
        <v>2</v>
      </c>
      <c r="AA3" s="267">
        <v>0</v>
      </c>
      <c r="AB3" s="267">
        <v>1</v>
      </c>
      <c r="AC3" s="267">
        <v>0</v>
      </c>
      <c r="AD3" s="267">
        <v>4</v>
      </c>
      <c r="AE3" s="267">
        <v>3</v>
      </c>
      <c r="AF3" s="266">
        <v>1</v>
      </c>
      <c r="AG3" s="266">
        <v>2</v>
      </c>
      <c r="AH3" s="266">
        <v>1</v>
      </c>
      <c r="AI3" s="266">
        <v>2</v>
      </c>
      <c r="AJ3" s="261"/>
      <c r="AK3" s="261"/>
      <c r="AL3" s="268" t="s">
        <v>320</v>
      </c>
      <c r="AM3" s="269">
        <v>0.86085942310733909</v>
      </c>
      <c r="AN3" s="269">
        <v>1</v>
      </c>
      <c r="AO3" s="269"/>
      <c r="AP3" s="269"/>
      <c r="AQ3" s="269"/>
      <c r="AR3" s="269"/>
      <c r="AS3" s="269"/>
      <c r="AT3" s="269"/>
      <c r="AU3" s="269"/>
      <c r="AV3" s="269"/>
      <c r="AW3" s="269"/>
      <c r="AX3" s="269"/>
      <c r="AY3" s="269"/>
      <c r="AZ3" s="269"/>
      <c r="BA3" s="269"/>
      <c r="BB3" s="269"/>
    </row>
    <row r="4" spans="1:54" x14ac:dyDescent="0.2">
      <c r="A4" s="6" t="s">
        <v>117</v>
      </c>
      <c r="B4" s="6">
        <v>1937</v>
      </c>
      <c r="C4" s="6" t="s">
        <v>54</v>
      </c>
      <c r="D4" s="6" t="s">
        <v>54</v>
      </c>
      <c r="E4" s="43">
        <v>3.89</v>
      </c>
      <c r="F4" s="43">
        <v>2639747</v>
      </c>
      <c r="G4" s="43">
        <v>31023</v>
      </c>
      <c r="H4" s="20">
        <v>157240</v>
      </c>
      <c r="I4" s="270">
        <v>31176</v>
      </c>
      <c r="J4" s="20">
        <v>2832</v>
      </c>
      <c r="K4" s="20">
        <v>3477</v>
      </c>
      <c r="L4" s="20">
        <v>40949</v>
      </c>
      <c r="M4" s="20">
        <v>1.31</v>
      </c>
      <c r="N4" s="20">
        <v>9</v>
      </c>
      <c r="O4" s="20">
        <v>0.09</v>
      </c>
      <c r="P4" s="20">
        <v>2017</v>
      </c>
      <c r="Q4" s="20">
        <v>1.57</v>
      </c>
      <c r="R4" s="21">
        <v>0.28999999999999998</v>
      </c>
      <c r="S4" s="22">
        <v>0.19</v>
      </c>
      <c r="T4" s="23">
        <v>3</v>
      </c>
      <c r="U4" s="23">
        <v>4</v>
      </c>
      <c r="V4" s="23">
        <v>4</v>
      </c>
      <c r="W4" s="23">
        <v>2</v>
      </c>
      <c r="X4" s="23">
        <v>3</v>
      </c>
      <c r="Y4" s="23">
        <v>4</v>
      </c>
      <c r="Z4" s="23">
        <v>3</v>
      </c>
      <c r="AA4" s="9">
        <v>0</v>
      </c>
      <c r="AB4" s="9">
        <v>1</v>
      </c>
      <c r="AC4" s="9">
        <v>0</v>
      </c>
      <c r="AD4" s="9">
        <v>2</v>
      </c>
      <c r="AE4" s="9">
        <v>4</v>
      </c>
      <c r="AF4" s="23">
        <v>1</v>
      </c>
      <c r="AG4" s="23">
        <v>2</v>
      </c>
      <c r="AH4" s="23">
        <v>0</v>
      </c>
      <c r="AI4" s="23">
        <v>3</v>
      </c>
      <c r="AL4" s="260" t="s">
        <v>321</v>
      </c>
      <c r="AM4" s="72">
        <v>0.44947157805197802</v>
      </c>
      <c r="AN4" s="72">
        <v>0.58152496425371236</v>
      </c>
      <c r="AO4" s="72">
        <v>1</v>
      </c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</row>
    <row r="5" spans="1:54" x14ac:dyDescent="0.2">
      <c r="A5" s="6" t="s">
        <v>563</v>
      </c>
      <c r="B5" s="6">
        <v>1843</v>
      </c>
      <c r="C5" s="6" t="s">
        <v>374</v>
      </c>
      <c r="D5" s="6" t="s">
        <v>374</v>
      </c>
      <c r="E5" s="43">
        <v>4.08</v>
      </c>
      <c r="F5" s="43">
        <v>857761</v>
      </c>
      <c r="G5" s="43">
        <v>17475</v>
      </c>
      <c r="H5" s="20">
        <v>152532</v>
      </c>
      <c r="I5" s="270">
        <v>28299</v>
      </c>
      <c r="J5" s="20">
        <v>4210</v>
      </c>
      <c r="K5" s="20">
        <v>1793</v>
      </c>
      <c r="L5" s="20">
        <v>36707</v>
      </c>
      <c r="M5" s="20">
        <v>1.3</v>
      </c>
      <c r="N5" s="20">
        <v>15.8</v>
      </c>
      <c r="O5" s="20">
        <v>0.15</v>
      </c>
      <c r="P5" s="20">
        <v>3130</v>
      </c>
      <c r="Q5" s="20">
        <v>2.0299999999999998</v>
      </c>
      <c r="R5" s="21">
        <v>0.31</v>
      </c>
      <c r="S5" s="22">
        <v>0.23</v>
      </c>
      <c r="T5" s="23">
        <v>2</v>
      </c>
      <c r="U5" s="23">
        <v>1</v>
      </c>
      <c r="V5" s="23">
        <v>2</v>
      </c>
      <c r="W5" s="23">
        <v>1</v>
      </c>
      <c r="X5" s="23">
        <v>3</v>
      </c>
      <c r="Y5" s="23">
        <v>3</v>
      </c>
      <c r="Z5" s="23">
        <v>2</v>
      </c>
      <c r="AA5" s="9">
        <v>1</v>
      </c>
      <c r="AB5" s="9">
        <v>2</v>
      </c>
      <c r="AC5" s="9">
        <v>0</v>
      </c>
      <c r="AD5" s="9">
        <v>3</v>
      </c>
      <c r="AE5" s="9">
        <v>1</v>
      </c>
      <c r="AF5" s="23">
        <v>1</v>
      </c>
      <c r="AG5" s="23">
        <v>1</v>
      </c>
      <c r="AH5" s="23">
        <v>0</v>
      </c>
      <c r="AI5" s="23">
        <v>2</v>
      </c>
      <c r="AL5" s="260" t="s">
        <v>322</v>
      </c>
      <c r="AM5" s="72">
        <v>0.59346385995534201</v>
      </c>
      <c r="AN5" s="72">
        <v>0.59106266170987098</v>
      </c>
      <c r="AO5" s="72">
        <v>0.41359358157536802</v>
      </c>
      <c r="AP5" s="72">
        <v>1</v>
      </c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</row>
    <row r="6" spans="1:54" x14ac:dyDescent="0.2">
      <c r="A6" s="6" t="s">
        <v>564</v>
      </c>
      <c r="B6" s="6">
        <v>1886</v>
      </c>
      <c r="C6" s="6" t="s">
        <v>504</v>
      </c>
      <c r="D6" s="6" t="s">
        <v>504</v>
      </c>
      <c r="E6" s="43">
        <v>3.83</v>
      </c>
      <c r="F6" s="43">
        <v>612567</v>
      </c>
      <c r="G6" s="43">
        <v>15470</v>
      </c>
      <c r="H6" s="20">
        <v>139291</v>
      </c>
      <c r="I6" s="270">
        <v>26202</v>
      </c>
      <c r="J6" s="20">
        <v>3922</v>
      </c>
      <c r="K6" s="20">
        <v>1413</v>
      </c>
      <c r="L6" s="20">
        <v>32794</v>
      </c>
      <c r="M6" s="20">
        <v>1.25</v>
      </c>
      <c r="N6" s="20">
        <v>18.5</v>
      </c>
      <c r="O6" s="20">
        <v>0.15</v>
      </c>
      <c r="P6" s="20">
        <v>3012</v>
      </c>
      <c r="Q6" s="20">
        <v>2.42</v>
      </c>
      <c r="R6" s="21">
        <v>0.3</v>
      </c>
      <c r="S6" s="22">
        <v>0.24</v>
      </c>
      <c r="T6" s="23">
        <v>2</v>
      </c>
      <c r="U6" s="23">
        <v>3</v>
      </c>
      <c r="V6" s="23">
        <v>4</v>
      </c>
      <c r="W6" s="23">
        <v>1</v>
      </c>
      <c r="X6" s="23">
        <v>3</v>
      </c>
      <c r="Y6" s="23">
        <v>2</v>
      </c>
      <c r="Z6" s="23">
        <v>4</v>
      </c>
      <c r="AA6" s="9">
        <v>0</v>
      </c>
      <c r="AB6" s="9">
        <v>3</v>
      </c>
      <c r="AC6" s="9">
        <v>0</v>
      </c>
      <c r="AD6" s="9">
        <v>1</v>
      </c>
      <c r="AE6" s="9">
        <v>4</v>
      </c>
      <c r="AF6" s="23">
        <v>1</v>
      </c>
      <c r="AG6" s="23">
        <v>2</v>
      </c>
      <c r="AH6" s="23">
        <v>0</v>
      </c>
      <c r="AI6" s="23">
        <v>2</v>
      </c>
      <c r="AL6" s="260" t="s">
        <v>323</v>
      </c>
      <c r="AM6" s="72">
        <v>-6.9540928283926717E-2</v>
      </c>
      <c r="AN6" s="72">
        <v>-7.3741613715491899E-2</v>
      </c>
      <c r="AO6" s="72">
        <v>-7.9137041618045412E-2</v>
      </c>
      <c r="AP6" s="72">
        <v>-3.0711538861724546E-2</v>
      </c>
      <c r="AQ6" s="72">
        <v>1</v>
      </c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</row>
    <row r="7" spans="1:54" x14ac:dyDescent="0.2">
      <c r="A7" s="6" t="s">
        <v>565</v>
      </c>
      <c r="B7" s="6">
        <v>1902</v>
      </c>
      <c r="C7" s="6" t="s">
        <v>457</v>
      </c>
      <c r="D7" s="6" t="s">
        <v>457</v>
      </c>
      <c r="E7" s="43">
        <v>3.43</v>
      </c>
      <c r="F7" s="43">
        <v>527883</v>
      </c>
      <c r="G7" s="43">
        <v>13606</v>
      </c>
      <c r="H7" s="20">
        <v>209352</v>
      </c>
      <c r="I7" s="270">
        <v>39009</v>
      </c>
      <c r="J7" s="20">
        <v>5434</v>
      </c>
      <c r="K7" s="20">
        <v>2516</v>
      </c>
      <c r="L7" s="20">
        <v>48907</v>
      </c>
      <c r="M7" s="20">
        <v>1.25</v>
      </c>
      <c r="N7" s="20">
        <v>15.5</v>
      </c>
      <c r="O7" s="20">
        <v>0.14000000000000001</v>
      </c>
      <c r="P7" s="20">
        <v>4142</v>
      </c>
      <c r="Q7" s="20">
        <v>1.87</v>
      </c>
      <c r="R7" s="21">
        <v>0.28000000000000003</v>
      </c>
      <c r="S7" s="22">
        <v>0.22</v>
      </c>
      <c r="T7" s="23">
        <v>2</v>
      </c>
      <c r="U7" s="23">
        <v>3</v>
      </c>
      <c r="V7" s="23">
        <v>4</v>
      </c>
      <c r="W7" s="23">
        <v>3</v>
      </c>
      <c r="X7" s="23">
        <v>4</v>
      </c>
      <c r="Y7" s="23">
        <v>2</v>
      </c>
      <c r="Z7" s="23">
        <v>3</v>
      </c>
      <c r="AA7" s="9">
        <v>0</v>
      </c>
      <c r="AB7" s="9">
        <v>2</v>
      </c>
      <c r="AC7" s="9">
        <v>1</v>
      </c>
      <c r="AD7" s="9">
        <v>3</v>
      </c>
      <c r="AE7" s="9">
        <v>4</v>
      </c>
      <c r="AF7" s="23">
        <v>1</v>
      </c>
      <c r="AG7" s="23">
        <v>3</v>
      </c>
      <c r="AH7" s="23">
        <v>0</v>
      </c>
      <c r="AI7" s="23">
        <v>4</v>
      </c>
      <c r="AL7" s="260" t="s">
        <v>324</v>
      </c>
      <c r="AM7" s="72">
        <v>-0.12824995846941978</v>
      </c>
      <c r="AN7" s="72">
        <v>-8.3596408170299827E-2</v>
      </c>
      <c r="AO7" s="72">
        <v>-7.0988806382371927E-2</v>
      </c>
      <c r="AP7" s="72">
        <v>-8.7114285117288734E-2</v>
      </c>
      <c r="AQ7" s="72">
        <v>-0.28555698606899327</v>
      </c>
      <c r="AR7" s="72">
        <v>1</v>
      </c>
      <c r="AS7" s="72"/>
      <c r="AT7" s="72"/>
      <c r="AU7" s="72"/>
      <c r="AV7" s="72"/>
      <c r="AW7" s="72"/>
      <c r="AX7" s="72"/>
      <c r="AY7" s="72"/>
      <c r="AZ7" s="72"/>
      <c r="BA7" s="72"/>
      <c r="BB7" s="72"/>
    </row>
    <row r="8" spans="1:54" x14ac:dyDescent="0.2">
      <c r="A8" s="6" t="s">
        <v>566</v>
      </c>
      <c r="B8" s="6">
        <v>1966</v>
      </c>
      <c r="C8" s="6" t="s">
        <v>391</v>
      </c>
      <c r="D8" s="6" t="s">
        <v>391</v>
      </c>
      <c r="E8" s="43">
        <v>4.22</v>
      </c>
      <c r="F8" s="43">
        <v>710940</v>
      </c>
      <c r="G8" s="43">
        <v>12162</v>
      </c>
      <c r="H8" s="20">
        <v>440551</v>
      </c>
      <c r="I8" s="270">
        <v>87168</v>
      </c>
      <c r="J8" s="20">
        <v>6610</v>
      </c>
      <c r="K8" s="20">
        <v>6637</v>
      </c>
      <c r="L8" s="20">
        <v>104457</v>
      </c>
      <c r="M8" s="20">
        <v>1.2</v>
      </c>
      <c r="N8" s="20">
        <v>13.1</v>
      </c>
      <c r="O8" s="20">
        <v>0.08</v>
      </c>
      <c r="P8" s="20">
        <v>4484</v>
      </c>
      <c r="Q8" s="20">
        <v>1.98</v>
      </c>
      <c r="R8" s="21">
        <v>0.28000000000000003</v>
      </c>
      <c r="S8" s="22">
        <v>0.16</v>
      </c>
      <c r="T8" s="23">
        <v>3</v>
      </c>
      <c r="U8" s="23">
        <v>4</v>
      </c>
      <c r="V8" s="23">
        <v>4</v>
      </c>
      <c r="W8" s="23">
        <v>3</v>
      </c>
      <c r="X8" s="23">
        <v>4</v>
      </c>
      <c r="Y8" s="23">
        <v>2</v>
      </c>
      <c r="Z8" s="23">
        <v>4</v>
      </c>
      <c r="AA8" s="9">
        <v>1</v>
      </c>
      <c r="AB8" s="9">
        <v>2</v>
      </c>
      <c r="AC8" s="9">
        <v>2</v>
      </c>
      <c r="AD8" s="9">
        <v>3</v>
      </c>
      <c r="AE8" s="9">
        <v>4</v>
      </c>
      <c r="AF8" s="23">
        <v>1</v>
      </c>
      <c r="AG8" s="23">
        <v>3</v>
      </c>
      <c r="AH8" s="23">
        <v>1</v>
      </c>
      <c r="AI8" s="23">
        <v>4</v>
      </c>
      <c r="AL8" s="260" t="s">
        <v>325</v>
      </c>
      <c r="AM8" s="72">
        <v>3.2501736942385763E-2</v>
      </c>
      <c r="AN8" s="72">
        <v>7.3941760257416403E-2</v>
      </c>
      <c r="AO8" s="72">
        <v>0.17834096424144597</v>
      </c>
      <c r="AP8" s="72">
        <v>0.181108087069447</v>
      </c>
      <c r="AQ8" s="72">
        <v>4.1790064571504736E-3</v>
      </c>
      <c r="AR8" s="72">
        <v>-2.0990884697629334E-2</v>
      </c>
      <c r="AS8" s="72">
        <v>1</v>
      </c>
      <c r="AT8" s="72"/>
      <c r="AU8" s="72"/>
      <c r="AV8" s="72"/>
      <c r="AW8" s="72"/>
      <c r="AX8" s="72"/>
      <c r="AY8" s="72"/>
      <c r="AZ8" s="72"/>
      <c r="BA8" s="72"/>
      <c r="BB8" s="72"/>
    </row>
    <row r="9" spans="1:54" x14ac:dyDescent="0.2">
      <c r="A9" s="6" t="s">
        <v>567</v>
      </c>
      <c r="B9" s="6">
        <v>1962</v>
      </c>
      <c r="C9" s="6" t="s">
        <v>361</v>
      </c>
      <c r="D9" s="6" t="s">
        <v>361</v>
      </c>
      <c r="E9" s="43">
        <v>4</v>
      </c>
      <c r="F9" s="43">
        <v>733340</v>
      </c>
      <c r="G9" s="43">
        <v>11579</v>
      </c>
      <c r="H9" s="20">
        <v>307512</v>
      </c>
      <c r="I9" s="270">
        <v>59562</v>
      </c>
      <c r="J9" s="20">
        <v>5278</v>
      </c>
      <c r="K9" s="20">
        <v>3268</v>
      </c>
      <c r="L9" s="20">
        <v>77884</v>
      </c>
      <c r="M9" s="20">
        <v>1.31</v>
      </c>
      <c r="N9" s="20">
        <v>18.2</v>
      </c>
      <c r="O9" s="20">
        <v>0.09</v>
      </c>
      <c r="P9" s="20">
        <v>3777</v>
      </c>
      <c r="Q9" s="20">
        <v>2.12</v>
      </c>
      <c r="R9" s="21">
        <v>0.28000000000000003</v>
      </c>
      <c r="S9" s="22">
        <v>0.19</v>
      </c>
      <c r="T9" s="23">
        <v>3</v>
      </c>
      <c r="U9" s="23">
        <v>4</v>
      </c>
      <c r="V9" s="23">
        <v>4</v>
      </c>
      <c r="W9" s="23">
        <v>3</v>
      </c>
      <c r="X9" s="23">
        <v>4</v>
      </c>
      <c r="Y9" s="23">
        <v>2</v>
      </c>
      <c r="Z9" s="23">
        <v>3</v>
      </c>
      <c r="AA9" s="9">
        <v>1</v>
      </c>
      <c r="AB9" s="9">
        <v>2</v>
      </c>
      <c r="AC9" s="9">
        <v>1</v>
      </c>
      <c r="AD9" s="9">
        <v>4</v>
      </c>
      <c r="AE9" s="9">
        <v>3</v>
      </c>
      <c r="AF9" s="23">
        <v>2</v>
      </c>
      <c r="AG9" s="23">
        <v>3</v>
      </c>
      <c r="AH9" s="23">
        <v>1</v>
      </c>
      <c r="AI9" s="23">
        <v>4</v>
      </c>
      <c r="AL9" s="260" t="s">
        <v>76</v>
      </c>
      <c r="AM9" s="72">
        <v>2.5639082685744444E-2</v>
      </c>
      <c r="AN9" s="72">
        <v>3.9643490735852646E-2</v>
      </c>
      <c r="AO9" s="72">
        <v>-4.8456670021663276E-2</v>
      </c>
      <c r="AP9" s="72">
        <v>0.12810635884240917</v>
      </c>
      <c r="AQ9" s="72">
        <v>3.3900380235781853E-2</v>
      </c>
      <c r="AR9" s="72">
        <v>8.2278577370329481E-2</v>
      </c>
      <c r="AS9" s="72">
        <v>-5.3833489710548452E-2</v>
      </c>
      <c r="AT9" s="72">
        <v>1</v>
      </c>
      <c r="AU9" s="72"/>
      <c r="AV9" s="72"/>
      <c r="AW9" s="72"/>
      <c r="AX9" s="72"/>
      <c r="AY9" s="72"/>
      <c r="AZ9" s="72"/>
      <c r="BA9" s="72"/>
      <c r="BB9" s="72"/>
    </row>
    <row r="10" spans="1:54" x14ac:dyDescent="0.2">
      <c r="A10" s="6" t="s">
        <v>568</v>
      </c>
      <c r="B10" s="6">
        <v>1958</v>
      </c>
      <c r="C10" s="6" t="s">
        <v>533</v>
      </c>
      <c r="D10" s="6" t="s">
        <v>533</v>
      </c>
      <c r="E10" s="43">
        <v>3.85</v>
      </c>
      <c r="F10" s="43">
        <v>246976</v>
      </c>
      <c r="G10" s="43">
        <v>10786</v>
      </c>
      <c r="H10" s="20">
        <v>145272</v>
      </c>
      <c r="I10" s="270">
        <v>27563</v>
      </c>
      <c r="J10" s="20">
        <v>4805</v>
      </c>
      <c r="K10" s="20">
        <v>2224</v>
      </c>
      <c r="L10" s="20">
        <v>35234</v>
      </c>
      <c r="M10" s="20">
        <v>1.28</v>
      </c>
      <c r="N10" s="20">
        <v>12.4</v>
      </c>
      <c r="O10" s="20">
        <v>0.17</v>
      </c>
      <c r="P10" s="20">
        <v>3414</v>
      </c>
      <c r="Q10" s="20">
        <v>1.92</v>
      </c>
      <c r="R10" s="21">
        <v>0.25</v>
      </c>
      <c r="S10" s="22">
        <v>0.16</v>
      </c>
      <c r="T10" s="23">
        <v>2</v>
      </c>
      <c r="U10" s="23">
        <v>3</v>
      </c>
      <c r="V10" s="23">
        <v>4</v>
      </c>
      <c r="W10" s="23">
        <v>2</v>
      </c>
      <c r="X10" s="23">
        <v>4</v>
      </c>
      <c r="Y10" s="23">
        <v>1</v>
      </c>
      <c r="Z10" s="23">
        <v>4</v>
      </c>
      <c r="AA10" s="9">
        <v>1</v>
      </c>
      <c r="AB10" s="9">
        <v>2</v>
      </c>
      <c r="AC10" s="9">
        <v>3</v>
      </c>
      <c r="AD10" s="9">
        <v>2</v>
      </c>
      <c r="AE10" s="9">
        <v>3</v>
      </c>
      <c r="AF10" s="23">
        <v>1</v>
      </c>
      <c r="AG10" s="23">
        <v>2</v>
      </c>
      <c r="AH10" s="23">
        <v>4</v>
      </c>
      <c r="AI10" s="23">
        <v>3</v>
      </c>
      <c r="AL10" s="260" t="s">
        <v>77</v>
      </c>
      <c r="AM10" s="72">
        <v>0.30792360281450865</v>
      </c>
      <c r="AN10" s="72">
        <v>0.27835953404705099</v>
      </c>
      <c r="AO10" s="72">
        <v>0.11773019122086145</v>
      </c>
      <c r="AP10" s="72">
        <v>0.12064047971050527</v>
      </c>
      <c r="AQ10" s="72">
        <v>6.0587224356998662E-2</v>
      </c>
      <c r="AR10" s="72">
        <v>-7.8392050834639626E-2</v>
      </c>
      <c r="AS10" s="72">
        <v>-0.24057050731724941</v>
      </c>
      <c r="AT10" s="72">
        <v>-3.9097132475205264E-2</v>
      </c>
      <c r="AU10" s="72">
        <v>1</v>
      </c>
      <c r="AV10" s="72"/>
      <c r="AW10" s="72"/>
      <c r="AX10" s="72"/>
      <c r="AY10" s="72"/>
      <c r="AZ10" s="72"/>
      <c r="BA10" s="72"/>
      <c r="BB10" s="72"/>
    </row>
    <row r="11" spans="1:54" x14ac:dyDescent="0.2">
      <c r="A11" s="6" t="s">
        <v>569</v>
      </c>
      <c r="B11" s="6">
        <v>1906</v>
      </c>
      <c r="C11" s="6" t="s">
        <v>434</v>
      </c>
      <c r="D11" s="6" t="s">
        <v>434</v>
      </c>
      <c r="E11" s="43">
        <v>3.91</v>
      </c>
      <c r="F11" s="43">
        <v>444950</v>
      </c>
      <c r="G11" s="43">
        <v>9586</v>
      </c>
      <c r="H11" s="20">
        <v>173956</v>
      </c>
      <c r="I11" s="270">
        <v>32184</v>
      </c>
      <c r="J11" s="20">
        <v>4735</v>
      </c>
      <c r="K11" s="20">
        <v>1635</v>
      </c>
      <c r="L11" s="20">
        <v>39574</v>
      </c>
      <c r="M11" s="20">
        <v>1.23</v>
      </c>
      <c r="N11" s="20">
        <v>19.7</v>
      </c>
      <c r="O11" s="20">
        <v>0.15</v>
      </c>
      <c r="P11" s="20">
        <v>3466</v>
      </c>
      <c r="Q11" s="20">
        <v>1.95</v>
      </c>
      <c r="R11" s="21">
        <v>0.33</v>
      </c>
      <c r="S11" s="22">
        <v>0.24</v>
      </c>
      <c r="T11" s="23">
        <v>3</v>
      </c>
      <c r="U11" s="23">
        <v>4</v>
      </c>
      <c r="V11" s="23">
        <v>4</v>
      </c>
      <c r="W11" s="23">
        <v>3</v>
      </c>
      <c r="X11" s="23">
        <v>2</v>
      </c>
      <c r="Y11" s="23">
        <v>3</v>
      </c>
      <c r="Z11" s="23">
        <v>4</v>
      </c>
      <c r="AA11" s="9">
        <v>0</v>
      </c>
      <c r="AB11" s="9">
        <v>1</v>
      </c>
      <c r="AC11" s="9">
        <v>1</v>
      </c>
      <c r="AD11" s="9">
        <v>0</v>
      </c>
      <c r="AE11" s="9">
        <v>3</v>
      </c>
      <c r="AF11" s="23">
        <v>2</v>
      </c>
      <c r="AG11" s="23">
        <v>3</v>
      </c>
      <c r="AH11" s="23">
        <v>2</v>
      </c>
      <c r="AI11" s="23">
        <v>4</v>
      </c>
      <c r="AL11" s="260" t="s">
        <v>78</v>
      </c>
      <c r="AM11" s="72">
        <v>-2.6900584612908951E-2</v>
      </c>
      <c r="AN11" s="72">
        <v>3.3155856345725918E-2</v>
      </c>
      <c r="AO11" s="72">
        <v>3.6836700227883802E-2</v>
      </c>
      <c r="AP11" s="72">
        <v>-3.2750608792007592E-2</v>
      </c>
      <c r="AQ11" s="72">
        <v>0.10502131984963896</v>
      </c>
      <c r="AR11" s="72">
        <v>-4.8767126900121006E-2</v>
      </c>
      <c r="AS11" s="72">
        <v>0.15836989731418444</v>
      </c>
      <c r="AT11" s="72">
        <v>0.37225227460609722</v>
      </c>
      <c r="AU11" s="72">
        <v>-0.11222579757229899</v>
      </c>
      <c r="AV11" s="72">
        <v>1</v>
      </c>
      <c r="AW11" s="72"/>
      <c r="AX11" s="72"/>
      <c r="AY11" s="72"/>
      <c r="AZ11" s="72"/>
      <c r="BA11" s="72"/>
      <c r="BB11" s="72"/>
    </row>
    <row r="12" spans="1:54" x14ac:dyDescent="0.2">
      <c r="A12" s="6" t="s">
        <v>570</v>
      </c>
      <c r="B12" s="6">
        <v>1895</v>
      </c>
      <c r="C12" s="6" t="s">
        <v>416</v>
      </c>
      <c r="D12" s="6" t="s">
        <v>416</v>
      </c>
      <c r="E12" s="43">
        <v>3.89</v>
      </c>
      <c r="F12" s="43">
        <v>535423</v>
      </c>
      <c r="G12" s="43">
        <v>8450</v>
      </c>
      <c r="H12" s="20">
        <v>177566</v>
      </c>
      <c r="I12" s="270">
        <v>32618</v>
      </c>
      <c r="J12" s="20">
        <v>4557</v>
      </c>
      <c r="K12" s="20">
        <v>1933</v>
      </c>
      <c r="L12" s="20">
        <v>39718</v>
      </c>
      <c r="M12" s="20">
        <v>1.22</v>
      </c>
      <c r="N12" s="20">
        <v>16.899999999999999</v>
      </c>
      <c r="O12" s="20">
        <v>0.14000000000000001</v>
      </c>
      <c r="P12" s="20">
        <v>3462</v>
      </c>
      <c r="Q12" s="20">
        <v>1.84</v>
      </c>
      <c r="R12" s="21">
        <v>0.31</v>
      </c>
      <c r="S12" s="22">
        <v>0.21</v>
      </c>
      <c r="T12" s="23">
        <v>3</v>
      </c>
      <c r="U12" s="23">
        <v>4</v>
      </c>
      <c r="V12" s="23">
        <v>4</v>
      </c>
      <c r="W12" s="23">
        <v>3</v>
      </c>
      <c r="X12" s="23">
        <v>2</v>
      </c>
      <c r="Y12" s="23">
        <v>4</v>
      </c>
      <c r="Z12" s="23">
        <v>3</v>
      </c>
      <c r="AA12" s="9">
        <v>0</v>
      </c>
      <c r="AB12" s="9">
        <v>1</v>
      </c>
      <c r="AC12" s="9">
        <v>0</v>
      </c>
      <c r="AD12" s="9">
        <v>2</v>
      </c>
      <c r="AE12" s="9">
        <v>1</v>
      </c>
      <c r="AF12" s="23">
        <v>1</v>
      </c>
      <c r="AG12" s="23">
        <v>2</v>
      </c>
      <c r="AH12" s="23">
        <v>0</v>
      </c>
      <c r="AI12" s="23">
        <v>3</v>
      </c>
      <c r="AL12" s="260" t="s">
        <v>79</v>
      </c>
      <c r="AM12" s="72">
        <v>-4.4102786772688037E-3</v>
      </c>
      <c r="AN12" s="72">
        <v>-3.3678246565208514E-2</v>
      </c>
      <c r="AO12" s="72">
        <v>-9.506648941874131E-2</v>
      </c>
      <c r="AP12" s="72">
        <v>2.9057222584048796E-2</v>
      </c>
      <c r="AQ12" s="72">
        <v>0.14851397384258316</v>
      </c>
      <c r="AR12" s="72">
        <v>-8.8650780987491046E-2</v>
      </c>
      <c r="AS12" s="72">
        <v>-3.5790762360015646E-2</v>
      </c>
      <c r="AT12" s="72">
        <v>0.3662591814573824</v>
      </c>
      <c r="AU12" s="72">
        <v>-5.9692360578513418E-2</v>
      </c>
      <c r="AV12" s="72">
        <v>-6.9746560025544954E-2</v>
      </c>
      <c r="AW12" s="72">
        <v>1</v>
      </c>
      <c r="AX12" s="72"/>
      <c r="AY12" s="72"/>
      <c r="AZ12" s="72"/>
      <c r="BA12" s="72"/>
      <c r="BB12" s="72"/>
    </row>
    <row r="13" spans="1:54" x14ac:dyDescent="0.2">
      <c r="A13" s="6" t="s">
        <v>571</v>
      </c>
      <c r="B13" s="6">
        <v>1853</v>
      </c>
      <c r="C13" s="6" t="s">
        <v>420</v>
      </c>
      <c r="D13" s="6" t="s">
        <v>420</v>
      </c>
      <c r="E13" s="43">
        <v>3.93</v>
      </c>
      <c r="F13" s="43">
        <v>68325</v>
      </c>
      <c r="G13" s="43">
        <v>8373</v>
      </c>
      <c r="H13" s="20">
        <v>81449</v>
      </c>
      <c r="I13" s="270">
        <v>14639</v>
      </c>
      <c r="J13" s="20">
        <v>2991</v>
      </c>
      <c r="K13" s="20">
        <v>835</v>
      </c>
      <c r="L13" s="20">
        <v>18747</v>
      </c>
      <c r="M13" s="20">
        <v>1.28</v>
      </c>
      <c r="N13" s="20">
        <v>17.5</v>
      </c>
      <c r="O13" s="20">
        <v>0.2</v>
      </c>
      <c r="P13" s="20">
        <v>2317</v>
      </c>
      <c r="Q13" s="20">
        <v>2.2200000000000002</v>
      </c>
      <c r="R13" s="21">
        <v>0.3</v>
      </c>
      <c r="S13" s="22">
        <v>0.22</v>
      </c>
      <c r="T13" s="23">
        <v>1</v>
      </c>
      <c r="U13" s="23">
        <v>2</v>
      </c>
      <c r="V13" s="23">
        <v>3</v>
      </c>
      <c r="W13" s="23">
        <v>1</v>
      </c>
      <c r="X13" s="23">
        <v>4</v>
      </c>
      <c r="Y13" s="23">
        <v>2</v>
      </c>
      <c r="Z13" s="23">
        <v>3</v>
      </c>
      <c r="AA13" s="9">
        <v>0</v>
      </c>
      <c r="AB13" s="9">
        <v>1</v>
      </c>
      <c r="AC13" s="9">
        <v>0</v>
      </c>
      <c r="AD13" s="9">
        <v>2</v>
      </c>
      <c r="AE13" s="9">
        <v>4</v>
      </c>
      <c r="AF13" s="23">
        <v>0</v>
      </c>
      <c r="AG13" s="23">
        <v>1</v>
      </c>
      <c r="AH13" s="23">
        <v>0</v>
      </c>
      <c r="AI13" s="23">
        <v>2</v>
      </c>
      <c r="AL13" s="260" t="s">
        <v>80</v>
      </c>
      <c r="AM13" s="72">
        <v>5.2996846031885987E-2</v>
      </c>
      <c r="AN13" s="72">
        <v>9.700448547953075E-2</v>
      </c>
      <c r="AO13" s="72">
        <v>0.19661967973273839</v>
      </c>
      <c r="AP13" s="72">
        <v>-8.5904221172752773E-2</v>
      </c>
      <c r="AQ13" s="72">
        <v>0.18104079881978011</v>
      </c>
      <c r="AR13" s="72">
        <v>-0.1193187980400531</v>
      </c>
      <c r="AS13" s="72">
        <v>0.19872635885599288</v>
      </c>
      <c r="AT13" s="72">
        <v>-0.58075929895118783</v>
      </c>
      <c r="AU13" s="72">
        <v>1.8773203965308198E-17</v>
      </c>
      <c r="AV13" s="72">
        <v>-0.12164670916700598</v>
      </c>
      <c r="AW13" s="72">
        <v>-5.0320510218920665E-2</v>
      </c>
      <c r="AX13" s="72">
        <v>1</v>
      </c>
      <c r="AY13" s="72"/>
      <c r="AZ13" s="72"/>
      <c r="BA13" s="72"/>
      <c r="BB13" s="72"/>
    </row>
    <row r="14" spans="1:54" x14ac:dyDescent="0.2">
      <c r="A14" s="6" t="s">
        <v>572</v>
      </c>
      <c r="B14" s="6">
        <v>1947</v>
      </c>
      <c r="C14" s="6" t="s">
        <v>54</v>
      </c>
      <c r="D14" s="6" t="s">
        <v>54</v>
      </c>
      <c r="E14" s="43">
        <v>3.54</v>
      </c>
      <c r="F14" s="43">
        <v>248435</v>
      </c>
      <c r="G14" s="43">
        <v>7866</v>
      </c>
      <c r="H14" s="20">
        <v>137022</v>
      </c>
      <c r="I14" s="270">
        <v>26294</v>
      </c>
      <c r="J14" s="20">
        <v>3137</v>
      </c>
      <c r="K14" s="20">
        <v>1637</v>
      </c>
      <c r="L14" s="20">
        <v>31830</v>
      </c>
      <c r="M14" s="20">
        <v>1.21</v>
      </c>
      <c r="N14" s="20">
        <v>16.100000000000001</v>
      </c>
      <c r="O14" s="20">
        <v>0.12</v>
      </c>
      <c r="P14" s="20">
        <v>2363</v>
      </c>
      <c r="Q14" s="20">
        <v>1.68</v>
      </c>
      <c r="R14" s="21">
        <v>0.32</v>
      </c>
      <c r="S14" s="22">
        <v>0.25</v>
      </c>
      <c r="T14" s="23">
        <v>3</v>
      </c>
      <c r="U14" s="23">
        <v>4</v>
      </c>
      <c r="V14" s="23">
        <v>4</v>
      </c>
      <c r="W14" s="23">
        <v>3</v>
      </c>
      <c r="X14" s="23">
        <v>4</v>
      </c>
      <c r="Y14" s="23">
        <v>2</v>
      </c>
      <c r="Z14" s="23">
        <v>3</v>
      </c>
      <c r="AA14" s="9">
        <v>0</v>
      </c>
      <c r="AB14" s="9">
        <v>1</v>
      </c>
      <c r="AC14" s="9">
        <v>0</v>
      </c>
      <c r="AD14" s="9">
        <v>2</v>
      </c>
      <c r="AE14" s="9">
        <v>4</v>
      </c>
      <c r="AF14" s="23">
        <v>1</v>
      </c>
      <c r="AG14" s="23">
        <v>2</v>
      </c>
      <c r="AH14" s="23">
        <v>3</v>
      </c>
      <c r="AI14" s="23">
        <v>3</v>
      </c>
      <c r="AL14" s="260" t="s">
        <v>61</v>
      </c>
      <c r="AM14" s="72">
        <v>0.30748545175726028</v>
      </c>
      <c r="AN14" s="72">
        <v>0.33023088199727613</v>
      </c>
      <c r="AO14" s="72">
        <v>6.1429152814670297E-2</v>
      </c>
      <c r="AP14" s="72">
        <v>0.46402959490639739</v>
      </c>
      <c r="AQ14" s="72">
        <v>-7.2639427893790506E-2</v>
      </c>
      <c r="AR14" s="72">
        <v>7.0346805822271846E-2</v>
      </c>
      <c r="AS14" s="72">
        <v>-9.6846557494455546E-3</v>
      </c>
      <c r="AT14" s="72">
        <v>0.51621915627306014</v>
      </c>
      <c r="AU14" s="72">
        <v>0.15805399743086423</v>
      </c>
      <c r="AV14" s="72">
        <v>0.18263133227276032</v>
      </c>
      <c r="AW14" s="72">
        <v>9.9557029794174273E-2</v>
      </c>
      <c r="AX14" s="72">
        <v>-0.44577585500262351</v>
      </c>
      <c r="AY14" s="72">
        <v>1</v>
      </c>
      <c r="AZ14" s="72"/>
      <c r="BA14" s="72"/>
      <c r="BB14" s="72"/>
    </row>
    <row r="15" spans="1:54" x14ac:dyDescent="0.2">
      <c r="A15" s="6" t="s">
        <v>573</v>
      </c>
      <c r="B15" s="6">
        <v>1960</v>
      </c>
      <c r="C15" s="6" t="s">
        <v>401</v>
      </c>
      <c r="D15" s="6" t="s">
        <v>401</v>
      </c>
      <c r="E15" s="43">
        <v>4.38</v>
      </c>
      <c r="F15" s="43">
        <v>1284507</v>
      </c>
      <c r="G15" s="43">
        <v>7769</v>
      </c>
      <c r="H15" s="20">
        <v>196882</v>
      </c>
      <c r="I15" s="270">
        <v>36422</v>
      </c>
      <c r="J15" s="20">
        <v>4477</v>
      </c>
      <c r="K15" s="20">
        <v>3783</v>
      </c>
      <c r="L15" s="20">
        <v>45888</v>
      </c>
      <c r="M15" s="20">
        <v>1.26</v>
      </c>
      <c r="N15" s="20">
        <v>9.6</v>
      </c>
      <c r="O15" s="20">
        <v>0.12</v>
      </c>
      <c r="P15" s="20">
        <v>3036</v>
      </c>
      <c r="Q15" s="20">
        <v>1.56</v>
      </c>
      <c r="R15" s="21">
        <v>0.28999999999999998</v>
      </c>
      <c r="S15" s="22">
        <v>0.16</v>
      </c>
      <c r="T15" s="23">
        <v>2</v>
      </c>
      <c r="U15" s="23">
        <v>3</v>
      </c>
      <c r="V15" s="23">
        <v>4</v>
      </c>
      <c r="W15" s="23">
        <v>1</v>
      </c>
      <c r="X15" s="23">
        <v>3</v>
      </c>
      <c r="Y15" s="23">
        <v>4</v>
      </c>
      <c r="Z15" s="23">
        <v>4</v>
      </c>
      <c r="AA15" s="9">
        <v>0</v>
      </c>
      <c r="AB15" s="9">
        <v>0</v>
      </c>
      <c r="AC15" s="9">
        <v>0</v>
      </c>
      <c r="AD15" s="9">
        <v>0</v>
      </c>
      <c r="AE15" s="9">
        <v>4</v>
      </c>
      <c r="AF15" s="23">
        <v>0</v>
      </c>
      <c r="AG15" s="23">
        <v>2</v>
      </c>
      <c r="AH15" s="23">
        <v>1</v>
      </c>
      <c r="AI15" s="23">
        <v>3</v>
      </c>
      <c r="AL15" s="260" t="s">
        <v>62</v>
      </c>
      <c r="AM15" s="72">
        <v>0.47222168191557179</v>
      </c>
      <c r="AN15" s="72">
        <v>0.4843922536610164</v>
      </c>
      <c r="AO15" s="72">
        <v>0.35216210500806178</v>
      </c>
      <c r="AP15" s="72">
        <v>0.69831746018069563</v>
      </c>
      <c r="AQ15" s="72">
        <v>7.5015862173609546E-2</v>
      </c>
      <c r="AR15" s="72">
        <v>-0.15964383678123556</v>
      </c>
      <c r="AS15" s="72">
        <v>0.20222801017535944</v>
      </c>
      <c r="AT15" s="72">
        <v>0.1638441984687164</v>
      </c>
      <c r="AU15" s="72">
        <v>0.14284357133949735</v>
      </c>
      <c r="AV15" s="72">
        <v>3.0066311721366163E-2</v>
      </c>
      <c r="AW15" s="72">
        <v>1.3843065051733137E-2</v>
      </c>
      <c r="AX15" s="72">
        <v>-5.4804717776186181E-2</v>
      </c>
      <c r="AY15" s="72">
        <v>0.48628432731925236</v>
      </c>
      <c r="AZ15" s="72">
        <v>1</v>
      </c>
      <c r="BA15" s="72"/>
      <c r="BB15" s="72"/>
    </row>
    <row r="16" spans="1:54" x14ac:dyDescent="0.2">
      <c r="A16" s="6" t="s">
        <v>574</v>
      </c>
      <c r="B16" s="6">
        <v>1899</v>
      </c>
      <c r="C16" s="6" t="s">
        <v>461</v>
      </c>
      <c r="D16" s="6" t="s">
        <v>461</v>
      </c>
      <c r="E16" s="43">
        <v>3.68</v>
      </c>
      <c r="F16" s="43">
        <v>215290</v>
      </c>
      <c r="G16" s="43">
        <v>7755</v>
      </c>
      <c r="H16" s="20">
        <v>204918</v>
      </c>
      <c r="I16" s="270">
        <v>37340</v>
      </c>
      <c r="J16" s="20">
        <v>5365</v>
      </c>
      <c r="K16" s="20">
        <v>2702</v>
      </c>
      <c r="L16" s="20">
        <v>48698</v>
      </c>
      <c r="M16" s="20">
        <v>1.3</v>
      </c>
      <c r="N16" s="20">
        <v>13.8</v>
      </c>
      <c r="O16" s="20">
        <v>0.14000000000000001</v>
      </c>
      <c r="P16" s="20">
        <v>3754</v>
      </c>
      <c r="Q16" s="20">
        <v>1.91</v>
      </c>
      <c r="R16" s="21">
        <v>0.3</v>
      </c>
      <c r="S16" s="22">
        <v>0.21</v>
      </c>
      <c r="T16" s="23">
        <v>2</v>
      </c>
      <c r="U16" s="23">
        <v>3</v>
      </c>
      <c r="V16" s="23">
        <v>4</v>
      </c>
      <c r="W16" s="23">
        <v>2</v>
      </c>
      <c r="X16" s="23">
        <v>4</v>
      </c>
      <c r="Y16" s="23">
        <v>3</v>
      </c>
      <c r="Z16" s="23">
        <v>4</v>
      </c>
      <c r="AA16" s="9">
        <v>0</v>
      </c>
      <c r="AB16" s="9">
        <v>1</v>
      </c>
      <c r="AC16" s="9">
        <v>3</v>
      </c>
      <c r="AD16" s="9">
        <v>2</v>
      </c>
      <c r="AE16" s="9">
        <v>4</v>
      </c>
      <c r="AF16" s="23">
        <v>1</v>
      </c>
      <c r="AG16" s="23">
        <v>2</v>
      </c>
      <c r="AH16" s="23">
        <v>4</v>
      </c>
      <c r="AI16" s="23">
        <v>3</v>
      </c>
      <c r="AL16" s="260" t="s">
        <v>63</v>
      </c>
      <c r="AM16" s="72">
        <v>-2.033491807153006E-2</v>
      </c>
      <c r="AN16" s="72">
        <v>-1.2228557793885233E-2</v>
      </c>
      <c r="AO16" s="72">
        <v>1.2453626334696282E-2</v>
      </c>
      <c r="AP16" s="72">
        <v>4.3191788296136485E-2</v>
      </c>
      <c r="AQ16" s="72">
        <v>0.17892624610924907</v>
      </c>
      <c r="AR16" s="72">
        <v>-0.1008769113316472</v>
      </c>
      <c r="AS16" s="72">
        <v>6.2300918446909534E-2</v>
      </c>
      <c r="AT16" s="72">
        <v>0.24102614680116277</v>
      </c>
      <c r="AU16" s="72">
        <v>-5.5755417537640677E-2</v>
      </c>
      <c r="AV16" s="72">
        <v>0.42545583956380606</v>
      </c>
      <c r="AW16" s="72">
        <v>-1.5893804511470828E-2</v>
      </c>
      <c r="AX16" s="72">
        <v>-0.14211689896653909</v>
      </c>
      <c r="AY16" s="72">
        <v>0.128482575032701</v>
      </c>
      <c r="AZ16" s="72">
        <v>0.12607693296738648</v>
      </c>
      <c r="BA16" s="72">
        <v>1</v>
      </c>
      <c r="BB16" s="72"/>
    </row>
    <row r="17" spans="1:54" ht="16.5" customHeight="1" x14ac:dyDescent="0.2">
      <c r="A17" s="6" t="s">
        <v>575</v>
      </c>
      <c r="B17" s="6">
        <v>1914</v>
      </c>
      <c r="C17" s="6" t="s">
        <v>438</v>
      </c>
      <c r="D17" s="6" t="s">
        <v>438</v>
      </c>
      <c r="E17" s="43">
        <v>3.99</v>
      </c>
      <c r="F17" s="43">
        <v>22212</v>
      </c>
      <c r="G17" s="43">
        <v>6140</v>
      </c>
      <c r="H17" s="20">
        <v>85345</v>
      </c>
      <c r="I17" s="270">
        <v>15964</v>
      </c>
      <c r="J17" s="20">
        <v>2819</v>
      </c>
      <c r="K17" s="20">
        <v>1113</v>
      </c>
      <c r="L17" s="20">
        <v>20444</v>
      </c>
      <c r="M17" s="20">
        <v>1.28</v>
      </c>
      <c r="N17" s="20">
        <v>14.3</v>
      </c>
      <c r="O17" s="20">
        <v>0.18</v>
      </c>
      <c r="P17" s="20">
        <v>2064</v>
      </c>
      <c r="Q17" s="20">
        <v>2.02</v>
      </c>
      <c r="R17" s="21">
        <v>0.3</v>
      </c>
      <c r="S17" s="22">
        <v>0.24</v>
      </c>
      <c r="T17" s="23">
        <v>2</v>
      </c>
      <c r="U17" s="23">
        <v>3</v>
      </c>
      <c r="V17" s="23">
        <v>4</v>
      </c>
      <c r="W17" s="23">
        <v>1</v>
      </c>
      <c r="X17" s="23">
        <v>3</v>
      </c>
      <c r="Y17" s="23">
        <v>4</v>
      </c>
      <c r="Z17" s="23">
        <v>3</v>
      </c>
      <c r="AA17" s="9">
        <v>0</v>
      </c>
      <c r="AB17" s="9">
        <v>1</v>
      </c>
      <c r="AC17" s="9">
        <v>2</v>
      </c>
      <c r="AD17" s="9">
        <v>1</v>
      </c>
      <c r="AE17" s="9">
        <v>3</v>
      </c>
      <c r="AF17" s="23">
        <v>0</v>
      </c>
      <c r="AG17" s="23">
        <v>2</v>
      </c>
      <c r="AH17" s="23">
        <v>3</v>
      </c>
      <c r="AI17" s="23">
        <v>3</v>
      </c>
      <c r="AL17" s="260" t="s">
        <v>64</v>
      </c>
      <c r="AM17" s="271">
        <v>0.38569804215373249</v>
      </c>
      <c r="AN17" s="271">
        <v>0.40476153058920217</v>
      </c>
      <c r="AO17" s="271">
        <v>0.32059965996202044</v>
      </c>
      <c r="AP17" s="271">
        <v>0.64788401945645124</v>
      </c>
      <c r="AQ17" s="271">
        <v>0.17948483311313523</v>
      </c>
      <c r="AR17" s="271">
        <v>-9.2739114797834615E-2</v>
      </c>
      <c r="AS17" s="271">
        <v>0.17019278430156917</v>
      </c>
      <c r="AT17" s="271">
        <v>0.202201405132135</v>
      </c>
      <c r="AU17" s="271">
        <v>7.0727517935327708E-2</v>
      </c>
      <c r="AV17" s="271">
        <v>7.1514089149578769E-2</v>
      </c>
      <c r="AW17" s="271">
        <v>-1.0812002625121815E-2</v>
      </c>
      <c r="AX17" s="271">
        <v>-0.15679470265328682</v>
      </c>
      <c r="AY17" s="271">
        <v>0.44654068040326328</v>
      </c>
      <c r="AZ17" s="271">
        <v>0.6655842666572207</v>
      </c>
      <c r="BA17" s="271">
        <v>0.1925710536610295</v>
      </c>
      <c r="BB17" s="271">
        <v>1</v>
      </c>
    </row>
    <row r="18" spans="1:54" x14ac:dyDescent="0.2">
      <c r="A18" s="6" t="s">
        <v>576</v>
      </c>
      <c r="B18" s="6">
        <v>1911</v>
      </c>
      <c r="C18" s="6" t="s">
        <v>399</v>
      </c>
      <c r="D18" s="6" t="s">
        <v>399</v>
      </c>
      <c r="E18" s="43">
        <v>3.45</v>
      </c>
      <c r="F18" s="43">
        <v>130764</v>
      </c>
      <c r="G18" s="43">
        <v>5915</v>
      </c>
      <c r="H18" s="20">
        <v>185410</v>
      </c>
      <c r="I18" s="270">
        <v>35560</v>
      </c>
      <c r="J18" s="20">
        <v>4684</v>
      </c>
      <c r="K18" s="20">
        <v>1830</v>
      </c>
      <c r="L18" s="20">
        <v>43737</v>
      </c>
      <c r="M18" s="20">
        <v>1.23</v>
      </c>
      <c r="N18" s="20">
        <v>19.399999999999999</v>
      </c>
      <c r="O18" s="20">
        <v>0.13</v>
      </c>
      <c r="P18" s="20">
        <v>3377</v>
      </c>
      <c r="Q18" s="20">
        <v>2.23</v>
      </c>
      <c r="R18" s="21">
        <v>0.28999999999999998</v>
      </c>
      <c r="S18" s="22">
        <v>0.22</v>
      </c>
      <c r="T18" s="23">
        <v>3</v>
      </c>
      <c r="U18" s="23">
        <v>4</v>
      </c>
      <c r="V18" s="23">
        <v>4</v>
      </c>
      <c r="W18" s="23">
        <v>2</v>
      </c>
      <c r="X18" s="23">
        <v>3</v>
      </c>
      <c r="Y18" s="23">
        <v>3</v>
      </c>
      <c r="Z18" s="23">
        <v>4</v>
      </c>
      <c r="AA18" s="9">
        <v>0</v>
      </c>
      <c r="AB18" s="9">
        <v>1</v>
      </c>
      <c r="AC18" s="9">
        <v>3</v>
      </c>
      <c r="AD18" s="9">
        <v>1</v>
      </c>
      <c r="AE18" s="9">
        <v>4</v>
      </c>
      <c r="AF18" s="23">
        <v>1</v>
      </c>
      <c r="AG18" s="23">
        <v>2</v>
      </c>
      <c r="AH18" s="23">
        <v>3</v>
      </c>
      <c r="AI18" s="23">
        <v>3</v>
      </c>
      <c r="AL18" s="20"/>
    </row>
    <row r="19" spans="1:54" x14ac:dyDescent="0.2">
      <c r="A19" s="6" t="s">
        <v>577</v>
      </c>
      <c r="B19" s="6">
        <v>1962</v>
      </c>
      <c r="C19" s="6" t="s">
        <v>516</v>
      </c>
      <c r="D19" s="6" t="s">
        <v>516</v>
      </c>
      <c r="E19" s="43">
        <v>3.93</v>
      </c>
      <c r="F19" s="43">
        <v>252444</v>
      </c>
      <c r="G19" s="43">
        <v>5640</v>
      </c>
      <c r="H19" s="20">
        <v>286053</v>
      </c>
      <c r="I19" s="270">
        <v>54202</v>
      </c>
      <c r="J19" s="20">
        <v>3732</v>
      </c>
      <c r="K19" s="20">
        <v>3412</v>
      </c>
      <c r="L19" s="20">
        <v>66025</v>
      </c>
      <c r="M19" s="20">
        <v>1.22</v>
      </c>
      <c r="N19" s="20">
        <v>15.9</v>
      </c>
      <c r="O19" s="20">
        <v>7.0000000000000007E-2</v>
      </c>
      <c r="P19" s="20">
        <v>2635</v>
      </c>
      <c r="Q19" s="20">
        <v>2.2599999999999998</v>
      </c>
      <c r="R19" s="21">
        <v>0.32</v>
      </c>
      <c r="S19" s="22">
        <v>0.23</v>
      </c>
      <c r="T19" s="23">
        <v>3</v>
      </c>
      <c r="U19" s="23">
        <v>4</v>
      </c>
      <c r="V19" s="23">
        <v>4</v>
      </c>
      <c r="W19" s="23">
        <v>2</v>
      </c>
      <c r="X19" s="23">
        <v>3</v>
      </c>
      <c r="Y19" s="23">
        <v>1</v>
      </c>
      <c r="Z19" s="23">
        <v>3</v>
      </c>
      <c r="AA19" s="9">
        <v>0</v>
      </c>
      <c r="AB19" s="9">
        <v>2</v>
      </c>
      <c r="AC19" s="9">
        <v>0</v>
      </c>
      <c r="AD19" s="9">
        <v>1</v>
      </c>
      <c r="AE19" s="9">
        <v>3</v>
      </c>
      <c r="AF19" s="23">
        <v>0</v>
      </c>
      <c r="AG19" s="23">
        <v>2</v>
      </c>
      <c r="AH19" s="23">
        <v>4</v>
      </c>
      <c r="AI19" s="23">
        <v>3</v>
      </c>
      <c r="AL19" s="272">
        <f>CORREL(AD2:AD334,AE2:AE334)</f>
        <v>-4.4049388125233395E-2</v>
      </c>
    </row>
    <row r="20" spans="1:54" x14ac:dyDescent="0.2">
      <c r="A20" s="273" t="s">
        <v>15</v>
      </c>
      <c r="B20" s="273">
        <v>1954</v>
      </c>
      <c r="C20" s="273" t="s">
        <v>16</v>
      </c>
      <c r="D20" s="273" t="s">
        <v>16</v>
      </c>
      <c r="E20" s="274">
        <v>3.7</v>
      </c>
      <c r="F20" s="274">
        <v>3002291</v>
      </c>
      <c r="G20" s="274">
        <v>4283</v>
      </c>
      <c r="H20" s="275">
        <v>323707</v>
      </c>
      <c r="I20" s="275">
        <v>60646</v>
      </c>
      <c r="J20" s="275">
        <v>5295</v>
      </c>
      <c r="K20" s="275">
        <v>5437</v>
      </c>
      <c r="L20" s="275">
        <v>76396</v>
      </c>
      <c r="M20" s="275">
        <v>1.26</v>
      </c>
      <c r="N20" s="275">
        <v>11.2</v>
      </c>
      <c r="O20" s="275">
        <v>0.09</v>
      </c>
      <c r="P20" s="275">
        <v>3890</v>
      </c>
      <c r="Q20" s="275">
        <v>1.56</v>
      </c>
      <c r="R20" s="276">
        <v>0.27</v>
      </c>
      <c r="S20" s="277">
        <v>0.22</v>
      </c>
      <c r="T20" s="278">
        <v>3</v>
      </c>
      <c r="U20" s="278">
        <v>4</v>
      </c>
      <c r="V20" s="278">
        <v>4</v>
      </c>
      <c r="W20" s="278">
        <v>3</v>
      </c>
      <c r="X20" s="278">
        <v>4</v>
      </c>
      <c r="Y20" s="278">
        <v>2</v>
      </c>
      <c r="Z20" s="278">
        <v>3</v>
      </c>
      <c r="AA20" s="279">
        <v>1</v>
      </c>
      <c r="AB20" s="279">
        <v>2</v>
      </c>
      <c r="AC20" s="279">
        <v>0</v>
      </c>
      <c r="AD20" s="279">
        <v>3</v>
      </c>
      <c r="AE20" s="279">
        <v>4</v>
      </c>
      <c r="AF20" s="278">
        <v>1</v>
      </c>
      <c r="AG20" s="278">
        <v>2</v>
      </c>
      <c r="AH20" s="278">
        <v>1</v>
      </c>
      <c r="AI20" s="278">
        <v>4</v>
      </c>
      <c r="AJ20" s="273"/>
      <c r="AK20" s="273"/>
      <c r="AL20" s="275"/>
      <c r="AM20" s="273"/>
      <c r="AN20" s="273"/>
      <c r="AO20" s="273"/>
      <c r="AP20" s="273"/>
      <c r="AQ20" s="273"/>
      <c r="AR20" s="273"/>
      <c r="AS20" s="273"/>
      <c r="AT20" s="273"/>
      <c r="AU20" s="273"/>
      <c r="AV20" s="273"/>
      <c r="AW20" s="273"/>
      <c r="AX20" s="273"/>
      <c r="AY20" s="273"/>
      <c r="AZ20" s="273"/>
      <c r="BA20" s="273"/>
      <c r="BB20" s="273"/>
    </row>
    <row r="21" spans="1:54" ht="15.75" customHeight="1" x14ac:dyDescent="0.2">
      <c r="A21" s="6" t="s">
        <v>578</v>
      </c>
      <c r="B21" s="6">
        <v>1982</v>
      </c>
      <c r="C21" s="6" t="s">
        <v>522</v>
      </c>
      <c r="D21" s="6" t="s">
        <v>522</v>
      </c>
      <c r="E21" s="43">
        <v>4.5</v>
      </c>
      <c r="F21" s="43">
        <v>48826</v>
      </c>
      <c r="G21" s="43">
        <v>4087</v>
      </c>
      <c r="H21" s="20">
        <v>212456</v>
      </c>
      <c r="I21" s="270">
        <v>41478</v>
      </c>
      <c r="J21" s="20">
        <v>4886</v>
      </c>
      <c r="K21" s="20">
        <v>2490</v>
      </c>
      <c r="L21" s="20">
        <v>49777</v>
      </c>
      <c r="M21" s="20">
        <v>1.2</v>
      </c>
      <c r="N21" s="20">
        <v>16.7</v>
      </c>
      <c r="O21" s="20">
        <v>0.12</v>
      </c>
      <c r="P21" s="20">
        <v>3297</v>
      </c>
      <c r="Q21" s="20">
        <v>2.0299999999999998</v>
      </c>
      <c r="R21" s="21">
        <v>0.26</v>
      </c>
      <c r="S21" s="22">
        <v>0.12</v>
      </c>
      <c r="T21" s="23">
        <v>2</v>
      </c>
      <c r="U21" s="23">
        <v>3</v>
      </c>
      <c r="V21" s="23">
        <v>4</v>
      </c>
      <c r="W21" s="23">
        <v>3</v>
      </c>
      <c r="X21" s="23">
        <v>4</v>
      </c>
      <c r="Y21" s="23">
        <v>2</v>
      </c>
      <c r="Z21" s="23">
        <v>4</v>
      </c>
      <c r="AA21" s="9">
        <v>1</v>
      </c>
      <c r="AB21" s="9">
        <v>2</v>
      </c>
      <c r="AC21" s="9">
        <v>1</v>
      </c>
      <c r="AD21" s="9">
        <v>2</v>
      </c>
      <c r="AE21" s="9">
        <v>2</v>
      </c>
      <c r="AF21" s="23">
        <v>1</v>
      </c>
      <c r="AG21" s="23">
        <v>3</v>
      </c>
      <c r="AH21" s="23">
        <v>1</v>
      </c>
      <c r="AI21" s="23">
        <v>4</v>
      </c>
      <c r="AL21" s="20"/>
    </row>
    <row r="22" spans="1:54" ht="15.75" customHeight="1" x14ac:dyDescent="0.2">
      <c r="A22" s="6" t="s">
        <v>579</v>
      </c>
      <c r="B22" s="6">
        <v>1878</v>
      </c>
      <c r="C22" s="6" t="s">
        <v>42</v>
      </c>
      <c r="D22" s="6" t="s">
        <v>42</v>
      </c>
      <c r="E22" s="43">
        <v>3.37</v>
      </c>
      <c r="F22" s="43">
        <v>35594</v>
      </c>
      <c r="G22" s="43">
        <v>3916</v>
      </c>
      <c r="H22" s="20">
        <v>120652</v>
      </c>
      <c r="I22" s="270">
        <v>21858</v>
      </c>
      <c r="J22" s="20">
        <v>2848</v>
      </c>
      <c r="K22" s="20">
        <v>1731</v>
      </c>
      <c r="L22" s="20">
        <v>27885</v>
      </c>
      <c r="M22" s="20">
        <v>1.28</v>
      </c>
      <c r="N22" s="20">
        <v>12.6</v>
      </c>
      <c r="O22" s="20">
        <v>0.13</v>
      </c>
      <c r="P22" s="20">
        <v>2112</v>
      </c>
      <c r="Q22" s="20">
        <v>2.17</v>
      </c>
      <c r="R22" s="21">
        <v>0.28000000000000003</v>
      </c>
      <c r="S22" s="22">
        <v>0.23</v>
      </c>
      <c r="T22" s="23">
        <v>2</v>
      </c>
      <c r="U22" s="23">
        <v>3</v>
      </c>
      <c r="V22" s="23">
        <v>3</v>
      </c>
      <c r="W22" s="23">
        <v>1</v>
      </c>
      <c r="X22" s="23">
        <v>4</v>
      </c>
      <c r="Y22" s="23">
        <v>2</v>
      </c>
      <c r="Z22" s="23">
        <v>3</v>
      </c>
      <c r="AA22" s="9">
        <v>0</v>
      </c>
      <c r="AB22" s="9">
        <v>1</v>
      </c>
      <c r="AC22" s="9">
        <v>2</v>
      </c>
      <c r="AD22" s="9">
        <v>3</v>
      </c>
      <c r="AE22" s="9">
        <v>4</v>
      </c>
      <c r="AF22" s="23">
        <v>0</v>
      </c>
      <c r="AG22" s="23">
        <v>1</v>
      </c>
      <c r="AH22" s="23">
        <v>3</v>
      </c>
      <c r="AI22" s="23">
        <v>2</v>
      </c>
      <c r="AL22" s="20"/>
    </row>
    <row r="23" spans="1:54" ht="15.75" customHeight="1" x14ac:dyDescent="0.2">
      <c r="A23" s="31" t="s">
        <v>41</v>
      </c>
      <c r="B23" s="31">
        <v>1898</v>
      </c>
      <c r="C23" s="31" t="s">
        <v>42</v>
      </c>
      <c r="D23" s="6" t="s">
        <v>42</v>
      </c>
      <c r="E23" s="43">
        <v>3.39</v>
      </c>
      <c r="F23" s="43">
        <v>164777</v>
      </c>
      <c r="G23" s="43">
        <v>3488</v>
      </c>
      <c r="H23" s="20">
        <v>210589</v>
      </c>
      <c r="I23" s="270">
        <v>40344</v>
      </c>
      <c r="J23" s="20">
        <v>4247</v>
      </c>
      <c r="K23" s="20">
        <v>2402</v>
      </c>
      <c r="L23" s="20">
        <v>49700</v>
      </c>
      <c r="M23" s="20">
        <v>1.23</v>
      </c>
      <c r="N23" s="20">
        <v>16.8</v>
      </c>
      <c r="O23" s="20">
        <v>0.11</v>
      </c>
      <c r="P23" s="20">
        <v>3213</v>
      </c>
      <c r="Q23" s="20">
        <v>2.11</v>
      </c>
      <c r="R23" s="21">
        <v>0.31</v>
      </c>
      <c r="S23" s="22">
        <v>0.26</v>
      </c>
      <c r="T23" s="33">
        <v>2</v>
      </c>
      <c r="U23" s="33">
        <v>3</v>
      </c>
      <c r="V23" s="33">
        <v>4</v>
      </c>
      <c r="W23" s="33">
        <v>2</v>
      </c>
      <c r="X23" s="33">
        <v>3</v>
      </c>
      <c r="Y23" s="33">
        <v>1</v>
      </c>
      <c r="Z23" s="33">
        <v>3</v>
      </c>
      <c r="AA23" s="32">
        <v>0</v>
      </c>
      <c r="AB23" s="32">
        <v>4</v>
      </c>
      <c r="AC23" s="32">
        <v>1</v>
      </c>
      <c r="AD23" s="32">
        <v>0</v>
      </c>
      <c r="AE23" s="32">
        <v>4</v>
      </c>
      <c r="AF23" s="33">
        <v>1</v>
      </c>
      <c r="AG23" s="33">
        <v>2</v>
      </c>
      <c r="AH23" s="33">
        <v>3</v>
      </c>
      <c r="AI23" s="33">
        <v>3</v>
      </c>
      <c r="AJ23" s="31"/>
      <c r="AK23" s="31"/>
      <c r="AL23" s="280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</row>
    <row r="24" spans="1:54" ht="15.75" customHeight="1" x14ac:dyDescent="0.2">
      <c r="A24" s="6" t="s">
        <v>580</v>
      </c>
      <c r="B24" s="6">
        <v>1970</v>
      </c>
      <c r="C24" s="6" t="s">
        <v>499</v>
      </c>
      <c r="D24" s="6" t="s">
        <v>499</v>
      </c>
      <c r="E24" s="43">
        <v>3.85</v>
      </c>
      <c r="F24" s="43">
        <v>259268</v>
      </c>
      <c r="G24" s="43">
        <v>3478</v>
      </c>
      <c r="H24" s="20">
        <v>49197</v>
      </c>
      <c r="I24" s="270">
        <v>9115</v>
      </c>
      <c r="J24" s="20">
        <v>1530</v>
      </c>
      <c r="K24" s="20">
        <v>721</v>
      </c>
      <c r="L24" s="20">
        <v>11475</v>
      </c>
      <c r="M24" s="20">
        <v>1.26</v>
      </c>
      <c r="N24" s="20">
        <v>12.6</v>
      </c>
      <c r="O24" s="20">
        <v>0.17</v>
      </c>
      <c r="P24" s="20">
        <v>1071</v>
      </c>
      <c r="Q24" s="20">
        <v>1.77</v>
      </c>
      <c r="R24" s="21">
        <v>0.28999999999999998</v>
      </c>
      <c r="S24" s="22">
        <v>0.24</v>
      </c>
      <c r="T24" s="23">
        <v>2</v>
      </c>
      <c r="U24" s="23">
        <v>3</v>
      </c>
      <c r="V24" s="23">
        <v>4</v>
      </c>
      <c r="W24" s="23">
        <v>3</v>
      </c>
      <c r="X24" s="23">
        <v>2</v>
      </c>
      <c r="Y24" s="23">
        <v>1</v>
      </c>
      <c r="Z24" s="23">
        <v>4</v>
      </c>
      <c r="AA24" s="9">
        <v>1</v>
      </c>
      <c r="AB24" s="9">
        <v>0</v>
      </c>
      <c r="AC24" s="9">
        <v>0</v>
      </c>
      <c r="AD24" s="9">
        <v>2</v>
      </c>
      <c r="AE24" s="9">
        <v>1</v>
      </c>
      <c r="AF24" s="23">
        <v>2</v>
      </c>
      <c r="AG24" s="23">
        <v>3</v>
      </c>
      <c r="AH24" s="23">
        <v>2</v>
      </c>
      <c r="AI24" s="23">
        <v>4</v>
      </c>
      <c r="AL24" s="20"/>
    </row>
    <row r="25" spans="1:54" ht="15.75" customHeight="1" x14ac:dyDescent="0.2">
      <c r="A25" s="6" t="s">
        <v>581</v>
      </c>
      <c r="B25" s="6">
        <v>1938</v>
      </c>
      <c r="C25" s="6" t="s">
        <v>366</v>
      </c>
      <c r="D25" s="6" t="s">
        <v>366</v>
      </c>
      <c r="E25" s="43">
        <v>3.61</v>
      </c>
      <c r="F25" s="43">
        <v>159855</v>
      </c>
      <c r="G25" s="43">
        <v>3407</v>
      </c>
      <c r="H25" s="20">
        <v>97112</v>
      </c>
      <c r="I25" s="270">
        <v>19236</v>
      </c>
      <c r="J25" s="20">
        <v>1979</v>
      </c>
      <c r="K25" s="20">
        <v>1281</v>
      </c>
      <c r="L25" s="20">
        <v>22718</v>
      </c>
      <c r="M25" s="20">
        <v>1.18</v>
      </c>
      <c r="N25" s="20">
        <v>15</v>
      </c>
      <c r="O25" s="20">
        <v>0.1</v>
      </c>
      <c r="P25" s="20">
        <v>1309</v>
      </c>
      <c r="Q25" s="20">
        <v>1.72</v>
      </c>
      <c r="R25" s="21">
        <v>0.38</v>
      </c>
      <c r="S25" s="22">
        <v>0.25</v>
      </c>
      <c r="T25" s="23">
        <v>2</v>
      </c>
      <c r="U25" s="23">
        <v>3</v>
      </c>
      <c r="V25" s="23">
        <v>4</v>
      </c>
      <c r="W25" s="23">
        <v>3</v>
      </c>
      <c r="X25" s="23">
        <v>2</v>
      </c>
      <c r="Y25" s="23">
        <v>3</v>
      </c>
      <c r="Z25" s="23">
        <v>4</v>
      </c>
      <c r="AA25" s="9">
        <v>1</v>
      </c>
      <c r="AB25" s="9">
        <v>0</v>
      </c>
      <c r="AC25" s="9">
        <v>2</v>
      </c>
      <c r="AD25" s="9">
        <v>3</v>
      </c>
      <c r="AE25" s="9">
        <v>1</v>
      </c>
      <c r="AF25" s="23">
        <v>2</v>
      </c>
      <c r="AG25" s="23">
        <v>3</v>
      </c>
      <c r="AH25" s="23">
        <v>2</v>
      </c>
      <c r="AI25" s="23">
        <v>4</v>
      </c>
      <c r="AL25" s="20"/>
    </row>
    <row r="26" spans="1:54" ht="15.75" customHeight="1" x14ac:dyDescent="0.2">
      <c r="A26" s="6" t="s">
        <v>582</v>
      </c>
      <c r="B26" s="6">
        <v>2002</v>
      </c>
      <c r="C26" s="6" t="s">
        <v>484</v>
      </c>
      <c r="D26" s="6" t="s">
        <v>484</v>
      </c>
      <c r="E26" s="43">
        <v>4.12</v>
      </c>
      <c r="F26" s="43">
        <v>732983</v>
      </c>
      <c r="G26" s="43">
        <v>3303</v>
      </c>
      <c r="H26" s="20">
        <v>167622</v>
      </c>
      <c r="I26" s="270">
        <v>31476</v>
      </c>
      <c r="J26" s="20">
        <v>3222</v>
      </c>
      <c r="K26" s="20">
        <v>2734</v>
      </c>
      <c r="L26" s="20">
        <v>39737</v>
      </c>
      <c r="M26" s="20">
        <v>1.26</v>
      </c>
      <c r="N26" s="20">
        <v>11.5</v>
      </c>
      <c r="O26" s="20">
        <v>0.1</v>
      </c>
      <c r="P26" s="20">
        <v>2276</v>
      </c>
      <c r="Q26" s="20">
        <v>1.67</v>
      </c>
      <c r="R26" s="21">
        <v>0.34</v>
      </c>
      <c r="S26" s="22">
        <v>0.22</v>
      </c>
      <c r="T26" s="23">
        <v>3</v>
      </c>
      <c r="U26" s="23">
        <v>4</v>
      </c>
      <c r="V26" s="23">
        <v>4</v>
      </c>
      <c r="W26" s="23">
        <v>3</v>
      </c>
      <c r="X26" s="23">
        <v>3</v>
      </c>
      <c r="Y26" s="23">
        <v>2</v>
      </c>
      <c r="Z26" s="23">
        <v>3</v>
      </c>
      <c r="AA26" s="9">
        <v>1</v>
      </c>
      <c r="AB26" s="9">
        <v>3</v>
      </c>
      <c r="AC26" s="9">
        <v>0</v>
      </c>
      <c r="AD26" s="9">
        <v>1</v>
      </c>
      <c r="AE26" s="9">
        <v>1</v>
      </c>
      <c r="AF26" s="23">
        <v>2</v>
      </c>
      <c r="AG26" s="23">
        <v>3</v>
      </c>
      <c r="AH26" s="23">
        <v>4</v>
      </c>
      <c r="AI26" s="23">
        <v>4</v>
      </c>
      <c r="AL26" s="20"/>
    </row>
    <row r="27" spans="1:54" ht="15.75" customHeight="1" x14ac:dyDescent="0.2">
      <c r="A27" s="6" t="s">
        <v>583</v>
      </c>
      <c r="B27" s="6">
        <v>1963</v>
      </c>
      <c r="C27" s="6" t="s">
        <v>429</v>
      </c>
      <c r="D27" s="6" t="s">
        <v>429</v>
      </c>
      <c r="E27" s="43">
        <v>4.1100000000000003</v>
      </c>
      <c r="F27" s="43">
        <v>52022</v>
      </c>
      <c r="G27" s="43">
        <v>3216</v>
      </c>
      <c r="H27" s="20">
        <v>122729</v>
      </c>
      <c r="I27" s="270">
        <v>22969</v>
      </c>
      <c r="J27" s="20">
        <v>3617</v>
      </c>
      <c r="K27" s="20">
        <v>1716</v>
      </c>
      <c r="L27" s="20">
        <v>28941</v>
      </c>
      <c r="M27" s="20">
        <v>1.26</v>
      </c>
      <c r="N27" s="20">
        <v>13.4</v>
      </c>
      <c r="O27" s="20">
        <v>0.16</v>
      </c>
      <c r="P27" s="20">
        <v>2740</v>
      </c>
      <c r="Q27" s="20">
        <v>1.8</v>
      </c>
      <c r="R27" s="21">
        <v>0.27</v>
      </c>
      <c r="S27" s="22">
        <v>0.2</v>
      </c>
      <c r="T27" s="23">
        <v>2</v>
      </c>
      <c r="U27" s="23">
        <v>3</v>
      </c>
      <c r="V27" s="23">
        <v>4</v>
      </c>
      <c r="W27" s="23">
        <v>1</v>
      </c>
      <c r="X27" s="23">
        <v>4</v>
      </c>
      <c r="Y27" s="23">
        <v>2</v>
      </c>
      <c r="Z27" s="23">
        <v>3</v>
      </c>
      <c r="AA27" s="9">
        <v>1</v>
      </c>
      <c r="AB27" s="9">
        <v>2</v>
      </c>
      <c r="AC27" s="9">
        <v>3</v>
      </c>
      <c r="AD27" s="9">
        <v>2</v>
      </c>
      <c r="AE27" s="9">
        <v>3</v>
      </c>
      <c r="AF27" s="23">
        <v>1</v>
      </c>
      <c r="AG27" s="23">
        <v>2</v>
      </c>
      <c r="AH27" s="23">
        <v>1</v>
      </c>
      <c r="AI27" s="23">
        <v>3</v>
      </c>
      <c r="AL27" s="20"/>
    </row>
    <row r="28" spans="1:54" ht="15.75" customHeight="1" x14ac:dyDescent="0.2">
      <c r="A28" s="6" t="s">
        <v>584</v>
      </c>
      <c r="B28" s="6">
        <v>1890</v>
      </c>
      <c r="C28" s="6" t="s">
        <v>365</v>
      </c>
      <c r="D28" s="6" t="s">
        <v>365</v>
      </c>
      <c r="E28" s="43">
        <v>3.89</v>
      </c>
      <c r="F28" s="43">
        <v>165023</v>
      </c>
      <c r="G28" s="43">
        <v>3215</v>
      </c>
      <c r="H28" s="20">
        <v>230285</v>
      </c>
      <c r="I28" s="270">
        <v>43756</v>
      </c>
      <c r="J28" s="20">
        <v>5529</v>
      </c>
      <c r="K28" s="20">
        <v>3030</v>
      </c>
      <c r="L28" s="20">
        <v>54324</v>
      </c>
      <c r="M28" s="20">
        <v>1.24</v>
      </c>
      <c r="N28" s="20">
        <v>14.4</v>
      </c>
      <c r="O28" s="20">
        <v>0.13</v>
      </c>
      <c r="P28" s="20">
        <v>3890</v>
      </c>
      <c r="Q28" s="20">
        <v>1.82</v>
      </c>
      <c r="R28" s="21">
        <v>0.26</v>
      </c>
      <c r="S28" s="22">
        <v>0.17</v>
      </c>
      <c r="T28" s="23">
        <v>3</v>
      </c>
      <c r="U28" s="23">
        <v>4</v>
      </c>
      <c r="V28" s="23">
        <v>4</v>
      </c>
      <c r="W28" s="23">
        <v>2</v>
      </c>
      <c r="X28" s="23">
        <v>3</v>
      </c>
      <c r="Y28" s="23">
        <v>2</v>
      </c>
      <c r="Z28" s="23">
        <v>3</v>
      </c>
      <c r="AA28" s="9">
        <v>1</v>
      </c>
      <c r="AB28" s="9">
        <v>4</v>
      </c>
      <c r="AC28" s="9">
        <v>3</v>
      </c>
      <c r="AD28" s="9">
        <v>0</v>
      </c>
      <c r="AE28" s="9">
        <v>1</v>
      </c>
      <c r="AF28" s="23">
        <v>2</v>
      </c>
      <c r="AG28" s="23">
        <v>2</v>
      </c>
      <c r="AH28" s="23">
        <v>3</v>
      </c>
      <c r="AI28" s="23">
        <v>3</v>
      </c>
      <c r="AL28" s="20"/>
    </row>
    <row r="29" spans="1:54" ht="15.75" customHeight="1" x14ac:dyDescent="0.2">
      <c r="A29" s="6" t="s">
        <v>125</v>
      </c>
      <c r="B29" s="6">
        <v>1961</v>
      </c>
      <c r="C29" s="6" t="s">
        <v>479</v>
      </c>
      <c r="D29" s="6" t="s">
        <v>479</v>
      </c>
      <c r="E29" s="43">
        <v>3.7</v>
      </c>
      <c r="F29" s="43">
        <v>57094</v>
      </c>
      <c r="G29" s="43">
        <v>3121</v>
      </c>
      <c r="H29" s="20">
        <v>216728</v>
      </c>
      <c r="I29" s="270">
        <v>39949</v>
      </c>
      <c r="J29" s="20">
        <v>4974</v>
      </c>
      <c r="K29" s="20">
        <v>2359</v>
      </c>
      <c r="L29" s="20">
        <v>49555</v>
      </c>
      <c r="M29" s="20">
        <v>1.24</v>
      </c>
      <c r="N29" s="20">
        <v>16.899999999999999</v>
      </c>
      <c r="O29" s="20">
        <v>0.13</v>
      </c>
      <c r="P29" s="20">
        <v>3454</v>
      </c>
      <c r="Q29" s="20">
        <v>2.13</v>
      </c>
      <c r="R29" s="21">
        <v>0.3</v>
      </c>
      <c r="S29" s="22">
        <v>0.21</v>
      </c>
      <c r="T29" s="23">
        <v>2</v>
      </c>
      <c r="U29" s="23">
        <v>3</v>
      </c>
      <c r="V29" s="23">
        <v>4</v>
      </c>
      <c r="W29" s="23">
        <v>2</v>
      </c>
      <c r="X29" s="23">
        <v>4</v>
      </c>
      <c r="Y29" s="23">
        <v>3</v>
      </c>
      <c r="Z29" s="23">
        <v>4</v>
      </c>
      <c r="AA29" s="9">
        <v>1</v>
      </c>
      <c r="AB29" s="9">
        <v>2</v>
      </c>
      <c r="AC29" s="9">
        <v>2</v>
      </c>
      <c r="AD29" s="9">
        <v>3</v>
      </c>
      <c r="AE29" s="9">
        <v>4</v>
      </c>
      <c r="AF29" s="23">
        <v>1</v>
      </c>
      <c r="AG29" s="23">
        <v>2</v>
      </c>
      <c r="AH29" s="23">
        <v>4</v>
      </c>
      <c r="AI29" s="23">
        <v>3</v>
      </c>
      <c r="AL29" s="20"/>
    </row>
    <row r="30" spans="1:54" ht="15.75" customHeight="1" x14ac:dyDescent="0.2">
      <c r="A30" s="6" t="s">
        <v>585</v>
      </c>
      <c r="B30" s="6">
        <v>2007</v>
      </c>
      <c r="C30" s="6" t="s">
        <v>355</v>
      </c>
      <c r="D30" s="6" t="s">
        <v>355</v>
      </c>
      <c r="E30" s="43">
        <v>3.74</v>
      </c>
      <c r="F30" s="43">
        <v>55926</v>
      </c>
      <c r="G30" s="43">
        <v>3066</v>
      </c>
      <c r="H30" s="20">
        <v>128998</v>
      </c>
      <c r="I30" s="270">
        <v>23514</v>
      </c>
      <c r="J30" s="20">
        <v>3740</v>
      </c>
      <c r="K30" s="20">
        <v>1476</v>
      </c>
      <c r="L30" s="20">
        <v>28940</v>
      </c>
      <c r="M30" s="20">
        <v>1.23</v>
      </c>
      <c r="N30" s="20">
        <v>15.9</v>
      </c>
      <c r="O30" s="20">
        <v>0.16</v>
      </c>
      <c r="P30" s="20">
        <v>2666</v>
      </c>
      <c r="Q30" s="20">
        <v>2.15</v>
      </c>
      <c r="R30" s="21">
        <v>0.28000000000000003</v>
      </c>
      <c r="S30" s="22">
        <v>0.22</v>
      </c>
      <c r="T30" s="23">
        <v>1</v>
      </c>
      <c r="U30" s="23">
        <v>3</v>
      </c>
      <c r="V30" s="23">
        <v>3</v>
      </c>
      <c r="W30" s="23">
        <v>2</v>
      </c>
      <c r="X30" s="23">
        <v>4</v>
      </c>
      <c r="Y30" s="23">
        <v>2</v>
      </c>
      <c r="Z30" s="23">
        <v>4</v>
      </c>
      <c r="AA30" s="9">
        <v>1</v>
      </c>
      <c r="AB30" s="9">
        <v>0</v>
      </c>
      <c r="AC30" s="9">
        <v>0</v>
      </c>
      <c r="AD30" s="9">
        <v>3</v>
      </c>
      <c r="AE30" s="9">
        <v>1</v>
      </c>
      <c r="AF30" s="23">
        <v>2</v>
      </c>
      <c r="AG30" s="23">
        <v>3</v>
      </c>
      <c r="AH30" s="23">
        <v>4</v>
      </c>
      <c r="AI30" s="23">
        <v>4</v>
      </c>
      <c r="AL30" s="20"/>
    </row>
    <row r="31" spans="1:54" ht="15.75" customHeight="1" x14ac:dyDescent="0.2">
      <c r="A31" s="6" t="s">
        <v>586</v>
      </c>
      <c r="B31" s="6">
        <v>1951</v>
      </c>
      <c r="C31" s="6" t="s">
        <v>372</v>
      </c>
      <c r="D31" s="6" t="s">
        <v>372</v>
      </c>
      <c r="E31" s="43">
        <v>3.8</v>
      </c>
      <c r="F31" s="43">
        <v>24285</v>
      </c>
      <c r="G31" s="43">
        <v>2977</v>
      </c>
      <c r="H31" s="20">
        <v>250096</v>
      </c>
      <c r="I31" s="270">
        <v>46299</v>
      </c>
      <c r="J31" s="20">
        <v>5458</v>
      </c>
      <c r="K31" s="20">
        <v>3100</v>
      </c>
      <c r="L31" s="20">
        <v>56443</v>
      </c>
      <c r="M31" s="20">
        <v>1.22</v>
      </c>
      <c r="N31" s="20">
        <v>14.9</v>
      </c>
      <c r="O31" s="20">
        <v>0.12</v>
      </c>
      <c r="P31" s="20">
        <v>3928</v>
      </c>
      <c r="Q31" s="20">
        <v>1.69</v>
      </c>
      <c r="R31" s="21">
        <v>0.28000000000000003</v>
      </c>
      <c r="S31" s="22">
        <v>0.19</v>
      </c>
      <c r="T31" s="23">
        <v>2</v>
      </c>
      <c r="U31" s="23">
        <v>3</v>
      </c>
      <c r="V31" s="23">
        <v>4</v>
      </c>
      <c r="W31" s="23">
        <v>1</v>
      </c>
      <c r="X31" s="23">
        <v>3</v>
      </c>
      <c r="Y31" s="23">
        <v>2</v>
      </c>
      <c r="Z31" s="23">
        <v>4</v>
      </c>
      <c r="AA31" s="9">
        <v>0</v>
      </c>
      <c r="AB31" s="9">
        <v>1</v>
      </c>
      <c r="AC31" s="9">
        <v>2</v>
      </c>
      <c r="AD31" s="9">
        <v>1</v>
      </c>
      <c r="AE31" s="9">
        <v>4</v>
      </c>
      <c r="AF31" s="23">
        <v>0</v>
      </c>
      <c r="AG31" s="23">
        <v>2</v>
      </c>
      <c r="AH31" s="23">
        <v>3</v>
      </c>
      <c r="AI31" s="23">
        <v>3</v>
      </c>
      <c r="AL31" s="20"/>
    </row>
    <row r="32" spans="1:54" ht="15.75" customHeight="1" x14ac:dyDescent="0.2">
      <c r="A32" s="34" t="s">
        <v>53</v>
      </c>
      <c r="B32" s="34">
        <v>1945</v>
      </c>
      <c r="C32" s="34" t="s">
        <v>54</v>
      </c>
      <c r="D32" s="6" t="s">
        <v>54</v>
      </c>
      <c r="E32" s="43">
        <v>4.0599999999999996</v>
      </c>
      <c r="F32" s="43">
        <v>143485</v>
      </c>
      <c r="G32" s="43">
        <v>2958</v>
      </c>
      <c r="H32" s="20">
        <v>263558</v>
      </c>
      <c r="I32" s="270">
        <v>50804</v>
      </c>
      <c r="J32" s="20">
        <v>5678</v>
      </c>
      <c r="K32" s="20">
        <v>3947</v>
      </c>
      <c r="L32" s="20">
        <v>61101</v>
      </c>
      <c r="M32" s="20">
        <v>1.2</v>
      </c>
      <c r="N32" s="20">
        <v>12.9</v>
      </c>
      <c r="O32" s="20">
        <v>0.11</v>
      </c>
      <c r="P32" s="20">
        <v>3987</v>
      </c>
      <c r="Q32" s="20">
        <v>1.63</v>
      </c>
      <c r="R32" s="21">
        <v>0.28999999999999998</v>
      </c>
      <c r="S32" s="22">
        <v>0.17</v>
      </c>
      <c r="T32" s="36">
        <v>2</v>
      </c>
      <c r="U32" s="36">
        <v>3</v>
      </c>
      <c r="V32" s="36">
        <v>3</v>
      </c>
      <c r="W32" s="36">
        <v>1</v>
      </c>
      <c r="X32" s="36">
        <v>4</v>
      </c>
      <c r="Y32" s="36">
        <v>2</v>
      </c>
      <c r="Z32" s="36">
        <v>3</v>
      </c>
      <c r="AA32" s="35">
        <v>3</v>
      </c>
      <c r="AB32" s="35">
        <v>0</v>
      </c>
      <c r="AC32" s="35">
        <v>1</v>
      </c>
      <c r="AD32" s="35">
        <v>2</v>
      </c>
      <c r="AE32" s="35">
        <v>1</v>
      </c>
      <c r="AF32" s="36">
        <v>2</v>
      </c>
      <c r="AG32" s="36">
        <v>2</v>
      </c>
      <c r="AH32" s="36">
        <v>0</v>
      </c>
      <c r="AI32" s="36">
        <v>3</v>
      </c>
      <c r="AJ32" s="34"/>
      <c r="AK32" s="34"/>
      <c r="AL32" s="281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</row>
    <row r="33" spans="1:54" ht="15.75" customHeight="1" x14ac:dyDescent="0.2">
      <c r="A33" s="6" t="s">
        <v>587</v>
      </c>
      <c r="B33" s="6">
        <v>1966</v>
      </c>
      <c r="C33" s="6" t="s">
        <v>528</v>
      </c>
      <c r="D33" s="6" t="s">
        <v>528</v>
      </c>
      <c r="E33" s="43">
        <v>3.69</v>
      </c>
      <c r="F33" s="43">
        <v>90078</v>
      </c>
      <c r="G33" s="43">
        <v>2856</v>
      </c>
      <c r="H33" s="20">
        <v>265896</v>
      </c>
      <c r="I33" s="270">
        <v>47836</v>
      </c>
      <c r="J33" s="20">
        <v>7463</v>
      </c>
      <c r="K33" s="20">
        <v>3216</v>
      </c>
      <c r="L33" s="20">
        <v>63279</v>
      </c>
      <c r="M33" s="20">
        <v>1.32</v>
      </c>
      <c r="N33" s="20">
        <v>14.9</v>
      </c>
      <c r="O33" s="20">
        <v>0.16</v>
      </c>
      <c r="P33" s="20">
        <v>5143</v>
      </c>
      <c r="Q33" s="20">
        <v>1.93</v>
      </c>
      <c r="R33" s="21">
        <v>0.26</v>
      </c>
      <c r="S33" s="22">
        <v>0.17</v>
      </c>
      <c r="T33" s="23">
        <v>3</v>
      </c>
      <c r="U33" s="23">
        <v>2</v>
      </c>
      <c r="V33" s="23">
        <v>3</v>
      </c>
      <c r="W33" s="23">
        <v>1</v>
      </c>
      <c r="X33" s="23">
        <v>4</v>
      </c>
      <c r="Y33" s="23">
        <v>1</v>
      </c>
      <c r="Z33" s="23">
        <v>3</v>
      </c>
      <c r="AA33" s="9">
        <v>0</v>
      </c>
      <c r="AB33" s="9">
        <v>4</v>
      </c>
      <c r="AC33" s="9">
        <v>1</v>
      </c>
      <c r="AD33" s="9">
        <v>3</v>
      </c>
      <c r="AE33" s="9">
        <v>2</v>
      </c>
      <c r="AF33" s="23">
        <v>0</v>
      </c>
      <c r="AG33" s="23">
        <v>2</v>
      </c>
      <c r="AH33" s="23">
        <v>4</v>
      </c>
      <c r="AI33" s="23">
        <v>3</v>
      </c>
      <c r="AL33" s="20"/>
    </row>
    <row r="34" spans="1:54" ht="15.75" customHeight="1" x14ac:dyDescent="0.2">
      <c r="A34" s="6" t="s">
        <v>588</v>
      </c>
      <c r="B34" s="6">
        <v>1898</v>
      </c>
      <c r="C34" s="6" t="s">
        <v>416</v>
      </c>
      <c r="D34" s="6" t="s">
        <v>416</v>
      </c>
      <c r="E34" s="43">
        <v>3.83</v>
      </c>
      <c r="F34" s="43">
        <v>326509</v>
      </c>
      <c r="G34" s="43">
        <v>2787</v>
      </c>
      <c r="H34" s="20">
        <v>333227</v>
      </c>
      <c r="I34" s="270">
        <v>60454</v>
      </c>
      <c r="J34" s="20">
        <v>6711</v>
      </c>
      <c r="K34" s="20">
        <v>3319</v>
      </c>
      <c r="L34" s="20">
        <v>74251</v>
      </c>
      <c r="M34" s="20">
        <v>1.23</v>
      </c>
      <c r="N34" s="20">
        <v>18.2</v>
      </c>
      <c r="O34" s="20">
        <v>0.11</v>
      </c>
      <c r="P34" s="20">
        <v>4899</v>
      </c>
      <c r="Q34" s="20">
        <v>1.83</v>
      </c>
      <c r="R34" s="21">
        <v>0.31</v>
      </c>
      <c r="S34" s="22">
        <v>0.25</v>
      </c>
      <c r="T34" s="23">
        <v>2</v>
      </c>
      <c r="U34" s="23">
        <v>3</v>
      </c>
      <c r="V34" s="23">
        <v>4</v>
      </c>
      <c r="W34" s="23">
        <v>2</v>
      </c>
      <c r="X34" s="23">
        <v>3</v>
      </c>
      <c r="Y34" s="23">
        <v>1</v>
      </c>
      <c r="Z34" s="23">
        <v>3</v>
      </c>
      <c r="AA34" s="9">
        <v>0</v>
      </c>
      <c r="AB34" s="9">
        <v>1</v>
      </c>
      <c r="AC34" s="9">
        <v>0</v>
      </c>
      <c r="AD34" s="9">
        <v>2</v>
      </c>
      <c r="AE34" s="9">
        <v>2</v>
      </c>
      <c r="AF34" s="23">
        <v>1</v>
      </c>
      <c r="AG34" s="23">
        <v>2</v>
      </c>
      <c r="AH34" s="23">
        <v>0</v>
      </c>
      <c r="AI34" s="23">
        <v>3</v>
      </c>
      <c r="AL34" s="20"/>
    </row>
    <row r="35" spans="1:54" ht="15.75" customHeight="1" x14ac:dyDescent="0.2">
      <c r="A35" s="6" t="s">
        <v>589</v>
      </c>
      <c r="B35" s="6">
        <v>1982</v>
      </c>
      <c r="C35" s="6" t="s">
        <v>505</v>
      </c>
      <c r="D35" s="6" t="s">
        <v>505</v>
      </c>
      <c r="E35" s="43">
        <v>4.29</v>
      </c>
      <c r="F35" s="43">
        <v>44004</v>
      </c>
      <c r="G35" s="43">
        <v>2765</v>
      </c>
      <c r="H35" s="20">
        <v>109916</v>
      </c>
      <c r="I35" s="270">
        <v>21593</v>
      </c>
      <c r="J35" s="20">
        <v>2151</v>
      </c>
      <c r="K35" s="20">
        <v>1965</v>
      </c>
      <c r="L35" s="20">
        <v>26099</v>
      </c>
      <c r="M35" s="20">
        <v>1.21</v>
      </c>
      <c r="N35" s="20">
        <v>11</v>
      </c>
      <c r="O35" s="20">
        <v>0.1</v>
      </c>
      <c r="P35" s="20">
        <v>1370</v>
      </c>
      <c r="Q35" s="20">
        <v>1.75</v>
      </c>
      <c r="R35" s="21">
        <v>0.27</v>
      </c>
      <c r="S35" s="22">
        <v>0.19</v>
      </c>
      <c r="T35" s="23">
        <v>2</v>
      </c>
      <c r="U35" s="23">
        <v>3</v>
      </c>
      <c r="V35" s="23">
        <v>4</v>
      </c>
      <c r="W35" s="23">
        <v>2</v>
      </c>
      <c r="X35" s="23">
        <v>3</v>
      </c>
      <c r="Y35" s="23">
        <v>3</v>
      </c>
      <c r="Z35" s="23">
        <v>2</v>
      </c>
      <c r="AA35" s="9">
        <v>0</v>
      </c>
      <c r="AB35" s="9">
        <v>3</v>
      </c>
      <c r="AC35" s="9">
        <v>0</v>
      </c>
      <c r="AD35" s="9">
        <v>0</v>
      </c>
      <c r="AE35" s="9">
        <v>4</v>
      </c>
      <c r="AF35" s="23">
        <v>1</v>
      </c>
      <c r="AG35" s="23">
        <v>2</v>
      </c>
      <c r="AH35" s="23">
        <v>0</v>
      </c>
      <c r="AI35" s="23">
        <v>3</v>
      </c>
      <c r="AL35" s="20"/>
    </row>
    <row r="36" spans="1:54" ht="15.75" customHeight="1" x14ac:dyDescent="0.2">
      <c r="A36" s="261" t="s">
        <v>13</v>
      </c>
      <c r="B36" s="261">
        <v>1891</v>
      </c>
      <c r="C36" s="261" t="s">
        <v>14</v>
      </c>
      <c r="D36" s="261" t="s">
        <v>14</v>
      </c>
      <c r="E36" s="262">
        <v>4.13</v>
      </c>
      <c r="F36" s="262">
        <v>1644003</v>
      </c>
      <c r="G36" s="262">
        <v>2753</v>
      </c>
      <c r="H36" s="263">
        <v>292429</v>
      </c>
      <c r="I36" s="263">
        <v>55320</v>
      </c>
      <c r="J36" s="263">
        <v>5459</v>
      </c>
      <c r="K36" s="263">
        <v>4177</v>
      </c>
      <c r="L36" s="263">
        <v>68581</v>
      </c>
      <c r="M36" s="263">
        <v>1.24</v>
      </c>
      <c r="N36" s="263">
        <v>13.2</v>
      </c>
      <c r="O36" s="263">
        <v>0.1</v>
      </c>
      <c r="P36" s="263">
        <v>3762</v>
      </c>
      <c r="Q36" s="263">
        <v>1.72</v>
      </c>
      <c r="R36" s="264">
        <v>0.28000000000000003</v>
      </c>
      <c r="S36" s="265">
        <v>0.16</v>
      </c>
      <c r="T36" s="266">
        <v>2</v>
      </c>
      <c r="U36" s="266">
        <v>3</v>
      </c>
      <c r="V36" s="266">
        <v>4</v>
      </c>
      <c r="W36" s="266">
        <v>2</v>
      </c>
      <c r="X36" s="266">
        <v>3</v>
      </c>
      <c r="Y36" s="266">
        <v>1</v>
      </c>
      <c r="Z36" s="266">
        <v>4</v>
      </c>
      <c r="AA36" s="267">
        <v>0</v>
      </c>
      <c r="AB36" s="267">
        <v>2</v>
      </c>
      <c r="AC36" s="267">
        <v>1</v>
      </c>
      <c r="AD36" s="267">
        <v>3</v>
      </c>
      <c r="AE36" s="267">
        <v>4</v>
      </c>
      <c r="AF36" s="266">
        <v>1</v>
      </c>
      <c r="AG36" s="266">
        <v>2</v>
      </c>
      <c r="AH36" s="266">
        <v>0</v>
      </c>
      <c r="AI36" s="266">
        <v>3</v>
      </c>
      <c r="AJ36" s="261"/>
      <c r="AK36" s="261"/>
      <c r="AL36" s="263"/>
      <c r="AM36" s="261"/>
      <c r="AN36" s="261"/>
      <c r="AO36" s="261"/>
      <c r="AP36" s="261"/>
      <c r="AQ36" s="261"/>
      <c r="AR36" s="261"/>
      <c r="AS36" s="261"/>
      <c r="AT36" s="261"/>
      <c r="AU36" s="261"/>
      <c r="AV36" s="261"/>
      <c r="AW36" s="261"/>
      <c r="AX36" s="261"/>
      <c r="AY36" s="261"/>
      <c r="AZ36" s="261"/>
      <c r="BA36" s="261"/>
      <c r="BB36" s="261"/>
    </row>
    <row r="37" spans="1:54" ht="15.75" customHeight="1" x14ac:dyDescent="0.2">
      <c r="A37" s="6" t="s">
        <v>590</v>
      </c>
      <c r="B37" s="6">
        <v>1980</v>
      </c>
      <c r="C37" s="6" t="s">
        <v>522</v>
      </c>
      <c r="D37" s="6" t="s">
        <v>522</v>
      </c>
      <c r="E37" s="43">
        <v>3.94</v>
      </c>
      <c r="F37" s="43">
        <v>164531</v>
      </c>
      <c r="G37" s="43">
        <v>2703</v>
      </c>
      <c r="H37" s="20">
        <v>272998</v>
      </c>
      <c r="I37" s="270">
        <v>51944</v>
      </c>
      <c r="J37" s="20">
        <v>5663</v>
      </c>
      <c r="K37" s="20">
        <v>4831</v>
      </c>
      <c r="L37" s="20">
        <v>66619</v>
      </c>
      <c r="M37" s="20">
        <v>1.28</v>
      </c>
      <c r="N37" s="20">
        <v>10.8</v>
      </c>
      <c r="O37" s="20">
        <v>0.11</v>
      </c>
      <c r="P37" s="20">
        <v>3917</v>
      </c>
      <c r="Q37" s="20">
        <v>1.62</v>
      </c>
      <c r="R37" s="21">
        <v>0.26</v>
      </c>
      <c r="S37" s="22">
        <v>0.16</v>
      </c>
      <c r="T37" s="23">
        <v>3</v>
      </c>
      <c r="U37" s="23">
        <v>4</v>
      </c>
      <c r="V37" s="23">
        <v>4</v>
      </c>
      <c r="W37" s="23">
        <v>3</v>
      </c>
      <c r="X37" s="23">
        <v>4</v>
      </c>
      <c r="Y37" s="23">
        <v>2</v>
      </c>
      <c r="Z37" s="23">
        <v>3</v>
      </c>
      <c r="AA37" s="9">
        <v>0</v>
      </c>
      <c r="AB37" s="9">
        <v>1</v>
      </c>
      <c r="AC37" s="9">
        <v>1</v>
      </c>
      <c r="AD37" s="9">
        <v>2</v>
      </c>
      <c r="AE37" s="9">
        <v>3</v>
      </c>
      <c r="AF37" s="23">
        <v>1</v>
      </c>
      <c r="AG37" s="23">
        <v>2</v>
      </c>
      <c r="AH37" s="23">
        <v>1</v>
      </c>
      <c r="AI37" s="23">
        <v>4</v>
      </c>
      <c r="AL37" s="20"/>
    </row>
    <row r="38" spans="1:54" ht="15.75" customHeight="1" x14ac:dyDescent="0.2">
      <c r="A38" s="6" t="s">
        <v>123</v>
      </c>
      <c r="B38" s="6">
        <v>1902</v>
      </c>
      <c r="C38" s="6" t="s">
        <v>365</v>
      </c>
      <c r="D38" s="6" t="s">
        <v>365</v>
      </c>
      <c r="E38" s="43">
        <v>4.13</v>
      </c>
      <c r="F38" s="43">
        <v>360579</v>
      </c>
      <c r="G38" s="43">
        <v>2678</v>
      </c>
      <c r="H38" s="20">
        <v>315319</v>
      </c>
      <c r="I38" s="270">
        <v>59829</v>
      </c>
      <c r="J38" s="20">
        <v>5765</v>
      </c>
      <c r="K38" s="20">
        <v>4106</v>
      </c>
      <c r="L38" s="20">
        <v>73051</v>
      </c>
      <c r="M38" s="20">
        <v>1.22</v>
      </c>
      <c r="N38" s="20">
        <v>14.6</v>
      </c>
      <c r="O38" s="20">
        <v>0.1</v>
      </c>
      <c r="P38" s="20">
        <v>4068</v>
      </c>
      <c r="Q38" s="20">
        <v>1.79</v>
      </c>
      <c r="R38" s="21">
        <v>0.28000000000000003</v>
      </c>
      <c r="S38" s="22">
        <v>0.19</v>
      </c>
      <c r="T38" s="23">
        <v>3</v>
      </c>
      <c r="U38" s="23">
        <v>4</v>
      </c>
      <c r="V38" s="23">
        <v>4</v>
      </c>
      <c r="W38" s="23">
        <v>3</v>
      </c>
      <c r="X38" s="23">
        <v>4</v>
      </c>
      <c r="Y38" s="23">
        <v>2</v>
      </c>
      <c r="Z38" s="23">
        <v>3</v>
      </c>
      <c r="AA38" s="9">
        <v>0</v>
      </c>
      <c r="AB38" s="9">
        <v>4</v>
      </c>
      <c r="AC38" s="9">
        <v>1</v>
      </c>
      <c r="AD38" s="9">
        <v>0</v>
      </c>
      <c r="AE38" s="9">
        <v>2</v>
      </c>
      <c r="AF38" s="23">
        <v>1</v>
      </c>
      <c r="AG38" s="23">
        <v>2</v>
      </c>
      <c r="AH38" s="23">
        <v>0</v>
      </c>
      <c r="AI38" s="23">
        <v>3</v>
      </c>
      <c r="AL38" s="20"/>
    </row>
    <row r="39" spans="1:54" ht="15.75" customHeight="1" x14ac:dyDescent="0.2">
      <c r="A39" s="6" t="s">
        <v>121</v>
      </c>
      <c r="B39" s="6">
        <v>1956</v>
      </c>
      <c r="C39" s="6" t="s">
        <v>436</v>
      </c>
      <c r="D39" s="6" t="s">
        <v>436</v>
      </c>
      <c r="E39" s="43">
        <v>4.33</v>
      </c>
      <c r="F39" s="43">
        <v>186526</v>
      </c>
      <c r="G39" s="43">
        <v>2647</v>
      </c>
      <c r="H39" s="20">
        <v>290764</v>
      </c>
      <c r="I39" s="270">
        <v>56083</v>
      </c>
      <c r="J39" s="20">
        <v>4952</v>
      </c>
      <c r="K39" s="20">
        <v>4083</v>
      </c>
      <c r="L39" s="20">
        <v>69044</v>
      </c>
      <c r="M39" s="20">
        <v>1.23</v>
      </c>
      <c r="N39" s="20">
        <v>13.7</v>
      </c>
      <c r="O39" s="20">
        <v>0.09</v>
      </c>
      <c r="P39" s="20">
        <v>3536</v>
      </c>
      <c r="Q39" s="20">
        <v>2.04</v>
      </c>
      <c r="R39" s="21">
        <v>0.31</v>
      </c>
      <c r="S39" s="22">
        <v>0.2</v>
      </c>
      <c r="T39" s="23">
        <v>2</v>
      </c>
      <c r="U39" s="23">
        <v>3</v>
      </c>
      <c r="V39" s="23">
        <v>4</v>
      </c>
      <c r="W39" s="23">
        <v>2</v>
      </c>
      <c r="X39" s="23">
        <v>3</v>
      </c>
      <c r="Y39" s="23">
        <v>1</v>
      </c>
      <c r="Z39" s="23">
        <v>4</v>
      </c>
      <c r="AA39" s="9">
        <v>0</v>
      </c>
      <c r="AB39" s="9">
        <v>1</v>
      </c>
      <c r="AC39" s="9">
        <v>2</v>
      </c>
      <c r="AD39" s="9">
        <v>1</v>
      </c>
      <c r="AE39" s="9">
        <v>4</v>
      </c>
      <c r="AF39" s="23">
        <v>0</v>
      </c>
      <c r="AG39" s="23">
        <v>2</v>
      </c>
      <c r="AH39" s="23">
        <v>1</v>
      </c>
      <c r="AI39" s="23">
        <v>3</v>
      </c>
      <c r="AL39" s="20"/>
    </row>
    <row r="40" spans="1:54" ht="15.75" customHeight="1" x14ac:dyDescent="0.2">
      <c r="A40" s="6" t="s">
        <v>591</v>
      </c>
      <c r="B40" s="6">
        <v>1976</v>
      </c>
      <c r="C40" s="6" t="s">
        <v>488</v>
      </c>
      <c r="D40" s="6" t="s">
        <v>488</v>
      </c>
      <c r="E40" s="43">
        <v>4.1500000000000004</v>
      </c>
      <c r="F40" s="43">
        <v>10836</v>
      </c>
      <c r="G40" s="43">
        <v>2473</v>
      </c>
      <c r="H40" s="20">
        <v>290764</v>
      </c>
      <c r="I40" s="270">
        <v>56083</v>
      </c>
      <c r="J40" s="20">
        <v>4952</v>
      </c>
      <c r="K40" s="20">
        <v>4083</v>
      </c>
      <c r="L40" s="20">
        <v>69044</v>
      </c>
      <c r="M40" s="20">
        <v>1.23</v>
      </c>
      <c r="N40" s="20">
        <v>13.7</v>
      </c>
      <c r="O40" s="20">
        <v>0.09</v>
      </c>
      <c r="P40" s="20">
        <v>3536</v>
      </c>
      <c r="Q40" s="20">
        <v>2.04</v>
      </c>
      <c r="R40" s="21">
        <v>0.31</v>
      </c>
      <c r="S40" s="22">
        <v>0.2</v>
      </c>
      <c r="T40" s="23">
        <v>2</v>
      </c>
      <c r="U40" s="23">
        <v>3</v>
      </c>
      <c r="V40" s="23">
        <v>4</v>
      </c>
      <c r="W40" s="23">
        <v>1</v>
      </c>
      <c r="X40" s="23">
        <v>3</v>
      </c>
      <c r="Y40" s="23">
        <v>2</v>
      </c>
      <c r="Z40" s="23">
        <v>4</v>
      </c>
      <c r="AA40" s="9">
        <v>0</v>
      </c>
      <c r="AB40" s="9">
        <v>1</v>
      </c>
      <c r="AC40" s="9">
        <v>2</v>
      </c>
      <c r="AD40" s="9">
        <v>1</v>
      </c>
      <c r="AE40" s="9">
        <v>4</v>
      </c>
      <c r="AF40" s="23">
        <v>0</v>
      </c>
      <c r="AG40" s="23">
        <v>2</v>
      </c>
      <c r="AH40" s="23">
        <v>1</v>
      </c>
      <c r="AI40" s="23">
        <v>3</v>
      </c>
      <c r="AL40" s="20"/>
    </row>
    <row r="41" spans="1:54" ht="15.75" customHeight="1" x14ac:dyDescent="0.2">
      <c r="A41" s="6" t="s">
        <v>592</v>
      </c>
      <c r="B41" s="6">
        <v>1897</v>
      </c>
      <c r="C41" s="6" t="s">
        <v>416</v>
      </c>
      <c r="D41" s="6" t="s">
        <v>416</v>
      </c>
      <c r="E41" s="43">
        <v>3.63</v>
      </c>
      <c r="F41" s="43">
        <v>202256</v>
      </c>
      <c r="G41" s="43">
        <v>2472</v>
      </c>
      <c r="H41" s="20">
        <v>269649</v>
      </c>
      <c r="I41" s="270">
        <v>49697</v>
      </c>
      <c r="J41" s="20">
        <v>5683</v>
      </c>
      <c r="K41" s="20">
        <v>4167</v>
      </c>
      <c r="L41" s="20">
        <v>63291</v>
      </c>
      <c r="M41" s="20">
        <v>1.27</v>
      </c>
      <c r="N41" s="20">
        <v>11.9</v>
      </c>
      <c r="O41" s="20">
        <v>0.11</v>
      </c>
      <c r="P41" s="20">
        <v>4202</v>
      </c>
      <c r="Q41" s="20">
        <v>1.73</v>
      </c>
      <c r="R41" s="21">
        <v>0.28000000000000003</v>
      </c>
      <c r="S41" s="22">
        <v>0.18</v>
      </c>
      <c r="T41" s="23">
        <v>3</v>
      </c>
      <c r="U41" s="23">
        <v>4</v>
      </c>
      <c r="V41" s="23">
        <v>4</v>
      </c>
      <c r="W41" s="23">
        <v>2</v>
      </c>
      <c r="X41" s="23">
        <v>3</v>
      </c>
      <c r="Y41" s="23">
        <v>1</v>
      </c>
      <c r="Z41" s="23">
        <v>3</v>
      </c>
      <c r="AA41" s="9">
        <v>0</v>
      </c>
      <c r="AB41" s="9">
        <v>2</v>
      </c>
      <c r="AC41" s="9">
        <v>0</v>
      </c>
      <c r="AD41" s="9">
        <v>2</v>
      </c>
      <c r="AE41" s="9">
        <v>4</v>
      </c>
      <c r="AF41" s="23">
        <v>1</v>
      </c>
      <c r="AG41" s="23">
        <v>2</v>
      </c>
      <c r="AH41" s="23">
        <v>0</v>
      </c>
      <c r="AI41" s="23">
        <v>3</v>
      </c>
      <c r="AL41" s="20"/>
    </row>
    <row r="42" spans="1:54" ht="15.75" customHeight="1" x14ac:dyDescent="0.2">
      <c r="A42" s="6" t="s">
        <v>593</v>
      </c>
      <c r="B42" s="6">
        <v>1984</v>
      </c>
      <c r="C42" s="6" t="s">
        <v>511</v>
      </c>
      <c r="D42" s="6" t="s">
        <v>511</v>
      </c>
      <c r="E42" s="43">
        <v>3.69</v>
      </c>
      <c r="F42" s="43">
        <v>205418</v>
      </c>
      <c r="G42" s="43">
        <v>2287</v>
      </c>
      <c r="H42" s="20">
        <v>92569</v>
      </c>
      <c r="I42" s="270">
        <v>18526</v>
      </c>
      <c r="J42" s="20">
        <v>2397</v>
      </c>
      <c r="K42" s="20">
        <v>1494</v>
      </c>
      <c r="L42" s="20">
        <v>22058</v>
      </c>
      <c r="M42" s="20">
        <v>1.19</v>
      </c>
      <c r="N42" s="20">
        <v>12.4</v>
      </c>
      <c r="O42" s="20">
        <v>0.13</v>
      </c>
      <c r="P42" s="20">
        <v>1512</v>
      </c>
      <c r="Q42" s="20">
        <v>1.75</v>
      </c>
      <c r="R42" s="21">
        <v>0.28999999999999998</v>
      </c>
      <c r="S42" s="22">
        <v>0.2</v>
      </c>
      <c r="T42" s="23">
        <v>2</v>
      </c>
      <c r="U42" s="23">
        <v>1</v>
      </c>
      <c r="V42" s="23">
        <v>2</v>
      </c>
      <c r="W42" s="23">
        <v>2</v>
      </c>
      <c r="X42" s="23">
        <v>3</v>
      </c>
      <c r="Y42" s="23">
        <v>2</v>
      </c>
      <c r="Z42" s="23">
        <v>4</v>
      </c>
      <c r="AA42" s="9">
        <v>0</v>
      </c>
      <c r="AB42" s="9">
        <v>0</v>
      </c>
      <c r="AC42" s="9">
        <v>1</v>
      </c>
      <c r="AD42" s="9">
        <v>2</v>
      </c>
      <c r="AE42" s="9">
        <v>2</v>
      </c>
      <c r="AF42" s="23">
        <v>1</v>
      </c>
      <c r="AG42" s="23">
        <v>2</v>
      </c>
      <c r="AH42" s="23">
        <v>4</v>
      </c>
      <c r="AI42" s="23">
        <v>3</v>
      </c>
      <c r="AL42" s="20"/>
    </row>
    <row r="43" spans="1:54" ht="15.75" customHeight="1" x14ac:dyDescent="0.2">
      <c r="A43" s="6" t="s">
        <v>594</v>
      </c>
      <c r="B43" s="6">
        <v>1889</v>
      </c>
      <c r="C43" s="6" t="s">
        <v>507</v>
      </c>
      <c r="D43" s="6" t="s">
        <v>507</v>
      </c>
      <c r="E43" s="43">
        <v>3.69</v>
      </c>
      <c r="F43" s="43">
        <v>12885</v>
      </c>
      <c r="G43" s="43">
        <v>2249</v>
      </c>
      <c r="H43" s="20">
        <v>75919</v>
      </c>
      <c r="I43" s="270">
        <v>14791</v>
      </c>
      <c r="J43" s="20">
        <v>2446</v>
      </c>
      <c r="K43" s="20">
        <v>854</v>
      </c>
      <c r="L43" s="20">
        <v>18585</v>
      </c>
      <c r="M43" s="20">
        <v>1.26</v>
      </c>
      <c r="N43" s="20">
        <v>17.3</v>
      </c>
      <c r="O43" s="20">
        <v>0.17</v>
      </c>
      <c r="P43" s="20">
        <v>1621</v>
      </c>
      <c r="Q43" s="20">
        <v>1.99</v>
      </c>
      <c r="R43" s="21">
        <v>0.26</v>
      </c>
      <c r="S43" s="22">
        <v>0.19</v>
      </c>
      <c r="T43" s="23">
        <v>3</v>
      </c>
      <c r="U43" s="23">
        <v>4</v>
      </c>
      <c r="V43" s="23">
        <v>4</v>
      </c>
      <c r="W43" s="23">
        <v>3</v>
      </c>
      <c r="X43" s="23">
        <v>2</v>
      </c>
      <c r="Y43" s="23">
        <v>4</v>
      </c>
      <c r="Z43" s="23">
        <v>3</v>
      </c>
      <c r="AA43" s="9">
        <v>0</v>
      </c>
      <c r="AB43" s="9">
        <v>1</v>
      </c>
      <c r="AC43" s="9">
        <v>0</v>
      </c>
      <c r="AD43" s="9">
        <v>2</v>
      </c>
      <c r="AE43" s="9">
        <v>4</v>
      </c>
      <c r="AF43" s="23">
        <v>1</v>
      </c>
      <c r="AG43" s="23">
        <v>2</v>
      </c>
      <c r="AH43" s="23">
        <v>0</v>
      </c>
      <c r="AI43" s="23">
        <v>3</v>
      </c>
      <c r="AL43" s="20"/>
    </row>
    <row r="44" spans="1:54" ht="15.75" customHeight="1" x14ac:dyDescent="0.2">
      <c r="A44" s="6" t="s">
        <v>595</v>
      </c>
      <c r="B44" s="6">
        <v>1980</v>
      </c>
      <c r="C44" s="6" t="s">
        <v>431</v>
      </c>
      <c r="D44" s="6" t="s">
        <v>431</v>
      </c>
      <c r="E44" s="43">
        <v>4.1100000000000003</v>
      </c>
      <c r="F44" s="43">
        <v>19521</v>
      </c>
      <c r="G44" s="43">
        <v>1715</v>
      </c>
      <c r="H44" s="20">
        <v>198521</v>
      </c>
      <c r="I44" s="270">
        <v>37659</v>
      </c>
      <c r="J44" s="20">
        <v>5418</v>
      </c>
      <c r="K44" s="20">
        <v>2664</v>
      </c>
      <c r="L44" s="20">
        <v>47687</v>
      </c>
      <c r="M44" s="20">
        <v>1.27</v>
      </c>
      <c r="N44" s="20">
        <v>14.1</v>
      </c>
      <c r="O44" s="20">
        <v>0.14000000000000001</v>
      </c>
      <c r="P44" s="20">
        <v>3836</v>
      </c>
      <c r="Q44" s="20">
        <v>1.97</v>
      </c>
      <c r="R44" s="21">
        <v>0.26</v>
      </c>
      <c r="S44" s="22">
        <v>0.18</v>
      </c>
      <c r="T44" s="23">
        <v>2</v>
      </c>
      <c r="U44" s="23">
        <v>3</v>
      </c>
      <c r="V44" s="23">
        <v>4</v>
      </c>
      <c r="W44" s="23">
        <v>2</v>
      </c>
      <c r="X44" s="23">
        <v>3</v>
      </c>
      <c r="Y44" s="23">
        <v>4</v>
      </c>
      <c r="Z44" s="23">
        <v>3</v>
      </c>
      <c r="AA44" s="9">
        <v>1</v>
      </c>
      <c r="AB44" s="9">
        <v>2</v>
      </c>
      <c r="AC44" s="9">
        <v>3</v>
      </c>
      <c r="AD44" s="9">
        <v>1</v>
      </c>
      <c r="AE44" s="9">
        <v>2</v>
      </c>
      <c r="AF44" s="23">
        <v>1</v>
      </c>
      <c r="AG44" s="23">
        <v>2</v>
      </c>
      <c r="AH44" s="23">
        <v>1</v>
      </c>
      <c r="AI44" s="23">
        <v>3</v>
      </c>
      <c r="AL44" s="20"/>
    </row>
    <row r="45" spans="1:54" ht="15.75" customHeight="1" x14ac:dyDescent="0.2">
      <c r="A45" s="6" t="s">
        <v>119</v>
      </c>
      <c r="B45" s="6">
        <v>1951</v>
      </c>
      <c r="C45" s="6" t="s">
        <v>429</v>
      </c>
      <c r="D45" s="6" t="s">
        <v>429</v>
      </c>
      <c r="E45" s="43">
        <v>3.8</v>
      </c>
      <c r="F45" s="43">
        <v>3649835</v>
      </c>
      <c r="G45" s="43">
        <v>1684</v>
      </c>
      <c r="H45" s="20">
        <v>380847</v>
      </c>
      <c r="I45" s="270">
        <v>77655</v>
      </c>
      <c r="J45" s="20">
        <v>4018</v>
      </c>
      <c r="K45" s="20">
        <v>7285</v>
      </c>
      <c r="L45" s="20">
        <v>95428</v>
      </c>
      <c r="M45" s="20">
        <v>1.23</v>
      </c>
      <c r="N45" s="20">
        <v>10.7</v>
      </c>
      <c r="O45" s="20">
        <v>0.05</v>
      </c>
      <c r="P45" s="20">
        <v>2546</v>
      </c>
      <c r="Q45" s="20">
        <v>1.72</v>
      </c>
      <c r="R45" s="21">
        <v>0.28999999999999998</v>
      </c>
      <c r="S45" s="22">
        <v>0.17</v>
      </c>
      <c r="T45" s="23">
        <v>2</v>
      </c>
      <c r="U45" s="23">
        <v>3</v>
      </c>
      <c r="V45" s="23">
        <v>4</v>
      </c>
      <c r="W45" s="23">
        <v>2</v>
      </c>
      <c r="X45" s="23">
        <v>4</v>
      </c>
      <c r="Y45" s="23">
        <v>1</v>
      </c>
      <c r="Z45" s="23">
        <v>3</v>
      </c>
      <c r="AA45" s="9">
        <v>0</v>
      </c>
      <c r="AB45" s="9">
        <v>1</v>
      </c>
      <c r="AC45" s="9">
        <v>1</v>
      </c>
      <c r="AD45" s="9">
        <v>3</v>
      </c>
      <c r="AE45" s="9">
        <v>2</v>
      </c>
      <c r="AF45" s="23">
        <v>1</v>
      </c>
      <c r="AG45" s="23">
        <v>2</v>
      </c>
      <c r="AH45" s="23">
        <v>0</v>
      </c>
      <c r="AI45" s="23">
        <v>3</v>
      </c>
      <c r="AL45" s="20"/>
    </row>
    <row r="46" spans="1:54" ht="15.75" customHeight="1" x14ac:dyDescent="0.2">
      <c r="A46" s="6" t="s">
        <v>596</v>
      </c>
      <c r="B46" s="6">
        <v>1946</v>
      </c>
      <c r="C46" s="6" t="s">
        <v>370</v>
      </c>
      <c r="D46" s="6" t="s">
        <v>370</v>
      </c>
      <c r="E46" s="43">
        <v>4.32</v>
      </c>
      <c r="F46" s="43">
        <v>160848</v>
      </c>
      <c r="G46" s="43">
        <v>1645</v>
      </c>
      <c r="H46" s="20">
        <v>153301</v>
      </c>
      <c r="I46" s="270">
        <v>29844</v>
      </c>
      <c r="J46" s="20">
        <v>3727</v>
      </c>
      <c r="K46" s="20">
        <v>2453</v>
      </c>
      <c r="L46" s="20">
        <v>36271</v>
      </c>
      <c r="M46" s="20">
        <v>1.22</v>
      </c>
      <c r="N46" s="20">
        <v>12.2</v>
      </c>
      <c r="O46" s="20">
        <v>0.13</v>
      </c>
      <c r="P46" s="20">
        <v>2650</v>
      </c>
      <c r="Q46" s="20">
        <v>1.84</v>
      </c>
      <c r="R46" s="21">
        <v>0.28000000000000003</v>
      </c>
      <c r="S46" s="22">
        <v>0.17</v>
      </c>
      <c r="T46" s="23">
        <v>2</v>
      </c>
      <c r="U46" s="23">
        <v>3</v>
      </c>
      <c r="V46" s="23">
        <v>4</v>
      </c>
      <c r="W46" s="23">
        <v>2</v>
      </c>
      <c r="X46" s="23">
        <v>4</v>
      </c>
      <c r="Y46" s="23">
        <v>1</v>
      </c>
      <c r="Z46" s="23">
        <v>2</v>
      </c>
      <c r="AA46" s="9">
        <v>1</v>
      </c>
      <c r="AB46" s="9">
        <v>0</v>
      </c>
      <c r="AC46" s="9">
        <v>1</v>
      </c>
      <c r="AD46" s="9">
        <v>2</v>
      </c>
      <c r="AE46" s="9">
        <v>3</v>
      </c>
      <c r="AF46" s="23">
        <v>0</v>
      </c>
      <c r="AG46" s="23">
        <v>3</v>
      </c>
      <c r="AH46" s="23">
        <v>2</v>
      </c>
      <c r="AI46" s="23">
        <v>3</v>
      </c>
      <c r="AL46" s="20"/>
    </row>
    <row r="47" spans="1:54" ht="15.75" customHeight="1" x14ac:dyDescent="0.2">
      <c r="A47" s="6" t="s">
        <v>597</v>
      </c>
      <c r="B47" s="6">
        <v>2017</v>
      </c>
      <c r="C47" s="6" t="s">
        <v>474</v>
      </c>
      <c r="D47" s="6" t="s">
        <v>474</v>
      </c>
      <c r="E47" s="43">
        <v>4.1399999999999997</v>
      </c>
      <c r="F47" s="43">
        <v>274448</v>
      </c>
      <c r="G47" s="43">
        <v>1395</v>
      </c>
      <c r="H47" s="20">
        <v>169820</v>
      </c>
      <c r="I47" s="270">
        <v>32054</v>
      </c>
      <c r="J47" s="20">
        <v>3275</v>
      </c>
      <c r="K47" s="20">
        <v>2271</v>
      </c>
      <c r="L47" s="20">
        <v>38810</v>
      </c>
      <c r="M47" s="20">
        <v>1.21</v>
      </c>
      <c r="N47" s="20">
        <v>14.1</v>
      </c>
      <c r="O47" s="20">
        <v>0.1</v>
      </c>
      <c r="P47" s="20">
        <v>2284</v>
      </c>
      <c r="Q47" s="20">
        <v>2.06</v>
      </c>
      <c r="R47" s="21">
        <v>0.26</v>
      </c>
      <c r="S47" s="22">
        <v>0.19</v>
      </c>
      <c r="T47" s="23">
        <v>3</v>
      </c>
      <c r="U47" s="23">
        <v>4</v>
      </c>
      <c r="V47" s="23">
        <v>4</v>
      </c>
      <c r="W47" s="23">
        <v>3</v>
      </c>
      <c r="X47" s="23">
        <v>4</v>
      </c>
      <c r="Y47" s="23">
        <v>2</v>
      </c>
      <c r="Z47" s="23">
        <v>3</v>
      </c>
      <c r="AA47" s="9">
        <v>1</v>
      </c>
      <c r="AB47" s="9">
        <v>3</v>
      </c>
      <c r="AC47" s="9">
        <v>0</v>
      </c>
      <c r="AD47" s="9">
        <v>2</v>
      </c>
      <c r="AE47" s="9">
        <v>1</v>
      </c>
      <c r="AF47" s="23">
        <v>2</v>
      </c>
      <c r="AG47" s="23">
        <v>3</v>
      </c>
      <c r="AH47" s="23">
        <v>4</v>
      </c>
      <c r="AI47" s="23">
        <v>4</v>
      </c>
      <c r="AL47" s="20"/>
    </row>
    <row r="48" spans="1:54" ht="15.75" customHeight="1" x14ac:dyDescent="0.2">
      <c r="A48" s="6" t="s">
        <v>598</v>
      </c>
      <c r="B48" s="6">
        <v>1999</v>
      </c>
      <c r="C48" s="6" t="s">
        <v>520</v>
      </c>
      <c r="D48" s="6" t="s">
        <v>520</v>
      </c>
      <c r="E48" s="43">
        <v>4.2300000000000004</v>
      </c>
      <c r="F48" s="43">
        <v>1868869</v>
      </c>
      <c r="G48" s="43">
        <v>1369</v>
      </c>
      <c r="H48" s="20">
        <v>323762</v>
      </c>
      <c r="I48" s="270">
        <v>64745</v>
      </c>
      <c r="J48" s="20">
        <v>3599</v>
      </c>
      <c r="K48" s="20">
        <v>5498</v>
      </c>
      <c r="L48" s="20">
        <v>75301</v>
      </c>
      <c r="M48" s="20">
        <v>1.1599999999999999</v>
      </c>
      <c r="N48" s="20">
        <v>11.8</v>
      </c>
      <c r="O48" s="20">
        <v>0.06</v>
      </c>
      <c r="P48" s="20">
        <v>2287</v>
      </c>
      <c r="Q48" s="20">
        <v>1.92</v>
      </c>
      <c r="R48" s="21">
        <v>0.31</v>
      </c>
      <c r="S48" s="22">
        <v>0.16</v>
      </c>
      <c r="T48" s="23">
        <v>2</v>
      </c>
      <c r="U48" s="23">
        <v>3</v>
      </c>
      <c r="V48" s="23">
        <v>4</v>
      </c>
      <c r="W48" s="23">
        <v>2</v>
      </c>
      <c r="X48" s="23">
        <v>4</v>
      </c>
      <c r="Y48" s="23">
        <v>3</v>
      </c>
      <c r="Z48" s="23">
        <v>4</v>
      </c>
      <c r="AA48" s="9">
        <v>1</v>
      </c>
      <c r="AB48" s="9">
        <v>2</v>
      </c>
      <c r="AC48" s="9">
        <v>3</v>
      </c>
      <c r="AD48" s="9">
        <v>1</v>
      </c>
      <c r="AE48" s="9">
        <v>3</v>
      </c>
      <c r="AF48" s="23">
        <v>1</v>
      </c>
      <c r="AG48" s="23">
        <v>3</v>
      </c>
      <c r="AH48" s="23">
        <v>2</v>
      </c>
      <c r="AI48" s="23">
        <v>4</v>
      </c>
      <c r="AL48" s="20"/>
    </row>
    <row r="49" spans="1:54" ht="15.75" customHeight="1" x14ac:dyDescent="0.2">
      <c r="A49" s="6" t="s">
        <v>599</v>
      </c>
      <c r="B49" s="6">
        <v>1993</v>
      </c>
      <c r="C49" s="6" t="s">
        <v>467</v>
      </c>
      <c r="D49" s="6" t="s">
        <v>467</v>
      </c>
      <c r="E49" s="43">
        <v>4.12</v>
      </c>
      <c r="F49" s="43">
        <v>2594285</v>
      </c>
      <c r="G49" s="43">
        <v>1368</v>
      </c>
      <c r="H49" s="20">
        <v>243629</v>
      </c>
      <c r="I49" s="270">
        <v>44339</v>
      </c>
      <c r="J49" s="20">
        <v>4115</v>
      </c>
      <c r="K49" s="20">
        <v>3835</v>
      </c>
      <c r="L49" s="20">
        <v>55371</v>
      </c>
      <c r="M49" s="20">
        <v>1.25</v>
      </c>
      <c r="N49" s="20">
        <v>11.6</v>
      </c>
      <c r="O49" s="20">
        <v>0.09</v>
      </c>
      <c r="P49" s="20">
        <v>2929</v>
      </c>
      <c r="Q49" s="20">
        <v>1.73</v>
      </c>
      <c r="R49" s="21">
        <v>0.3</v>
      </c>
      <c r="S49" s="22">
        <v>0.19</v>
      </c>
      <c r="T49" s="23">
        <v>3</v>
      </c>
      <c r="U49" s="23">
        <v>4</v>
      </c>
      <c r="V49" s="23">
        <v>4</v>
      </c>
      <c r="W49" s="23">
        <v>3</v>
      </c>
      <c r="X49" s="23">
        <v>2</v>
      </c>
      <c r="Y49" s="23">
        <v>1</v>
      </c>
      <c r="Z49" s="23">
        <v>3</v>
      </c>
      <c r="AA49" s="9">
        <v>0</v>
      </c>
      <c r="AB49" s="9">
        <v>2</v>
      </c>
      <c r="AC49" s="9">
        <v>0</v>
      </c>
      <c r="AD49" s="9">
        <v>3</v>
      </c>
      <c r="AE49" s="9">
        <v>2</v>
      </c>
      <c r="AF49" s="23">
        <v>1</v>
      </c>
      <c r="AG49" s="23">
        <v>3</v>
      </c>
      <c r="AH49" s="23">
        <v>2</v>
      </c>
      <c r="AI49" s="23">
        <v>4</v>
      </c>
      <c r="AL49" s="20"/>
    </row>
    <row r="50" spans="1:54" ht="15.75" customHeight="1" x14ac:dyDescent="0.2">
      <c r="A50" s="6" t="s">
        <v>600</v>
      </c>
      <c r="B50" s="6">
        <v>1941</v>
      </c>
      <c r="C50" s="6" t="s">
        <v>418</v>
      </c>
      <c r="D50" s="6" t="s">
        <v>418</v>
      </c>
      <c r="E50" s="43">
        <v>4.12</v>
      </c>
      <c r="F50" s="43">
        <v>21471</v>
      </c>
      <c r="G50" s="43">
        <v>1363</v>
      </c>
      <c r="H50" s="20">
        <v>291960</v>
      </c>
      <c r="I50" s="270">
        <v>51186</v>
      </c>
      <c r="J50" s="20">
        <v>7428</v>
      </c>
      <c r="K50" s="20">
        <v>2026</v>
      </c>
      <c r="L50" s="20">
        <v>62910</v>
      </c>
      <c r="M50" s="20">
        <v>1.23</v>
      </c>
      <c r="N50" s="20">
        <v>25.3</v>
      </c>
      <c r="O50" s="20">
        <v>0.15</v>
      </c>
      <c r="P50" s="20">
        <v>5140</v>
      </c>
      <c r="Q50" s="20">
        <v>2.31</v>
      </c>
      <c r="R50" s="21">
        <v>0.31</v>
      </c>
      <c r="S50" s="22">
        <v>0.2</v>
      </c>
      <c r="T50" s="23">
        <v>3</v>
      </c>
      <c r="U50" s="23">
        <v>4</v>
      </c>
      <c r="V50" s="23">
        <v>4</v>
      </c>
      <c r="W50" s="23">
        <v>2</v>
      </c>
      <c r="X50" s="23">
        <v>3</v>
      </c>
      <c r="Y50" s="23">
        <v>1</v>
      </c>
      <c r="Z50" s="23">
        <v>4</v>
      </c>
      <c r="AA50" s="9">
        <v>0</v>
      </c>
      <c r="AB50" s="9">
        <v>3</v>
      </c>
      <c r="AC50" s="9">
        <v>0</v>
      </c>
      <c r="AD50" s="9">
        <v>0</v>
      </c>
      <c r="AE50" s="9">
        <v>3</v>
      </c>
      <c r="AF50" s="23">
        <v>1</v>
      </c>
      <c r="AG50" s="23">
        <v>2</v>
      </c>
      <c r="AH50" s="23">
        <v>0</v>
      </c>
      <c r="AI50" s="23">
        <v>3</v>
      </c>
      <c r="AL50" s="20"/>
    </row>
    <row r="51" spans="1:54" ht="15.75" customHeight="1" x14ac:dyDescent="0.2">
      <c r="A51" s="6" t="s">
        <v>601</v>
      </c>
      <c r="B51" s="6">
        <v>1982</v>
      </c>
      <c r="C51" s="6" t="s">
        <v>522</v>
      </c>
      <c r="D51" s="6" t="s">
        <v>522</v>
      </c>
      <c r="E51" s="43">
        <v>3.92</v>
      </c>
      <c r="F51" s="43">
        <v>37591</v>
      </c>
      <c r="G51" s="43">
        <v>1342</v>
      </c>
      <c r="H51" s="20">
        <v>390843</v>
      </c>
      <c r="I51" s="270">
        <v>73697</v>
      </c>
      <c r="J51" s="20">
        <v>7592</v>
      </c>
      <c r="K51" s="20">
        <v>6492</v>
      </c>
      <c r="L51" s="20">
        <v>94085</v>
      </c>
      <c r="M51" s="20">
        <v>1.28</v>
      </c>
      <c r="N51" s="20">
        <v>11.4</v>
      </c>
      <c r="O51" s="20">
        <v>0.1</v>
      </c>
      <c r="P51" s="20">
        <v>5183</v>
      </c>
      <c r="Q51" s="20">
        <v>1.64</v>
      </c>
      <c r="R51" s="21">
        <v>0.26</v>
      </c>
      <c r="S51" s="22">
        <v>0.16</v>
      </c>
      <c r="T51" s="23">
        <v>3</v>
      </c>
      <c r="U51" s="23">
        <v>4</v>
      </c>
      <c r="V51" s="23">
        <v>4</v>
      </c>
      <c r="W51" s="23">
        <v>2</v>
      </c>
      <c r="X51" s="23">
        <v>3</v>
      </c>
      <c r="Y51" s="23">
        <v>1</v>
      </c>
      <c r="Z51" s="23">
        <v>3</v>
      </c>
      <c r="AA51" s="9">
        <v>0</v>
      </c>
      <c r="AB51" s="9">
        <v>2</v>
      </c>
      <c r="AC51" s="9">
        <v>0</v>
      </c>
      <c r="AD51" s="9">
        <v>1</v>
      </c>
      <c r="AE51" s="9">
        <v>4</v>
      </c>
      <c r="AF51" s="23">
        <v>0</v>
      </c>
      <c r="AG51" s="23">
        <v>2</v>
      </c>
      <c r="AH51" s="23">
        <v>0</v>
      </c>
      <c r="AI51" s="23">
        <v>3</v>
      </c>
      <c r="AL51" s="20"/>
    </row>
    <row r="52" spans="1:54" ht="15.75" customHeight="1" x14ac:dyDescent="0.2">
      <c r="A52" s="6" t="s">
        <v>602</v>
      </c>
      <c r="B52" s="6">
        <v>1927</v>
      </c>
      <c r="C52" s="6" t="s">
        <v>529</v>
      </c>
      <c r="D52" s="6" t="s">
        <v>529</v>
      </c>
      <c r="E52" s="43">
        <v>3.79</v>
      </c>
      <c r="F52" s="43">
        <v>36256</v>
      </c>
      <c r="G52" s="43">
        <v>1325</v>
      </c>
      <c r="H52" s="20">
        <v>175481</v>
      </c>
      <c r="I52" s="270">
        <v>32355</v>
      </c>
      <c r="J52" s="20">
        <v>4784</v>
      </c>
      <c r="K52" s="20">
        <v>1957</v>
      </c>
      <c r="L52" s="20">
        <v>39443</v>
      </c>
      <c r="M52" s="20">
        <v>1.22</v>
      </c>
      <c r="N52" s="20">
        <v>16.5</v>
      </c>
      <c r="O52" s="20">
        <v>0.15</v>
      </c>
      <c r="P52" s="20">
        <v>3352</v>
      </c>
      <c r="Q52" s="20">
        <v>1.91</v>
      </c>
      <c r="R52" s="21">
        <v>0.3</v>
      </c>
      <c r="S52" s="22">
        <v>0.2</v>
      </c>
      <c r="T52" s="23">
        <v>2</v>
      </c>
      <c r="U52" s="23">
        <v>3</v>
      </c>
      <c r="V52" s="23">
        <v>4</v>
      </c>
      <c r="W52" s="23">
        <v>1</v>
      </c>
      <c r="X52" s="23">
        <v>4</v>
      </c>
      <c r="Y52" s="23">
        <v>2</v>
      </c>
      <c r="Z52" s="23">
        <v>3</v>
      </c>
      <c r="AA52" s="9">
        <v>1</v>
      </c>
      <c r="AB52" s="9">
        <v>2</v>
      </c>
      <c r="AC52" s="9">
        <v>1</v>
      </c>
      <c r="AD52" s="9">
        <v>1</v>
      </c>
      <c r="AE52" s="9">
        <v>3</v>
      </c>
      <c r="AF52" s="23">
        <v>0</v>
      </c>
      <c r="AG52" s="23">
        <v>2</v>
      </c>
      <c r="AH52" s="23">
        <v>3</v>
      </c>
      <c r="AI52" s="23">
        <v>3</v>
      </c>
      <c r="AL52" s="20"/>
    </row>
    <row r="53" spans="1:54" ht="15.75" customHeight="1" x14ac:dyDescent="0.2">
      <c r="A53" s="6" t="s">
        <v>126</v>
      </c>
      <c r="B53" s="6">
        <v>2000</v>
      </c>
      <c r="C53" s="6" t="s">
        <v>524</v>
      </c>
      <c r="D53" s="6" t="s">
        <v>524</v>
      </c>
      <c r="E53" s="43">
        <v>3.42</v>
      </c>
      <c r="F53" s="43">
        <v>39057</v>
      </c>
      <c r="G53" s="43">
        <v>1316</v>
      </c>
      <c r="H53" s="20">
        <v>206699</v>
      </c>
      <c r="I53" s="270">
        <v>37898</v>
      </c>
      <c r="J53" s="20">
        <v>5543</v>
      </c>
      <c r="K53" s="20">
        <v>2235</v>
      </c>
      <c r="L53" s="20">
        <v>45272</v>
      </c>
      <c r="M53" s="20">
        <v>1.19</v>
      </c>
      <c r="N53" s="20">
        <v>17</v>
      </c>
      <c r="O53" s="20">
        <v>0.15</v>
      </c>
      <c r="P53" s="20">
        <v>3936</v>
      </c>
      <c r="Q53" s="20">
        <v>2.08</v>
      </c>
      <c r="R53" s="21">
        <v>0.33</v>
      </c>
      <c r="S53" s="22">
        <v>0.2</v>
      </c>
      <c r="T53" s="23">
        <v>2</v>
      </c>
      <c r="U53" s="23">
        <v>3</v>
      </c>
      <c r="V53" s="23">
        <v>4</v>
      </c>
      <c r="W53" s="23">
        <v>2</v>
      </c>
      <c r="X53" s="23">
        <v>4</v>
      </c>
      <c r="Y53" s="23">
        <v>1</v>
      </c>
      <c r="Z53" s="23">
        <v>4</v>
      </c>
      <c r="AA53" s="9">
        <v>2</v>
      </c>
      <c r="AB53" s="9">
        <v>0</v>
      </c>
      <c r="AC53" s="9">
        <v>4</v>
      </c>
      <c r="AD53" s="9">
        <v>1</v>
      </c>
      <c r="AE53" s="9">
        <v>2</v>
      </c>
      <c r="AF53" s="23">
        <v>2</v>
      </c>
      <c r="AG53" s="23">
        <v>3</v>
      </c>
      <c r="AH53" s="23">
        <v>4</v>
      </c>
      <c r="AI53" s="23">
        <v>3</v>
      </c>
      <c r="AL53" s="20"/>
    </row>
    <row r="54" spans="1:54" ht="15.75" customHeight="1" x14ac:dyDescent="0.2">
      <c r="A54" s="6" t="s">
        <v>603</v>
      </c>
      <c r="B54" s="6">
        <v>1957</v>
      </c>
      <c r="C54" s="6" t="s">
        <v>539</v>
      </c>
      <c r="D54" s="6" t="s">
        <v>539</v>
      </c>
      <c r="E54" s="43">
        <v>3.88</v>
      </c>
      <c r="F54" s="43">
        <v>26376</v>
      </c>
      <c r="G54" s="43">
        <v>1289</v>
      </c>
      <c r="H54" s="20">
        <v>288930</v>
      </c>
      <c r="I54" s="270">
        <v>50446</v>
      </c>
      <c r="J54" s="20">
        <v>9234</v>
      </c>
      <c r="K54" s="20">
        <v>2049</v>
      </c>
      <c r="L54" s="20">
        <v>66073</v>
      </c>
      <c r="M54" s="20">
        <v>1.31</v>
      </c>
      <c r="N54" s="20">
        <v>24.6</v>
      </c>
      <c r="O54" s="20">
        <v>0.18</v>
      </c>
      <c r="P54" s="20">
        <v>6476</v>
      </c>
      <c r="Q54" s="20">
        <v>2.14</v>
      </c>
      <c r="R54" s="21">
        <v>0.27</v>
      </c>
      <c r="S54" s="22">
        <v>0.18</v>
      </c>
      <c r="T54" s="23">
        <v>2</v>
      </c>
      <c r="U54" s="23">
        <v>3</v>
      </c>
      <c r="V54" s="23">
        <v>4</v>
      </c>
      <c r="W54" s="23">
        <v>1</v>
      </c>
      <c r="X54" s="23">
        <v>3</v>
      </c>
      <c r="Y54" s="23">
        <v>2</v>
      </c>
      <c r="Z54" s="23">
        <v>4</v>
      </c>
      <c r="AA54" s="9">
        <v>2</v>
      </c>
      <c r="AB54" s="9">
        <v>1</v>
      </c>
      <c r="AC54" s="9">
        <v>1</v>
      </c>
      <c r="AD54" s="9">
        <v>3</v>
      </c>
      <c r="AE54" s="9">
        <v>3</v>
      </c>
      <c r="AF54" s="23">
        <v>1</v>
      </c>
      <c r="AG54" s="23">
        <v>2</v>
      </c>
      <c r="AH54" s="23">
        <v>1</v>
      </c>
      <c r="AI54" s="23">
        <v>3</v>
      </c>
      <c r="AL54" s="20"/>
    </row>
    <row r="55" spans="1:54" ht="15.75" customHeight="1" x14ac:dyDescent="0.2">
      <c r="A55" s="6" t="s">
        <v>604</v>
      </c>
      <c r="B55" s="6">
        <v>1887</v>
      </c>
      <c r="C55" s="6" t="s">
        <v>365</v>
      </c>
      <c r="D55" s="6" t="s">
        <v>365</v>
      </c>
      <c r="E55" s="43">
        <v>4.1399999999999997</v>
      </c>
      <c r="F55" s="43">
        <v>463438</v>
      </c>
      <c r="G55" s="43">
        <v>1257</v>
      </c>
      <c r="H55" s="20">
        <v>238128</v>
      </c>
      <c r="I55" s="270">
        <v>44051</v>
      </c>
      <c r="J55" s="20">
        <v>5689</v>
      </c>
      <c r="K55" s="20">
        <v>2803</v>
      </c>
      <c r="L55" s="20">
        <v>54395</v>
      </c>
      <c r="M55" s="20">
        <v>1.23</v>
      </c>
      <c r="N55" s="20">
        <v>15.7</v>
      </c>
      <c r="O55" s="20">
        <v>0.13</v>
      </c>
      <c r="P55" s="20">
        <v>4062</v>
      </c>
      <c r="Q55" s="20">
        <v>1.95</v>
      </c>
      <c r="R55" s="21">
        <v>0.27</v>
      </c>
      <c r="S55" s="22">
        <v>0.15</v>
      </c>
      <c r="T55" s="23">
        <v>3</v>
      </c>
      <c r="U55" s="23">
        <v>4</v>
      </c>
      <c r="V55" s="23">
        <v>4</v>
      </c>
      <c r="W55" s="23">
        <v>3</v>
      </c>
      <c r="X55" s="23">
        <v>2</v>
      </c>
      <c r="Y55" s="23">
        <v>3</v>
      </c>
      <c r="Z55" s="23">
        <v>4</v>
      </c>
      <c r="AA55" s="9">
        <v>0</v>
      </c>
      <c r="AB55" s="9">
        <v>4</v>
      </c>
      <c r="AC55" s="9">
        <v>2</v>
      </c>
      <c r="AD55" s="9">
        <v>1</v>
      </c>
      <c r="AE55" s="9">
        <v>4</v>
      </c>
      <c r="AF55" s="23">
        <v>1</v>
      </c>
      <c r="AG55" s="23">
        <v>3</v>
      </c>
      <c r="AH55" s="23">
        <v>0</v>
      </c>
      <c r="AI55" s="23">
        <v>3</v>
      </c>
      <c r="AL55" s="20"/>
    </row>
    <row r="56" spans="1:54" ht="15.75" customHeight="1" x14ac:dyDescent="0.2">
      <c r="A56" s="6" t="s">
        <v>605</v>
      </c>
      <c r="B56" s="6">
        <v>1764</v>
      </c>
      <c r="C56" s="6" t="s">
        <v>421</v>
      </c>
      <c r="D56" s="6" t="s">
        <v>421</v>
      </c>
      <c r="E56" s="43">
        <v>3.19</v>
      </c>
      <c r="F56" s="43">
        <v>37478</v>
      </c>
      <c r="G56" s="43">
        <v>1242</v>
      </c>
      <c r="H56" s="20">
        <v>197981</v>
      </c>
      <c r="I56" s="270">
        <v>35115</v>
      </c>
      <c r="J56" s="20">
        <v>4139</v>
      </c>
      <c r="K56" s="20">
        <v>2131</v>
      </c>
      <c r="L56" s="20">
        <v>46221</v>
      </c>
      <c r="M56" s="20">
        <v>1.32</v>
      </c>
      <c r="N56" s="20">
        <v>16.5</v>
      </c>
      <c r="O56" s="20">
        <v>0.12</v>
      </c>
      <c r="P56" s="20">
        <v>2968</v>
      </c>
      <c r="Q56" s="20">
        <v>2.4300000000000002</v>
      </c>
      <c r="R56" s="21">
        <v>0.34</v>
      </c>
      <c r="S56" s="22">
        <v>0.28000000000000003</v>
      </c>
      <c r="T56" s="23">
        <v>3</v>
      </c>
      <c r="U56" s="23">
        <v>4</v>
      </c>
      <c r="V56" s="23">
        <v>4</v>
      </c>
      <c r="W56" s="23">
        <v>3</v>
      </c>
      <c r="X56" s="23">
        <v>4</v>
      </c>
      <c r="Y56" s="23">
        <v>2</v>
      </c>
      <c r="Z56" s="23">
        <v>3</v>
      </c>
      <c r="AA56" s="9">
        <v>1</v>
      </c>
      <c r="AB56" s="9">
        <v>3</v>
      </c>
      <c r="AC56" s="9">
        <v>2</v>
      </c>
      <c r="AD56" s="9">
        <v>0</v>
      </c>
      <c r="AE56" s="9">
        <v>4</v>
      </c>
      <c r="AF56" s="23">
        <v>1</v>
      </c>
      <c r="AG56" s="23">
        <v>3</v>
      </c>
      <c r="AH56" s="23">
        <v>2</v>
      </c>
      <c r="AI56" s="23">
        <v>4</v>
      </c>
      <c r="AL56" s="20"/>
    </row>
    <row r="57" spans="1:54" ht="15.75" customHeight="1" x14ac:dyDescent="0.2">
      <c r="A57" s="6" t="s">
        <v>606</v>
      </c>
      <c r="B57" s="6">
        <v>1970</v>
      </c>
      <c r="C57" s="6" t="s">
        <v>479</v>
      </c>
      <c r="D57" s="6" t="s">
        <v>479</v>
      </c>
      <c r="E57" s="43">
        <v>3.61</v>
      </c>
      <c r="F57" s="43">
        <v>10795</v>
      </c>
      <c r="G57" s="43">
        <v>1218</v>
      </c>
      <c r="H57" s="20">
        <v>138206</v>
      </c>
      <c r="I57" s="270">
        <v>26294</v>
      </c>
      <c r="J57" s="20">
        <v>3579</v>
      </c>
      <c r="K57" s="20">
        <v>1988</v>
      </c>
      <c r="L57" s="20">
        <v>32943</v>
      </c>
      <c r="M57" s="20">
        <v>1.25</v>
      </c>
      <c r="N57" s="20">
        <v>13.2</v>
      </c>
      <c r="O57" s="20">
        <v>0.14000000000000001</v>
      </c>
      <c r="P57" s="20">
        <v>2599</v>
      </c>
      <c r="Q57" s="20">
        <v>1.86</v>
      </c>
      <c r="R57" s="21">
        <v>0.3</v>
      </c>
      <c r="S57" s="22">
        <v>0.21</v>
      </c>
      <c r="T57" s="23">
        <v>3</v>
      </c>
      <c r="U57" s="23">
        <v>4</v>
      </c>
      <c r="V57" s="23">
        <v>4</v>
      </c>
      <c r="W57" s="23">
        <v>1</v>
      </c>
      <c r="X57" s="23">
        <v>3</v>
      </c>
      <c r="Y57" s="23">
        <v>2</v>
      </c>
      <c r="Z57" s="23">
        <v>3</v>
      </c>
      <c r="AA57" s="9">
        <v>0</v>
      </c>
      <c r="AB57" s="9">
        <v>3</v>
      </c>
      <c r="AC57" s="9">
        <v>0</v>
      </c>
      <c r="AD57" s="9">
        <v>1</v>
      </c>
      <c r="AE57" s="9">
        <v>4</v>
      </c>
      <c r="AF57" s="23">
        <v>0</v>
      </c>
      <c r="AG57" s="23">
        <v>2</v>
      </c>
      <c r="AH57" s="23">
        <v>3</v>
      </c>
      <c r="AI57" s="23">
        <v>3</v>
      </c>
      <c r="AL57" s="20"/>
    </row>
    <row r="58" spans="1:54" ht="15.75" customHeight="1" x14ac:dyDescent="0.2">
      <c r="A58" s="6" t="s">
        <v>607</v>
      </c>
      <c r="B58" s="6">
        <v>1916</v>
      </c>
      <c r="C58" s="6" t="s">
        <v>473</v>
      </c>
      <c r="D58" s="6" t="s">
        <v>473</v>
      </c>
      <c r="E58" s="43">
        <v>4.12</v>
      </c>
      <c r="F58" s="43">
        <v>10880</v>
      </c>
      <c r="G58" s="43">
        <v>1149</v>
      </c>
      <c r="H58" s="20">
        <v>195490</v>
      </c>
      <c r="I58" s="270">
        <v>37389</v>
      </c>
      <c r="J58" s="20">
        <v>4378</v>
      </c>
      <c r="K58" s="20">
        <v>1949</v>
      </c>
      <c r="L58" s="20">
        <v>45285</v>
      </c>
      <c r="M58" s="20">
        <v>1.21</v>
      </c>
      <c r="N58" s="20">
        <v>19.2</v>
      </c>
      <c r="O58" s="20">
        <v>0.12</v>
      </c>
      <c r="P58" s="20">
        <v>3134</v>
      </c>
      <c r="Q58" s="20">
        <v>2.27</v>
      </c>
      <c r="R58" s="21">
        <v>0.31</v>
      </c>
      <c r="S58" s="22">
        <v>0.21</v>
      </c>
      <c r="T58" s="23">
        <v>2</v>
      </c>
      <c r="U58" s="23">
        <v>3</v>
      </c>
      <c r="V58" s="23">
        <v>3</v>
      </c>
      <c r="W58" s="23">
        <v>1</v>
      </c>
      <c r="X58" s="23">
        <v>4</v>
      </c>
      <c r="Y58" s="23">
        <v>2</v>
      </c>
      <c r="Z58" s="23">
        <v>3</v>
      </c>
      <c r="AA58" s="9">
        <v>1</v>
      </c>
      <c r="AB58" s="9">
        <v>2</v>
      </c>
      <c r="AC58" s="9">
        <v>0</v>
      </c>
      <c r="AD58" s="9">
        <v>4</v>
      </c>
      <c r="AE58" s="9">
        <v>2</v>
      </c>
      <c r="AF58" s="23">
        <v>1</v>
      </c>
      <c r="AG58" s="23">
        <v>2</v>
      </c>
      <c r="AH58" s="23">
        <v>0</v>
      </c>
      <c r="AI58" s="23">
        <v>3</v>
      </c>
      <c r="AL58" s="20"/>
    </row>
    <row r="59" spans="1:54" ht="15.75" customHeight="1" x14ac:dyDescent="0.2">
      <c r="A59" s="6" t="s">
        <v>608</v>
      </c>
      <c r="B59" s="6">
        <v>1909</v>
      </c>
      <c r="C59" s="6" t="s">
        <v>397</v>
      </c>
      <c r="D59" s="6" t="s">
        <v>397</v>
      </c>
      <c r="E59" s="43">
        <v>4.07</v>
      </c>
      <c r="F59" s="43">
        <v>18168</v>
      </c>
      <c r="G59" s="43">
        <v>1144</v>
      </c>
      <c r="H59" s="20">
        <v>67210</v>
      </c>
      <c r="I59" s="270">
        <v>12232</v>
      </c>
      <c r="J59" s="20">
        <v>2370</v>
      </c>
      <c r="K59" s="20">
        <v>843</v>
      </c>
      <c r="L59" s="20">
        <v>15268</v>
      </c>
      <c r="M59" s="20">
        <v>1.25</v>
      </c>
      <c r="N59" s="20">
        <v>14.5</v>
      </c>
      <c r="O59" s="20">
        <v>0.19</v>
      </c>
      <c r="P59" s="20">
        <v>1747</v>
      </c>
      <c r="Q59" s="20">
        <v>1.77</v>
      </c>
      <c r="R59" s="21">
        <v>0.28000000000000003</v>
      </c>
      <c r="S59" s="22">
        <v>0.19</v>
      </c>
      <c r="T59" s="23">
        <v>2</v>
      </c>
      <c r="U59" s="23">
        <v>3</v>
      </c>
      <c r="V59" s="23">
        <v>4</v>
      </c>
      <c r="W59" s="23">
        <v>3</v>
      </c>
      <c r="X59" s="23">
        <v>2</v>
      </c>
      <c r="Y59" s="23">
        <v>1</v>
      </c>
      <c r="Z59" s="23">
        <v>3</v>
      </c>
      <c r="AA59" s="9">
        <v>0</v>
      </c>
      <c r="AB59" s="9">
        <v>1</v>
      </c>
      <c r="AC59" s="9">
        <v>0</v>
      </c>
      <c r="AD59" s="9">
        <v>4</v>
      </c>
      <c r="AE59" s="9">
        <v>4</v>
      </c>
      <c r="AF59" s="23">
        <v>1</v>
      </c>
      <c r="AG59" s="23">
        <v>3</v>
      </c>
      <c r="AH59" s="23">
        <v>2</v>
      </c>
      <c r="AI59" s="23">
        <v>3</v>
      </c>
      <c r="AL59" s="20"/>
    </row>
    <row r="60" spans="1:54" ht="15.75" customHeight="1" x14ac:dyDescent="0.2">
      <c r="A60" s="261" t="s">
        <v>17</v>
      </c>
      <c r="B60" s="261">
        <v>1960</v>
      </c>
      <c r="C60" s="261" t="s">
        <v>18</v>
      </c>
      <c r="D60" s="261" t="s">
        <v>18</v>
      </c>
      <c r="E60" s="262">
        <v>4.26</v>
      </c>
      <c r="F60" s="262">
        <v>6389780</v>
      </c>
      <c r="G60" s="262">
        <v>1034</v>
      </c>
      <c r="H60" s="263">
        <v>536097</v>
      </c>
      <c r="I60" s="263">
        <v>102810</v>
      </c>
      <c r="J60" s="263">
        <v>7817</v>
      </c>
      <c r="K60" s="263">
        <v>8250</v>
      </c>
      <c r="L60" s="263">
        <v>132488</v>
      </c>
      <c r="M60" s="263">
        <v>1.29</v>
      </c>
      <c r="N60" s="263">
        <v>12.5</v>
      </c>
      <c r="O60" s="263">
        <v>0.08</v>
      </c>
      <c r="P60" s="263">
        <v>5432</v>
      </c>
      <c r="Q60" s="263">
        <v>2.1</v>
      </c>
      <c r="R60" s="264">
        <v>0.3</v>
      </c>
      <c r="S60" s="265">
        <v>0.19</v>
      </c>
      <c r="T60" s="266">
        <v>2</v>
      </c>
      <c r="U60" s="266">
        <v>3</v>
      </c>
      <c r="V60" s="266">
        <v>3</v>
      </c>
      <c r="W60" s="266">
        <v>2</v>
      </c>
      <c r="X60" s="266">
        <v>4</v>
      </c>
      <c r="Y60" s="266">
        <v>2</v>
      </c>
      <c r="Z60" s="266">
        <v>3</v>
      </c>
      <c r="AA60" s="267">
        <v>1</v>
      </c>
      <c r="AB60" s="267">
        <v>2</v>
      </c>
      <c r="AC60" s="267">
        <v>1</v>
      </c>
      <c r="AD60" s="267">
        <v>3</v>
      </c>
      <c r="AE60" s="267">
        <v>4</v>
      </c>
      <c r="AF60" s="266">
        <v>2</v>
      </c>
      <c r="AG60" s="266">
        <v>3</v>
      </c>
      <c r="AH60" s="266">
        <v>4</v>
      </c>
      <c r="AI60" s="266">
        <v>4</v>
      </c>
      <c r="AJ60" s="261"/>
      <c r="AK60" s="261"/>
      <c r="AL60" s="263"/>
      <c r="AM60" s="261"/>
      <c r="AN60" s="261"/>
      <c r="AO60" s="261"/>
      <c r="AP60" s="261"/>
      <c r="AQ60" s="261"/>
      <c r="AR60" s="261"/>
      <c r="AS60" s="261"/>
      <c r="AT60" s="261"/>
      <c r="AU60" s="261"/>
      <c r="AV60" s="261"/>
      <c r="AW60" s="261"/>
      <c r="AX60" s="261"/>
      <c r="AY60" s="261"/>
      <c r="AZ60" s="261"/>
      <c r="BA60" s="261"/>
      <c r="BB60" s="261"/>
    </row>
    <row r="61" spans="1:54" ht="15.75" customHeight="1" x14ac:dyDescent="0.2">
      <c r="A61" s="6" t="s">
        <v>609</v>
      </c>
      <c r="B61" s="6">
        <v>1999</v>
      </c>
      <c r="C61" s="6" t="s">
        <v>510</v>
      </c>
      <c r="D61" s="6" t="s">
        <v>510</v>
      </c>
      <c r="E61" s="43">
        <v>3.46</v>
      </c>
      <c r="F61" s="43">
        <v>6621</v>
      </c>
      <c r="G61" s="43">
        <v>1027</v>
      </c>
      <c r="H61" s="20">
        <v>212281</v>
      </c>
      <c r="I61" s="270">
        <v>37125</v>
      </c>
      <c r="J61" s="20">
        <v>4929</v>
      </c>
      <c r="K61" s="20">
        <v>1329</v>
      </c>
      <c r="L61" s="20">
        <v>46063</v>
      </c>
      <c r="M61" s="20">
        <v>1.24</v>
      </c>
      <c r="N61" s="20">
        <v>27.9</v>
      </c>
      <c r="O61" s="20">
        <v>0.13</v>
      </c>
      <c r="P61" s="20">
        <v>3461</v>
      </c>
      <c r="Q61" s="20">
        <v>2.74</v>
      </c>
      <c r="R61" s="21">
        <v>0.38</v>
      </c>
      <c r="S61" s="22">
        <v>0.28000000000000003</v>
      </c>
      <c r="T61" s="23">
        <v>2</v>
      </c>
      <c r="U61" s="23">
        <v>3</v>
      </c>
      <c r="V61" s="23">
        <v>4</v>
      </c>
      <c r="W61" s="23">
        <v>2</v>
      </c>
      <c r="X61" s="23">
        <v>3</v>
      </c>
      <c r="Y61" s="23">
        <v>1</v>
      </c>
      <c r="Z61" s="23">
        <v>3</v>
      </c>
      <c r="AA61" s="9">
        <v>1</v>
      </c>
      <c r="AB61" s="9">
        <v>2</v>
      </c>
      <c r="AC61" s="9">
        <v>1</v>
      </c>
      <c r="AD61" s="9">
        <v>3</v>
      </c>
      <c r="AE61" s="9">
        <v>2</v>
      </c>
      <c r="AF61" s="23">
        <v>1</v>
      </c>
      <c r="AG61" s="23">
        <v>2</v>
      </c>
      <c r="AH61" s="23">
        <v>2</v>
      </c>
      <c r="AI61" s="23">
        <v>3</v>
      </c>
      <c r="AL61" s="20"/>
    </row>
    <row r="62" spans="1:54" ht="15.75" customHeight="1" x14ac:dyDescent="0.2">
      <c r="A62" s="6" t="s">
        <v>610</v>
      </c>
      <c r="B62" s="6">
        <v>1971</v>
      </c>
      <c r="C62" s="6" t="s">
        <v>453</v>
      </c>
      <c r="D62" s="6" t="s">
        <v>453</v>
      </c>
      <c r="E62" s="43">
        <v>3.69</v>
      </c>
      <c r="F62" s="43">
        <v>40366</v>
      </c>
      <c r="G62" s="43">
        <v>1004</v>
      </c>
      <c r="H62" s="20">
        <v>210252</v>
      </c>
      <c r="I62" s="270">
        <v>39362</v>
      </c>
      <c r="J62" s="20">
        <v>5399</v>
      </c>
      <c r="K62" s="20">
        <v>3146</v>
      </c>
      <c r="L62" s="20">
        <v>51294</v>
      </c>
      <c r="M62" s="20">
        <v>1.3</v>
      </c>
      <c r="N62" s="20">
        <v>12.5</v>
      </c>
      <c r="O62" s="20">
        <v>0.14000000000000001</v>
      </c>
      <c r="P62" s="20">
        <v>3826</v>
      </c>
      <c r="Q62" s="20">
        <v>1.7</v>
      </c>
      <c r="R62" s="21">
        <v>0.28000000000000003</v>
      </c>
      <c r="S62" s="22">
        <v>0.22</v>
      </c>
      <c r="T62" s="23">
        <v>3</v>
      </c>
      <c r="U62" s="23">
        <v>4</v>
      </c>
      <c r="V62" s="23">
        <v>4</v>
      </c>
      <c r="W62" s="23">
        <v>2</v>
      </c>
      <c r="X62" s="23">
        <v>3</v>
      </c>
      <c r="Y62" s="23">
        <v>1</v>
      </c>
      <c r="Z62" s="23">
        <v>4</v>
      </c>
      <c r="AA62" s="9">
        <v>0</v>
      </c>
      <c r="AB62" s="9">
        <v>1</v>
      </c>
      <c r="AC62" s="9">
        <v>0</v>
      </c>
      <c r="AD62" s="9">
        <v>2</v>
      </c>
      <c r="AE62" s="9">
        <v>4</v>
      </c>
      <c r="AF62" s="23">
        <v>1</v>
      </c>
      <c r="AG62" s="23">
        <v>2</v>
      </c>
      <c r="AH62" s="23">
        <v>0</v>
      </c>
      <c r="AI62" s="23">
        <v>3</v>
      </c>
      <c r="AL62" s="20"/>
    </row>
    <row r="63" spans="1:54" ht="15.75" customHeight="1" x14ac:dyDescent="0.2">
      <c r="A63" s="6" t="s">
        <v>611</v>
      </c>
      <c r="B63" s="6">
        <v>1936</v>
      </c>
      <c r="C63" s="6" t="s">
        <v>439</v>
      </c>
      <c r="D63" s="6" t="s">
        <v>439</v>
      </c>
      <c r="E63" s="43">
        <v>4.0599999999999996</v>
      </c>
      <c r="F63" s="43">
        <v>27008</v>
      </c>
      <c r="G63" s="43">
        <v>1</v>
      </c>
      <c r="H63" s="20">
        <v>177719</v>
      </c>
      <c r="I63" s="270">
        <v>36485</v>
      </c>
      <c r="J63" s="20">
        <v>2861</v>
      </c>
      <c r="K63" s="20">
        <v>3351</v>
      </c>
      <c r="L63" s="20">
        <v>44389</v>
      </c>
      <c r="M63" s="20">
        <v>1.22</v>
      </c>
      <c r="N63" s="20">
        <v>10.9</v>
      </c>
      <c r="O63" s="20">
        <v>0.08</v>
      </c>
      <c r="P63" s="20">
        <v>1928</v>
      </c>
      <c r="Q63" s="20">
        <v>1.74</v>
      </c>
      <c r="R63" s="21">
        <v>0.28999999999999998</v>
      </c>
      <c r="S63" s="22">
        <v>0.17</v>
      </c>
      <c r="T63" s="23">
        <v>3</v>
      </c>
      <c r="U63" s="23">
        <v>4</v>
      </c>
      <c r="V63" s="23">
        <v>4</v>
      </c>
      <c r="W63" s="23">
        <v>1</v>
      </c>
      <c r="X63" s="23">
        <v>3</v>
      </c>
      <c r="Y63" s="23">
        <v>2</v>
      </c>
      <c r="Z63" s="23">
        <v>3</v>
      </c>
      <c r="AA63" s="9">
        <v>0</v>
      </c>
      <c r="AB63" s="9">
        <v>3</v>
      </c>
      <c r="AC63" s="9">
        <v>1</v>
      </c>
      <c r="AD63" s="9">
        <v>2</v>
      </c>
      <c r="AE63" s="9">
        <v>4</v>
      </c>
      <c r="AF63" s="23">
        <v>1</v>
      </c>
      <c r="AG63" s="23">
        <v>2</v>
      </c>
      <c r="AH63" s="23">
        <v>1</v>
      </c>
      <c r="AI63" s="23">
        <v>2</v>
      </c>
      <c r="AL63" s="20"/>
    </row>
    <row r="64" spans="1:54" ht="15.75" customHeight="1" x14ac:dyDescent="0.2">
      <c r="A64" s="6" t="s">
        <v>612</v>
      </c>
      <c r="B64" s="6">
        <v>1982</v>
      </c>
      <c r="C64" s="6" t="s">
        <v>522</v>
      </c>
      <c r="D64" s="6" t="s">
        <v>522</v>
      </c>
      <c r="E64" s="43">
        <v>3.92</v>
      </c>
      <c r="F64" s="43">
        <v>630282</v>
      </c>
      <c r="G64" s="43">
        <v>991</v>
      </c>
      <c r="H64" s="20">
        <v>363143</v>
      </c>
      <c r="I64" s="270">
        <v>67665</v>
      </c>
      <c r="J64" s="20">
        <v>7494</v>
      </c>
      <c r="K64" s="20">
        <v>5759</v>
      </c>
      <c r="L64" s="20">
        <v>86433</v>
      </c>
      <c r="M64" s="20">
        <v>1.28</v>
      </c>
      <c r="N64" s="20">
        <v>11.7</v>
      </c>
      <c r="O64" s="20">
        <v>0.11</v>
      </c>
      <c r="P64" s="20">
        <v>5470</v>
      </c>
      <c r="Q64" s="20">
        <v>1.59</v>
      </c>
      <c r="R64" s="21">
        <v>0.28000000000000003</v>
      </c>
      <c r="S64" s="22">
        <v>0.18</v>
      </c>
      <c r="T64" s="23">
        <v>3</v>
      </c>
      <c r="U64" s="23">
        <v>4</v>
      </c>
      <c r="V64" s="23">
        <v>4</v>
      </c>
      <c r="W64" s="23">
        <v>3</v>
      </c>
      <c r="X64" s="23">
        <v>4</v>
      </c>
      <c r="Y64" s="23">
        <v>2</v>
      </c>
      <c r="Z64" s="23">
        <v>4</v>
      </c>
      <c r="AA64" s="9">
        <v>0</v>
      </c>
      <c r="AB64" s="9">
        <v>2</v>
      </c>
      <c r="AC64" s="9">
        <v>1</v>
      </c>
      <c r="AD64" s="9">
        <v>0</v>
      </c>
      <c r="AE64" s="9">
        <v>3</v>
      </c>
      <c r="AF64" s="23">
        <v>1</v>
      </c>
      <c r="AG64" s="23">
        <v>3</v>
      </c>
      <c r="AH64" s="23">
        <v>0</v>
      </c>
      <c r="AI64" s="23">
        <v>4</v>
      </c>
      <c r="AL64" s="20"/>
    </row>
    <row r="65" spans="1:54" ht="15.75" customHeight="1" x14ac:dyDescent="0.2">
      <c r="A65" s="6" t="s">
        <v>613</v>
      </c>
      <c r="B65" s="6">
        <v>2002</v>
      </c>
      <c r="C65" s="6" t="s">
        <v>394</v>
      </c>
      <c r="D65" s="6" t="s">
        <v>394</v>
      </c>
      <c r="E65" s="43">
        <v>3.9</v>
      </c>
      <c r="F65" s="43">
        <v>26329</v>
      </c>
      <c r="G65" s="43">
        <v>989</v>
      </c>
      <c r="H65" s="20">
        <v>121985</v>
      </c>
      <c r="I65" s="270">
        <v>23086</v>
      </c>
      <c r="J65" s="20">
        <v>3792</v>
      </c>
      <c r="K65" s="20">
        <v>1312</v>
      </c>
      <c r="L65" s="20">
        <v>28102</v>
      </c>
      <c r="M65" s="20">
        <v>1.22</v>
      </c>
      <c r="N65" s="20">
        <v>17.600000000000001</v>
      </c>
      <c r="O65" s="20">
        <v>0.16</v>
      </c>
      <c r="P65" s="20">
        <v>2677</v>
      </c>
      <c r="Q65" s="20">
        <v>2</v>
      </c>
      <c r="R65" s="21">
        <v>0.31</v>
      </c>
      <c r="S65" s="22">
        <v>0.21</v>
      </c>
      <c r="T65" s="23">
        <v>2</v>
      </c>
      <c r="U65" s="23">
        <v>3</v>
      </c>
      <c r="V65" s="23">
        <v>4</v>
      </c>
      <c r="W65" s="23">
        <v>2</v>
      </c>
      <c r="X65" s="23">
        <v>3</v>
      </c>
      <c r="Y65" s="23">
        <v>4</v>
      </c>
      <c r="Z65" s="23">
        <v>4</v>
      </c>
      <c r="AA65" s="9">
        <v>1</v>
      </c>
      <c r="AB65" s="9">
        <v>2</v>
      </c>
      <c r="AC65" s="9">
        <v>1</v>
      </c>
      <c r="AD65" s="9">
        <v>0</v>
      </c>
      <c r="AE65" s="9">
        <v>3</v>
      </c>
      <c r="AF65" s="23">
        <v>1</v>
      </c>
      <c r="AG65" s="23">
        <v>2</v>
      </c>
      <c r="AH65" s="23">
        <v>1</v>
      </c>
      <c r="AI65" s="23">
        <v>3</v>
      </c>
      <c r="AL65" s="20"/>
    </row>
    <row r="66" spans="1:54" ht="15.75" customHeight="1" x14ac:dyDescent="0.2">
      <c r="A66" s="6" t="s">
        <v>614</v>
      </c>
      <c r="B66" s="6">
        <v>1934</v>
      </c>
      <c r="C66" s="6" t="s">
        <v>439</v>
      </c>
      <c r="D66" s="6" t="s">
        <v>439</v>
      </c>
      <c r="E66" s="43">
        <v>3.77</v>
      </c>
      <c r="F66" s="43">
        <v>45252</v>
      </c>
      <c r="G66" s="43">
        <v>981</v>
      </c>
      <c r="H66" s="20">
        <v>171844</v>
      </c>
      <c r="I66" s="270">
        <v>36170</v>
      </c>
      <c r="J66" s="20">
        <v>2572</v>
      </c>
      <c r="K66" s="20">
        <v>3439</v>
      </c>
      <c r="L66" s="20">
        <v>44406</v>
      </c>
      <c r="M66" s="20">
        <v>1.23</v>
      </c>
      <c r="N66" s="20">
        <v>10.5</v>
      </c>
      <c r="O66" s="20">
        <v>7.0000000000000007E-2</v>
      </c>
      <c r="P66" s="20">
        <v>1652</v>
      </c>
      <c r="Q66" s="20">
        <v>1.65</v>
      </c>
      <c r="R66" s="21">
        <v>0.28999999999999998</v>
      </c>
      <c r="S66" s="22">
        <v>0.19</v>
      </c>
      <c r="T66" s="23">
        <v>3</v>
      </c>
      <c r="U66" s="23">
        <v>4</v>
      </c>
      <c r="V66" s="23">
        <v>4</v>
      </c>
      <c r="W66" s="23">
        <v>2</v>
      </c>
      <c r="X66" s="23">
        <v>3</v>
      </c>
      <c r="Y66" s="23">
        <v>1</v>
      </c>
      <c r="Z66" s="23">
        <v>3</v>
      </c>
      <c r="AA66" s="9">
        <v>0</v>
      </c>
      <c r="AB66" s="9">
        <v>2</v>
      </c>
      <c r="AC66" s="9">
        <v>3</v>
      </c>
      <c r="AD66" s="9">
        <v>0</v>
      </c>
      <c r="AE66" s="9">
        <v>4</v>
      </c>
      <c r="AF66" s="23">
        <v>1</v>
      </c>
      <c r="AG66" s="23">
        <v>2</v>
      </c>
      <c r="AH66" s="23">
        <v>3</v>
      </c>
      <c r="AI66" s="23">
        <v>3</v>
      </c>
      <c r="AL66" s="20"/>
    </row>
    <row r="67" spans="1:54" ht="15.75" customHeight="1" x14ac:dyDescent="0.2">
      <c r="A67" s="6" t="s">
        <v>120</v>
      </c>
      <c r="B67" s="6">
        <v>1933</v>
      </c>
      <c r="C67" s="6" t="s">
        <v>483</v>
      </c>
      <c r="D67" s="6" t="s">
        <v>483</v>
      </c>
      <c r="E67" s="43">
        <v>3.75</v>
      </c>
      <c r="F67" s="43">
        <v>1293</v>
      </c>
      <c r="G67" s="43">
        <v>941</v>
      </c>
      <c r="H67" s="20">
        <v>122826</v>
      </c>
      <c r="I67" s="270">
        <v>23508</v>
      </c>
      <c r="J67" s="20">
        <v>3694</v>
      </c>
      <c r="K67" s="20">
        <v>1682</v>
      </c>
      <c r="L67" s="20">
        <v>28477</v>
      </c>
      <c r="M67" s="20">
        <v>1.21</v>
      </c>
      <c r="N67" s="20">
        <v>14</v>
      </c>
      <c r="O67" s="20">
        <v>0.16</v>
      </c>
      <c r="P67" s="20">
        <v>2628</v>
      </c>
      <c r="Q67" s="20">
        <v>1.97</v>
      </c>
      <c r="R67" s="21">
        <v>0.28999999999999998</v>
      </c>
      <c r="S67" s="22">
        <v>0.17</v>
      </c>
      <c r="T67" s="23">
        <v>2</v>
      </c>
      <c r="U67" s="23">
        <v>3</v>
      </c>
      <c r="V67" s="23">
        <v>4</v>
      </c>
      <c r="W67" s="23">
        <v>2</v>
      </c>
      <c r="X67" s="23">
        <v>4</v>
      </c>
      <c r="Y67" s="23">
        <v>1</v>
      </c>
      <c r="Z67" s="23">
        <v>3</v>
      </c>
      <c r="AA67" s="9">
        <v>0</v>
      </c>
      <c r="AB67" s="9">
        <v>1</v>
      </c>
      <c r="AC67" s="9">
        <v>1</v>
      </c>
      <c r="AD67" s="9">
        <v>4</v>
      </c>
      <c r="AE67" s="9">
        <v>4</v>
      </c>
      <c r="AF67" s="23">
        <v>0</v>
      </c>
      <c r="AG67" s="23">
        <v>3</v>
      </c>
      <c r="AH67" s="23">
        <v>0</v>
      </c>
      <c r="AI67" s="23">
        <v>3</v>
      </c>
      <c r="AL67" s="20"/>
    </row>
    <row r="68" spans="1:54" ht="15.75" customHeight="1" x14ac:dyDescent="0.2">
      <c r="A68" s="6" t="s">
        <v>615</v>
      </c>
      <c r="B68" s="6">
        <v>1956</v>
      </c>
      <c r="C68" s="6" t="s">
        <v>514</v>
      </c>
      <c r="D68" s="6" t="s">
        <v>514</v>
      </c>
      <c r="E68" s="43">
        <v>3.53</v>
      </c>
      <c r="F68" s="43">
        <v>12895</v>
      </c>
      <c r="G68" s="43">
        <v>937</v>
      </c>
      <c r="H68" s="20">
        <v>209140</v>
      </c>
      <c r="I68" s="270">
        <v>39875</v>
      </c>
      <c r="J68" s="20">
        <v>5100</v>
      </c>
      <c r="K68" s="20">
        <v>3525</v>
      </c>
      <c r="L68" s="20">
        <v>49187</v>
      </c>
      <c r="M68" s="20">
        <v>1.23</v>
      </c>
      <c r="N68" s="20">
        <v>11.3</v>
      </c>
      <c r="O68" s="20">
        <v>0.13</v>
      </c>
      <c r="P68" s="20">
        <v>3677</v>
      </c>
      <c r="Q68" s="20">
        <v>1.7</v>
      </c>
      <c r="R68" s="21">
        <v>0.25</v>
      </c>
      <c r="S68" s="22">
        <v>0.14000000000000001</v>
      </c>
      <c r="T68" s="23">
        <v>1</v>
      </c>
      <c r="U68" s="23">
        <v>3</v>
      </c>
      <c r="V68" s="23">
        <v>4</v>
      </c>
      <c r="W68" s="23">
        <v>2</v>
      </c>
      <c r="X68" s="23">
        <v>3</v>
      </c>
      <c r="Y68" s="23">
        <v>4</v>
      </c>
      <c r="Z68" s="23">
        <v>3</v>
      </c>
      <c r="AA68" s="9">
        <v>0</v>
      </c>
      <c r="AB68" s="9">
        <v>1</v>
      </c>
      <c r="AC68" s="9">
        <v>0</v>
      </c>
      <c r="AD68" s="9">
        <v>2</v>
      </c>
      <c r="AE68" s="9">
        <v>4</v>
      </c>
      <c r="AF68" s="23">
        <v>0</v>
      </c>
      <c r="AG68" s="23">
        <v>2</v>
      </c>
      <c r="AH68" s="23">
        <v>1</v>
      </c>
      <c r="AI68" s="23">
        <v>3</v>
      </c>
      <c r="AL68" s="20"/>
    </row>
    <row r="69" spans="1:54" ht="15.75" customHeight="1" x14ac:dyDescent="0.2">
      <c r="A69" s="6" t="s">
        <v>616</v>
      </c>
      <c r="B69" s="6">
        <v>1939</v>
      </c>
      <c r="C69" s="6" t="s">
        <v>462</v>
      </c>
      <c r="D69" s="6" t="s">
        <v>462</v>
      </c>
      <c r="E69" s="43">
        <v>3.97</v>
      </c>
      <c r="F69" s="43">
        <v>4636</v>
      </c>
      <c r="G69" s="43">
        <v>894</v>
      </c>
      <c r="H69" s="20">
        <v>330560</v>
      </c>
      <c r="I69" s="270">
        <v>62626</v>
      </c>
      <c r="J69" s="20">
        <v>6250</v>
      </c>
      <c r="K69" s="20">
        <v>4035</v>
      </c>
      <c r="L69" s="20">
        <v>78083</v>
      </c>
      <c r="M69" s="20">
        <v>1.25</v>
      </c>
      <c r="N69" s="20">
        <v>15.5</v>
      </c>
      <c r="O69" s="20">
        <v>0.1</v>
      </c>
      <c r="P69" s="20">
        <v>4466</v>
      </c>
      <c r="Q69" s="20">
        <v>2.36</v>
      </c>
      <c r="R69" s="21">
        <v>0.28999999999999998</v>
      </c>
      <c r="S69" s="22">
        <v>0.19</v>
      </c>
      <c r="T69" s="23">
        <v>2</v>
      </c>
      <c r="U69" s="23">
        <v>3</v>
      </c>
      <c r="V69" s="23">
        <v>4</v>
      </c>
      <c r="W69" s="23">
        <v>2</v>
      </c>
      <c r="X69" s="23">
        <v>3</v>
      </c>
      <c r="Y69" s="23">
        <v>2</v>
      </c>
      <c r="Z69" s="23">
        <v>3</v>
      </c>
      <c r="AA69" s="9">
        <v>1</v>
      </c>
      <c r="AB69" s="9">
        <v>1</v>
      </c>
      <c r="AC69" s="9">
        <v>2</v>
      </c>
      <c r="AD69" s="9">
        <v>1</v>
      </c>
      <c r="AE69" s="9">
        <v>4</v>
      </c>
      <c r="AF69" s="23">
        <v>0</v>
      </c>
      <c r="AG69" s="23">
        <v>2</v>
      </c>
      <c r="AH69" s="23">
        <v>4</v>
      </c>
      <c r="AI69" s="23">
        <v>3</v>
      </c>
      <c r="AL69" s="20"/>
    </row>
    <row r="70" spans="1:54" ht="15.75" customHeight="1" x14ac:dyDescent="0.2">
      <c r="A70" s="6" t="s">
        <v>617</v>
      </c>
      <c r="B70" s="6">
        <v>1941</v>
      </c>
      <c r="C70" s="6" t="s">
        <v>372</v>
      </c>
      <c r="D70" s="6" t="s">
        <v>372</v>
      </c>
      <c r="E70" s="43">
        <v>3.83</v>
      </c>
      <c r="F70" s="43">
        <v>6691</v>
      </c>
      <c r="G70" s="43">
        <v>849</v>
      </c>
      <c r="H70" s="20">
        <v>185706</v>
      </c>
      <c r="I70" s="270">
        <v>34425</v>
      </c>
      <c r="J70" s="20">
        <v>4603</v>
      </c>
      <c r="K70" s="20">
        <v>2170</v>
      </c>
      <c r="L70" s="20">
        <v>40817</v>
      </c>
      <c r="M70" s="20">
        <v>1.19</v>
      </c>
      <c r="N70" s="20">
        <v>15.9</v>
      </c>
      <c r="O70" s="20">
        <v>0.13</v>
      </c>
      <c r="P70" s="20">
        <v>3494</v>
      </c>
      <c r="Q70" s="20">
        <v>1.71</v>
      </c>
      <c r="R70" s="21">
        <v>0.3</v>
      </c>
      <c r="S70" s="22">
        <v>0.19</v>
      </c>
      <c r="T70" s="23">
        <v>3</v>
      </c>
      <c r="U70" s="23">
        <v>4</v>
      </c>
      <c r="V70" s="23">
        <v>4</v>
      </c>
      <c r="W70" s="23">
        <v>1</v>
      </c>
      <c r="X70" s="23">
        <v>4</v>
      </c>
      <c r="Y70" s="23">
        <v>2</v>
      </c>
      <c r="Z70" s="23">
        <v>3</v>
      </c>
      <c r="AA70" s="9">
        <v>0</v>
      </c>
      <c r="AB70" s="9">
        <v>2</v>
      </c>
      <c r="AC70" s="9">
        <v>1</v>
      </c>
      <c r="AD70" s="9">
        <v>2</v>
      </c>
      <c r="AE70" s="9">
        <v>4</v>
      </c>
      <c r="AF70" s="23">
        <v>0</v>
      </c>
      <c r="AG70" s="23">
        <v>2</v>
      </c>
      <c r="AH70" s="23">
        <v>1</v>
      </c>
      <c r="AI70" s="23">
        <v>3</v>
      </c>
      <c r="AL70" s="20"/>
    </row>
    <row r="71" spans="1:54" ht="15.75" customHeight="1" x14ac:dyDescent="0.2">
      <c r="A71" s="282" t="s">
        <v>20</v>
      </c>
      <c r="B71" s="282">
        <v>1970</v>
      </c>
      <c r="C71" s="282" t="s">
        <v>21</v>
      </c>
      <c r="D71" s="282" t="s">
        <v>21</v>
      </c>
      <c r="E71" s="283">
        <v>3.86</v>
      </c>
      <c r="F71" s="283">
        <v>14190</v>
      </c>
      <c r="G71" s="283">
        <v>842</v>
      </c>
      <c r="H71" s="284">
        <v>140302</v>
      </c>
      <c r="I71" s="284">
        <v>25667</v>
      </c>
      <c r="J71" s="284">
        <v>3621</v>
      </c>
      <c r="K71" s="284">
        <v>2171</v>
      </c>
      <c r="L71" s="284">
        <v>32009</v>
      </c>
      <c r="M71" s="284">
        <v>1.25</v>
      </c>
      <c r="N71" s="284">
        <v>11.8</v>
      </c>
      <c r="O71" s="284">
        <v>0.14000000000000001</v>
      </c>
      <c r="P71" s="284">
        <v>2585</v>
      </c>
      <c r="Q71" s="284">
        <v>1.86</v>
      </c>
      <c r="R71" s="285">
        <v>0.28999999999999998</v>
      </c>
      <c r="S71" s="286">
        <v>0.2</v>
      </c>
      <c r="T71" s="287">
        <v>2</v>
      </c>
      <c r="U71" s="287">
        <v>3</v>
      </c>
      <c r="V71" s="287">
        <v>4</v>
      </c>
      <c r="W71" s="287">
        <v>2</v>
      </c>
      <c r="X71" s="287">
        <v>4</v>
      </c>
      <c r="Y71" s="287">
        <v>3</v>
      </c>
      <c r="Z71" s="287">
        <v>4</v>
      </c>
      <c r="AA71" s="288">
        <v>3</v>
      </c>
      <c r="AB71" s="288">
        <v>2</v>
      </c>
      <c r="AC71" s="288">
        <v>1</v>
      </c>
      <c r="AD71" s="288">
        <v>4</v>
      </c>
      <c r="AE71" s="288">
        <v>1</v>
      </c>
      <c r="AF71" s="287">
        <v>2</v>
      </c>
      <c r="AG71" s="287">
        <v>2</v>
      </c>
      <c r="AH71" s="287">
        <v>1</v>
      </c>
      <c r="AI71" s="287">
        <v>3</v>
      </c>
      <c r="AJ71" s="282"/>
      <c r="AK71" s="282"/>
      <c r="AL71" s="284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  <c r="BB71" s="282"/>
    </row>
    <row r="72" spans="1:54" ht="15.75" customHeight="1" x14ac:dyDescent="0.2">
      <c r="A72" s="6" t="s">
        <v>618</v>
      </c>
      <c r="B72" s="6">
        <v>1964</v>
      </c>
      <c r="C72" s="6" t="s">
        <v>377</v>
      </c>
      <c r="D72" s="6" t="s">
        <v>377</v>
      </c>
      <c r="E72" s="43">
        <v>4.0599999999999996</v>
      </c>
      <c r="F72" s="43">
        <v>34987</v>
      </c>
      <c r="G72" s="43">
        <v>832</v>
      </c>
      <c r="H72" s="20">
        <v>240106</v>
      </c>
      <c r="I72" s="270">
        <v>44384</v>
      </c>
      <c r="J72" s="20">
        <v>6244</v>
      </c>
      <c r="K72" s="20">
        <v>3061</v>
      </c>
      <c r="L72" s="20">
        <v>55883</v>
      </c>
      <c r="M72" s="20">
        <v>1.26</v>
      </c>
      <c r="N72" s="20">
        <v>14.5</v>
      </c>
      <c r="O72" s="20">
        <v>0.14000000000000001</v>
      </c>
      <c r="P72" s="20">
        <v>4518</v>
      </c>
      <c r="Q72" s="20">
        <v>1.94</v>
      </c>
      <c r="R72" s="21">
        <v>0.28000000000000003</v>
      </c>
      <c r="S72" s="22">
        <v>0.13</v>
      </c>
      <c r="T72" s="23">
        <v>2</v>
      </c>
      <c r="U72" s="23">
        <v>3</v>
      </c>
      <c r="V72" s="23">
        <v>4</v>
      </c>
      <c r="W72" s="23">
        <v>2</v>
      </c>
      <c r="X72" s="23">
        <v>4</v>
      </c>
      <c r="Y72" s="23">
        <v>1</v>
      </c>
      <c r="Z72" s="23">
        <v>3</v>
      </c>
      <c r="AA72" s="9">
        <v>1</v>
      </c>
      <c r="AB72" s="9">
        <v>2</v>
      </c>
      <c r="AC72" s="9">
        <v>1</v>
      </c>
      <c r="AD72" s="9">
        <v>3</v>
      </c>
      <c r="AE72" s="9">
        <v>2</v>
      </c>
      <c r="AF72" s="23">
        <v>1</v>
      </c>
      <c r="AG72" s="23">
        <v>2</v>
      </c>
      <c r="AH72" s="23">
        <v>2</v>
      </c>
      <c r="AI72" s="23">
        <v>4</v>
      </c>
      <c r="AL72" s="20"/>
    </row>
    <row r="73" spans="1:54" ht="15.75" customHeight="1" x14ac:dyDescent="0.2">
      <c r="A73" s="6" t="s">
        <v>619</v>
      </c>
      <c r="B73" s="6">
        <v>1924</v>
      </c>
      <c r="C73" s="6" t="s">
        <v>457</v>
      </c>
      <c r="D73" s="6" t="s">
        <v>457</v>
      </c>
      <c r="E73" s="43">
        <v>3.68</v>
      </c>
      <c r="F73" s="43">
        <v>3591</v>
      </c>
      <c r="G73" s="43">
        <v>799</v>
      </c>
      <c r="H73" s="20">
        <v>70508</v>
      </c>
      <c r="I73" s="270">
        <v>13545</v>
      </c>
      <c r="J73" s="20">
        <v>2620</v>
      </c>
      <c r="K73" s="20">
        <v>877</v>
      </c>
      <c r="L73" s="20">
        <v>16978</v>
      </c>
      <c r="M73" s="20">
        <v>1.25</v>
      </c>
      <c r="N73" s="20">
        <v>15.4</v>
      </c>
      <c r="O73" s="20">
        <v>0.19</v>
      </c>
      <c r="P73" s="20">
        <v>1973</v>
      </c>
      <c r="Q73" s="20">
        <v>1.78</v>
      </c>
      <c r="R73" s="21">
        <v>0.28999999999999998</v>
      </c>
      <c r="S73" s="22">
        <v>0.24</v>
      </c>
      <c r="T73" s="23">
        <v>2</v>
      </c>
      <c r="U73" s="23">
        <v>3</v>
      </c>
      <c r="V73" s="23">
        <v>4</v>
      </c>
      <c r="W73" s="23">
        <v>3</v>
      </c>
      <c r="X73" s="23">
        <v>2</v>
      </c>
      <c r="Y73" s="23">
        <v>4</v>
      </c>
      <c r="Z73" s="23">
        <v>3</v>
      </c>
      <c r="AA73" s="9">
        <v>1</v>
      </c>
      <c r="AB73" s="9">
        <v>0</v>
      </c>
      <c r="AC73" s="9">
        <v>1</v>
      </c>
      <c r="AD73" s="9">
        <v>0</v>
      </c>
      <c r="AE73" s="9">
        <v>2</v>
      </c>
      <c r="AF73" s="23">
        <v>1</v>
      </c>
      <c r="AG73" s="23">
        <v>3</v>
      </c>
      <c r="AH73" s="23">
        <v>0</v>
      </c>
      <c r="AI73" s="23">
        <v>4</v>
      </c>
      <c r="AL73" s="20"/>
    </row>
    <row r="74" spans="1:54" ht="15.75" customHeight="1" x14ac:dyDescent="0.2">
      <c r="A74" s="6" t="s">
        <v>620</v>
      </c>
      <c r="B74" s="6">
        <v>1929</v>
      </c>
      <c r="C74" s="6" t="s">
        <v>392</v>
      </c>
      <c r="D74" s="6" t="s">
        <v>392</v>
      </c>
      <c r="E74" s="43">
        <v>3.95</v>
      </c>
      <c r="F74" s="43">
        <v>28372</v>
      </c>
      <c r="G74" s="43">
        <v>774</v>
      </c>
      <c r="H74" s="20">
        <v>314378</v>
      </c>
      <c r="I74" s="270">
        <v>62679</v>
      </c>
      <c r="J74" s="20">
        <v>4846</v>
      </c>
      <c r="K74" s="20">
        <v>5236</v>
      </c>
      <c r="L74" s="20">
        <v>76998</v>
      </c>
      <c r="M74" s="20">
        <v>1.23</v>
      </c>
      <c r="N74" s="20">
        <v>12</v>
      </c>
      <c r="O74" s="20">
        <v>0.08</v>
      </c>
      <c r="P74" s="20">
        <v>3321</v>
      </c>
      <c r="Q74" s="20">
        <v>1.84</v>
      </c>
      <c r="R74" s="21">
        <v>0.27</v>
      </c>
      <c r="S74" s="22">
        <v>0.18</v>
      </c>
      <c r="T74" s="23">
        <v>3</v>
      </c>
      <c r="U74" s="23">
        <v>4</v>
      </c>
      <c r="V74" s="23">
        <v>4</v>
      </c>
      <c r="W74" s="23">
        <v>2</v>
      </c>
      <c r="X74" s="23">
        <v>4</v>
      </c>
      <c r="Y74" s="23">
        <v>1</v>
      </c>
      <c r="Z74" s="23">
        <v>3</v>
      </c>
      <c r="AA74" s="9">
        <v>0</v>
      </c>
      <c r="AB74" s="9">
        <v>4</v>
      </c>
      <c r="AC74" s="9">
        <v>0</v>
      </c>
      <c r="AD74" s="9">
        <v>1</v>
      </c>
      <c r="AE74" s="9">
        <v>2</v>
      </c>
      <c r="AF74" s="23">
        <v>1</v>
      </c>
      <c r="AG74" s="23">
        <v>2</v>
      </c>
      <c r="AH74" s="23">
        <v>0</v>
      </c>
      <c r="AI74" s="23">
        <v>3</v>
      </c>
      <c r="AL74" s="20"/>
    </row>
    <row r="75" spans="1:54" ht="15.75" customHeight="1" x14ac:dyDescent="0.2">
      <c r="A75" s="6" t="s">
        <v>621</v>
      </c>
      <c r="B75" s="6">
        <v>1949</v>
      </c>
      <c r="C75" s="6" t="s">
        <v>414</v>
      </c>
      <c r="D75" s="6" t="s">
        <v>414</v>
      </c>
      <c r="E75" s="43">
        <v>3.79</v>
      </c>
      <c r="F75" s="43">
        <v>15523</v>
      </c>
      <c r="G75" s="43">
        <v>767</v>
      </c>
      <c r="H75" s="20">
        <v>156681</v>
      </c>
      <c r="I75" s="270">
        <v>30092</v>
      </c>
      <c r="J75" s="20">
        <v>3686</v>
      </c>
      <c r="K75" s="20">
        <v>2285</v>
      </c>
      <c r="L75" s="20">
        <v>36943</v>
      </c>
      <c r="M75" s="20">
        <v>1.23</v>
      </c>
      <c r="N75" s="20">
        <v>13.2</v>
      </c>
      <c r="O75" s="20">
        <v>0.12</v>
      </c>
      <c r="P75" s="20">
        <v>2627</v>
      </c>
      <c r="Q75" s="20">
        <v>1.9</v>
      </c>
      <c r="R75" s="21">
        <v>0.28000000000000003</v>
      </c>
      <c r="S75" s="22">
        <v>0.21</v>
      </c>
      <c r="T75" s="23">
        <v>3</v>
      </c>
      <c r="U75" s="23">
        <v>4</v>
      </c>
      <c r="V75" s="23">
        <v>4</v>
      </c>
      <c r="W75" s="23">
        <v>3</v>
      </c>
      <c r="X75" s="23">
        <v>4</v>
      </c>
      <c r="Y75" s="23">
        <v>2</v>
      </c>
      <c r="Z75" s="23">
        <v>3</v>
      </c>
      <c r="AA75" s="9">
        <v>1</v>
      </c>
      <c r="AB75" s="9">
        <v>4</v>
      </c>
      <c r="AC75" s="9">
        <v>2</v>
      </c>
      <c r="AD75" s="9">
        <v>2</v>
      </c>
      <c r="AE75" s="9">
        <v>3</v>
      </c>
      <c r="AF75" s="23">
        <v>1</v>
      </c>
      <c r="AG75" s="23">
        <v>3</v>
      </c>
      <c r="AH75" s="23">
        <v>1</v>
      </c>
      <c r="AI75" s="23">
        <v>4</v>
      </c>
      <c r="AL75" s="20"/>
    </row>
    <row r="76" spans="1:54" ht="15.75" customHeight="1" x14ac:dyDescent="0.2">
      <c r="A76" s="6" t="s">
        <v>622</v>
      </c>
      <c r="B76" s="6">
        <v>1928</v>
      </c>
      <c r="C76" s="6" t="s">
        <v>486</v>
      </c>
      <c r="D76" s="6" t="s">
        <v>486</v>
      </c>
      <c r="E76" s="43">
        <v>3.92</v>
      </c>
      <c r="F76" s="43">
        <v>69964</v>
      </c>
      <c r="G76" s="43">
        <v>712</v>
      </c>
      <c r="H76" s="20">
        <v>192335</v>
      </c>
      <c r="I76" s="270">
        <v>35795</v>
      </c>
      <c r="J76" s="20">
        <v>4328</v>
      </c>
      <c r="K76" s="20">
        <v>2944</v>
      </c>
      <c r="L76" s="20">
        <v>44752</v>
      </c>
      <c r="M76" s="20">
        <v>1.25</v>
      </c>
      <c r="N76" s="20">
        <v>12.2</v>
      </c>
      <c r="O76" s="20">
        <v>0.12</v>
      </c>
      <c r="P76" s="20">
        <v>3253</v>
      </c>
      <c r="Q76" s="20">
        <v>1.76</v>
      </c>
      <c r="R76" s="21">
        <v>0.28000000000000003</v>
      </c>
      <c r="S76" s="22">
        <v>0.2</v>
      </c>
      <c r="T76" s="23">
        <v>3</v>
      </c>
      <c r="U76" s="23">
        <v>4</v>
      </c>
      <c r="V76" s="23">
        <v>4</v>
      </c>
      <c r="W76" s="23">
        <v>2</v>
      </c>
      <c r="X76" s="23">
        <v>4</v>
      </c>
      <c r="Y76" s="23">
        <v>1</v>
      </c>
      <c r="Z76" s="23">
        <v>3</v>
      </c>
      <c r="AA76" s="9">
        <v>0</v>
      </c>
      <c r="AB76" s="9">
        <v>2</v>
      </c>
      <c r="AC76" s="9">
        <v>1</v>
      </c>
      <c r="AD76" s="9">
        <v>2</v>
      </c>
      <c r="AE76" s="9">
        <v>4</v>
      </c>
      <c r="AF76" s="23">
        <v>0</v>
      </c>
      <c r="AG76" s="23">
        <v>2</v>
      </c>
      <c r="AH76" s="23">
        <v>4</v>
      </c>
      <c r="AI76" s="23">
        <v>3</v>
      </c>
      <c r="AL76" s="20"/>
    </row>
    <row r="77" spans="1:54" ht="15.75" customHeight="1" x14ac:dyDescent="0.2">
      <c r="A77" s="6" t="s">
        <v>623</v>
      </c>
      <c r="B77" s="6">
        <v>1903</v>
      </c>
      <c r="C77" s="6" t="s">
        <v>42</v>
      </c>
      <c r="D77" s="6" t="s">
        <v>42</v>
      </c>
      <c r="E77" s="43">
        <v>3.63</v>
      </c>
      <c r="F77" s="43">
        <v>5179</v>
      </c>
      <c r="G77" s="43">
        <v>705</v>
      </c>
      <c r="H77" s="20">
        <v>100004</v>
      </c>
      <c r="I77" s="270">
        <v>19037</v>
      </c>
      <c r="J77" s="20">
        <v>2633</v>
      </c>
      <c r="K77" s="20">
        <v>901</v>
      </c>
      <c r="L77" s="20">
        <v>22809</v>
      </c>
      <c r="M77" s="20">
        <v>1.2</v>
      </c>
      <c r="N77" s="20">
        <v>21.1</v>
      </c>
      <c r="O77" s="20">
        <v>0.14000000000000001</v>
      </c>
      <c r="P77" s="20">
        <v>1983</v>
      </c>
      <c r="Q77" s="20">
        <v>2.58</v>
      </c>
      <c r="R77" s="21">
        <v>0.34</v>
      </c>
      <c r="S77" s="22">
        <v>0.28000000000000003</v>
      </c>
      <c r="T77" s="23">
        <v>2</v>
      </c>
      <c r="U77" s="23">
        <v>3</v>
      </c>
      <c r="V77" s="23">
        <v>4</v>
      </c>
      <c r="W77" s="23">
        <v>1</v>
      </c>
      <c r="X77" s="23">
        <v>3</v>
      </c>
      <c r="Y77" s="23">
        <v>2</v>
      </c>
      <c r="Z77" s="23">
        <v>4</v>
      </c>
      <c r="AA77" s="9">
        <v>0</v>
      </c>
      <c r="AB77" s="9">
        <v>1</v>
      </c>
      <c r="AC77" s="9">
        <v>2</v>
      </c>
      <c r="AD77" s="9">
        <v>0</v>
      </c>
      <c r="AE77" s="9">
        <v>4</v>
      </c>
      <c r="AF77" s="23">
        <v>0</v>
      </c>
      <c r="AG77" s="23">
        <v>2</v>
      </c>
      <c r="AH77" s="23">
        <v>1</v>
      </c>
      <c r="AI77" s="23">
        <v>3</v>
      </c>
      <c r="AL77" s="20"/>
    </row>
    <row r="78" spans="1:54" ht="15.75" customHeight="1" x14ac:dyDescent="0.2">
      <c r="A78" s="6" t="s">
        <v>624</v>
      </c>
      <c r="B78" s="6">
        <v>1958</v>
      </c>
      <c r="C78" s="6" t="s">
        <v>433</v>
      </c>
      <c r="D78" s="6" t="s">
        <v>433</v>
      </c>
      <c r="E78" s="43">
        <v>3.66</v>
      </c>
      <c r="F78" s="43">
        <v>16032</v>
      </c>
      <c r="G78" s="43">
        <v>638</v>
      </c>
      <c r="H78" s="20">
        <v>219231</v>
      </c>
      <c r="I78" s="270">
        <v>42019</v>
      </c>
      <c r="J78" s="20">
        <v>5543</v>
      </c>
      <c r="K78" s="20">
        <v>555</v>
      </c>
      <c r="L78" s="20">
        <v>51464</v>
      </c>
      <c r="M78" s="20">
        <v>1.22</v>
      </c>
      <c r="N78" s="20">
        <v>75.7</v>
      </c>
      <c r="O78" s="20">
        <v>0.13</v>
      </c>
      <c r="P78" s="20">
        <v>3780</v>
      </c>
      <c r="Q78" s="20">
        <v>7.03</v>
      </c>
      <c r="R78" s="21">
        <v>0.42</v>
      </c>
      <c r="S78" s="22">
        <v>0.38</v>
      </c>
      <c r="T78" s="23">
        <v>2</v>
      </c>
      <c r="U78" s="23">
        <v>3</v>
      </c>
      <c r="V78" s="23">
        <v>4</v>
      </c>
      <c r="W78" s="23">
        <v>1</v>
      </c>
      <c r="X78" s="23">
        <v>4</v>
      </c>
      <c r="Y78" s="23">
        <v>3</v>
      </c>
      <c r="Z78" s="23">
        <v>4</v>
      </c>
      <c r="AA78" s="9">
        <v>0</v>
      </c>
      <c r="AB78" s="9">
        <v>1</v>
      </c>
      <c r="AC78" s="9">
        <v>3</v>
      </c>
      <c r="AD78" s="9">
        <v>1</v>
      </c>
      <c r="AE78" s="9">
        <v>4</v>
      </c>
      <c r="AF78" s="23">
        <v>0</v>
      </c>
      <c r="AG78" s="23">
        <v>2</v>
      </c>
      <c r="AH78" s="23">
        <v>3</v>
      </c>
      <c r="AI78" s="23">
        <v>3</v>
      </c>
      <c r="AL78" s="20"/>
    </row>
    <row r="79" spans="1:54" ht="15.75" customHeight="1" x14ac:dyDescent="0.2">
      <c r="A79" s="6" t="s">
        <v>625</v>
      </c>
      <c r="B79" s="6">
        <v>1983</v>
      </c>
      <c r="C79" s="6" t="s">
        <v>522</v>
      </c>
      <c r="D79" s="6" t="s">
        <v>522</v>
      </c>
      <c r="E79" s="43">
        <v>3.66</v>
      </c>
      <c r="F79" s="43">
        <v>60613</v>
      </c>
      <c r="G79" s="43">
        <v>622</v>
      </c>
      <c r="H79" s="20">
        <v>86555</v>
      </c>
      <c r="I79" s="270">
        <v>16261</v>
      </c>
      <c r="J79" s="20">
        <v>3068</v>
      </c>
      <c r="K79" s="20">
        <v>1009</v>
      </c>
      <c r="L79" s="20">
        <v>20449</v>
      </c>
      <c r="M79" s="20">
        <v>1.26</v>
      </c>
      <c r="N79" s="20">
        <v>16.100000000000001</v>
      </c>
      <c r="O79" s="20">
        <v>0.19</v>
      </c>
      <c r="P79" s="20">
        <v>2085</v>
      </c>
      <c r="Q79" s="20">
        <v>1.88</v>
      </c>
      <c r="R79" s="21">
        <v>0.28000000000000003</v>
      </c>
      <c r="S79" s="22">
        <v>0.19</v>
      </c>
      <c r="T79" s="23">
        <v>3</v>
      </c>
      <c r="U79" s="23">
        <v>4</v>
      </c>
      <c r="V79" s="23">
        <v>4</v>
      </c>
      <c r="W79" s="23">
        <v>3</v>
      </c>
      <c r="X79" s="23">
        <v>3</v>
      </c>
      <c r="Y79" s="23">
        <v>2</v>
      </c>
      <c r="Z79" s="23">
        <v>3</v>
      </c>
      <c r="AA79" s="9">
        <v>1</v>
      </c>
      <c r="AB79" s="9">
        <v>3</v>
      </c>
      <c r="AC79" s="9">
        <v>0</v>
      </c>
      <c r="AD79" s="9">
        <v>1</v>
      </c>
      <c r="AE79" s="9">
        <v>2</v>
      </c>
      <c r="AF79" s="23">
        <v>2</v>
      </c>
      <c r="AG79" s="23">
        <v>3</v>
      </c>
      <c r="AH79" s="23">
        <v>1</v>
      </c>
      <c r="AI79" s="23">
        <v>4</v>
      </c>
      <c r="AL79" s="20"/>
    </row>
    <row r="80" spans="1:54" ht="15.75" customHeight="1" x14ac:dyDescent="0.2">
      <c r="A80" s="6" t="s">
        <v>626</v>
      </c>
      <c r="B80" s="6">
        <v>1972</v>
      </c>
      <c r="C80" s="6" t="s">
        <v>427</v>
      </c>
      <c r="D80" s="6" t="s">
        <v>427</v>
      </c>
      <c r="E80" s="43">
        <v>3.86</v>
      </c>
      <c r="F80" s="43">
        <v>45586</v>
      </c>
      <c r="G80" s="43">
        <v>608</v>
      </c>
      <c r="H80" s="20">
        <v>182246</v>
      </c>
      <c r="I80" s="270">
        <v>34042</v>
      </c>
      <c r="J80" s="20">
        <v>4113</v>
      </c>
      <c r="K80" s="20">
        <v>3138</v>
      </c>
      <c r="L80" s="20">
        <v>44661</v>
      </c>
      <c r="M80" s="20">
        <v>1.31</v>
      </c>
      <c r="N80" s="20">
        <v>10.8</v>
      </c>
      <c r="O80" s="20">
        <v>0.12</v>
      </c>
      <c r="P80" s="20">
        <v>2819</v>
      </c>
      <c r="Q80" s="20">
        <v>1.75</v>
      </c>
      <c r="R80" s="21">
        <v>0.25</v>
      </c>
      <c r="S80" s="22">
        <v>0.2</v>
      </c>
      <c r="T80" s="23">
        <v>3</v>
      </c>
      <c r="U80" s="23">
        <v>4</v>
      </c>
      <c r="V80" s="23">
        <v>4</v>
      </c>
      <c r="W80" s="23">
        <v>3</v>
      </c>
      <c r="X80" s="23">
        <v>2</v>
      </c>
      <c r="Y80" s="23">
        <v>4</v>
      </c>
      <c r="Z80" s="23">
        <v>3</v>
      </c>
      <c r="AA80" s="9">
        <v>0</v>
      </c>
      <c r="AB80" s="9">
        <v>4</v>
      </c>
      <c r="AC80" s="9">
        <v>0</v>
      </c>
      <c r="AD80" s="9">
        <v>2</v>
      </c>
      <c r="AE80" s="9">
        <v>3</v>
      </c>
      <c r="AF80" s="23">
        <v>1</v>
      </c>
      <c r="AG80" s="23">
        <v>3</v>
      </c>
      <c r="AH80" s="23">
        <v>4</v>
      </c>
      <c r="AI80" s="23">
        <v>3</v>
      </c>
      <c r="AL80" s="20"/>
    </row>
    <row r="81" spans="1:54" ht="15.75" customHeight="1" x14ac:dyDescent="0.2">
      <c r="A81" s="6" t="s">
        <v>627</v>
      </c>
      <c r="B81" s="6">
        <v>1872</v>
      </c>
      <c r="C81" s="6" t="s">
        <v>428</v>
      </c>
      <c r="D81" s="6" t="s">
        <v>428</v>
      </c>
      <c r="E81" s="43">
        <v>3.86</v>
      </c>
      <c r="F81" s="43">
        <v>137485</v>
      </c>
      <c r="G81" s="43">
        <v>603</v>
      </c>
      <c r="H81" s="20">
        <v>150862</v>
      </c>
      <c r="I81" s="270">
        <v>27680</v>
      </c>
      <c r="J81" s="20">
        <v>3918</v>
      </c>
      <c r="K81" s="20">
        <v>1327</v>
      </c>
      <c r="L81" s="20">
        <v>34381</v>
      </c>
      <c r="M81" s="20">
        <v>1.24</v>
      </c>
      <c r="N81" s="20">
        <v>20.9</v>
      </c>
      <c r="O81" s="20">
        <v>0.14000000000000001</v>
      </c>
      <c r="P81" s="20">
        <v>2915</v>
      </c>
      <c r="Q81" s="20">
        <v>2.2799999999999998</v>
      </c>
      <c r="R81" s="21">
        <v>0.32</v>
      </c>
      <c r="S81" s="22">
        <v>0.21</v>
      </c>
      <c r="T81" s="23">
        <v>3</v>
      </c>
      <c r="U81" s="23">
        <v>4</v>
      </c>
      <c r="V81" s="23">
        <v>4</v>
      </c>
      <c r="W81" s="23">
        <v>2</v>
      </c>
      <c r="X81" s="23">
        <v>3</v>
      </c>
      <c r="Y81" s="23">
        <v>4</v>
      </c>
      <c r="Z81" s="23">
        <v>3</v>
      </c>
      <c r="AA81" s="9">
        <v>0</v>
      </c>
      <c r="AB81" s="9">
        <v>3</v>
      </c>
      <c r="AC81" s="9">
        <v>2</v>
      </c>
      <c r="AD81" s="9">
        <v>0</v>
      </c>
      <c r="AE81" s="9">
        <v>3</v>
      </c>
      <c r="AF81" s="23">
        <v>1</v>
      </c>
      <c r="AG81" s="23">
        <v>2</v>
      </c>
      <c r="AH81" s="23">
        <v>3</v>
      </c>
      <c r="AI81" s="23">
        <v>3</v>
      </c>
      <c r="AL81" s="20"/>
    </row>
    <row r="82" spans="1:54" ht="15.75" customHeight="1" x14ac:dyDescent="0.2">
      <c r="A82" s="6" t="s">
        <v>628</v>
      </c>
      <c r="B82" s="6">
        <v>1896</v>
      </c>
      <c r="C82" s="6" t="s">
        <v>416</v>
      </c>
      <c r="D82" s="6" t="s">
        <v>416</v>
      </c>
      <c r="E82" s="43">
        <v>3.73</v>
      </c>
      <c r="F82" s="43">
        <v>125735</v>
      </c>
      <c r="G82" s="43">
        <v>592</v>
      </c>
      <c r="H82" s="20">
        <v>271977</v>
      </c>
      <c r="I82" s="270">
        <v>50119</v>
      </c>
      <c r="J82" s="20">
        <v>6303</v>
      </c>
      <c r="K82" s="20">
        <v>3218</v>
      </c>
      <c r="L82" s="20">
        <v>63065</v>
      </c>
      <c r="M82" s="20">
        <v>1.26</v>
      </c>
      <c r="N82" s="20">
        <v>15.6</v>
      </c>
      <c r="O82" s="20">
        <v>0.13</v>
      </c>
      <c r="P82" s="20">
        <v>4465</v>
      </c>
      <c r="Q82" s="20">
        <v>1.84</v>
      </c>
      <c r="R82" s="21">
        <v>0.3</v>
      </c>
      <c r="S82" s="22">
        <v>0.21</v>
      </c>
      <c r="T82" s="23">
        <v>3</v>
      </c>
      <c r="U82" s="23">
        <v>4</v>
      </c>
      <c r="V82" s="23">
        <v>4</v>
      </c>
      <c r="W82" s="23">
        <v>3</v>
      </c>
      <c r="X82" s="23">
        <v>4</v>
      </c>
      <c r="Y82" s="23">
        <v>2</v>
      </c>
      <c r="Z82" s="23">
        <v>3</v>
      </c>
      <c r="AA82" s="9">
        <v>0</v>
      </c>
      <c r="AB82" s="9">
        <v>1</v>
      </c>
      <c r="AC82" s="9">
        <v>0</v>
      </c>
      <c r="AD82" s="9">
        <v>2</v>
      </c>
      <c r="AE82" s="9">
        <v>3</v>
      </c>
      <c r="AF82" s="23">
        <v>1</v>
      </c>
      <c r="AG82" s="23">
        <v>2</v>
      </c>
      <c r="AH82" s="23">
        <v>0</v>
      </c>
      <c r="AI82" s="23">
        <v>3</v>
      </c>
      <c r="AL82" s="20"/>
    </row>
    <row r="83" spans="1:54" ht="15.75" customHeight="1" x14ac:dyDescent="0.2">
      <c r="A83" s="6" t="s">
        <v>629</v>
      </c>
      <c r="B83" s="6">
        <v>1930</v>
      </c>
      <c r="C83" s="6" t="s">
        <v>44</v>
      </c>
      <c r="D83" s="6" t="s">
        <v>44</v>
      </c>
      <c r="E83" s="43">
        <v>4.1399999999999997</v>
      </c>
      <c r="F83" s="43">
        <v>55852</v>
      </c>
      <c r="G83" s="43">
        <v>557</v>
      </c>
      <c r="H83" s="20">
        <v>218865</v>
      </c>
      <c r="I83" s="270">
        <v>40492</v>
      </c>
      <c r="J83" s="20">
        <v>4579</v>
      </c>
      <c r="K83" s="20">
        <v>2869</v>
      </c>
      <c r="L83" s="20">
        <v>49384</v>
      </c>
      <c r="M83" s="20">
        <v>1.22</v>
      </c>
      <c r="N83" s="20">
        <v>14.1</v>
      </c>
      <c r="O83" s="20">
        <v>0.11</v>
      </c>
      <c r="P83" s="20">
        <v>3308</v>
      </c>
      <c r="Q83" s="20">
        <v>2.1</v>
      </c>
      <c r="R83" s="21">
        <v>0.3</v>
      </c>
      <c r="S83" s="22">
        <v>0.18</v>
      </c>
      <c r="T83" s="23">
        <v>3</v>
      </c>
      <c r="U83" s="23">
        <v>4</v>
      </c>
      <c r="V83" s="23">
        <v>4</v>
      </c>
      <c r="W83" s="23">
        <v>2</v>
      </c>
      <c r="X83" s="23">
        <v>3</v>
      </c>
      <c r="Y83" s="23">
        <v>1</v>
      </c>
      <c r="Z83" s="23">
        <v>3</v>
      </c>
      <c r="AA83" s="9">
        <v>0</v>
      </c>
      <c r="AB83" s="9">
        <v>1</v>
      </c>
      <c r="AC83" s="9">
        <v>2</v>
      </c>
      <c r="AD83" s="9">
        <v>1</v>
      </c>
      <c r="AE83" s="9">
        <v>4</v>
      </c>
      <c r="AF83" s="23">
        <v>1</v>
      </c>
      <c r="AG83" s="23">
        <v>2</v>
      </c>
      <c r="AH83" s="23">
        <v>3</v>
      </c>
      <c r="AI83" s="23">
        <v>3</v>
      </c>
      <c r="AL83" s="20"/>
    </row>
    <row r="84" spans="1:54" ht="15.75" customHeight="1" x14ac:dyDescent="0.2">
      <c r="A84" s="6" t="s">
        <v>630</v>
      </c>
      <c r="B84" s="6">
        <v>1913</v>
      </c>
      <c r="C84" s="6" t="s">
        <v>543</v>
      </c>
      <c r="D84" s="6" t="s">
        <v>543</v>
      </c>
      <c r="E84" s="43">
        <v>3.9</v>
      </c>
      <c r="F84" s="43">
        <v>55464</v>
      </c>
      <c r="G84" s="43">
        <v>554</v>
      </c>
      <c r="H84" s="20">
        <v>296710</v>
      </c>
      <c r="I84" s="270">
        <v>56812</v>
      </c>
      <c r="J84" s="20">
        <v>5471</v>
      </c>
      <c r="K84" s="20">
        <v>4084</v>
      </c>
      <c r="L84" s="20">
        <v>69356</v>
      </c>
      <c r="M84" s="20">
        <v>1.22</v>
      </c>
      <c r="N84" s="20">
        <v>13.9</v>
      </c>
      <c r="O84" s="20">
        <v>0.1</v>
      </c>
      <c r="P84" s="20">
        <v>3858</v>
      </c>
      <c r="Q84" s="20">
        <v>1.86</v>
      </c>
      <c r="R84" s="21">
        <v>0.28000000000000003</v>
      </c>
      <c r="S84" s="22">
        <v>0.14000000000000001</v>
      </c>
      <c r="T84" s="23">
        <v>2</v>
      </c>
      <c r="U84" s="23">
        <v>3</v>
      </c>
      <c r="V84" s="23">
        <v>4</v>
      </c>
      <c r="W84" s="23">
        <v>2</v>
      </c>
      <c r="X84" s="23">
        <v>3</v>
      </c>
      <c r="Y84" s="23">
        <v>2</v>
      </c>
      <c r="Z84" s="23">
        <v>4</v>
      </c>
      <c r="AA84" s="9">
        <v>1</v>
      </c>
      <c r="AB84" s="9">
        <v>0</v>
      </c>
      <c r="AC84" s="9">
        <v>3</v>
      </c>
      <c r="AD84" s="9">
        <v>0</v>
      </c>
      <c r="AE84" s="9">
        <v>3</v>
      </c>
      <c r="AF84" s="23">
        <v>1</v>
      </c>
      <c r="AG84" s="23">
        <v>2</v>
      </c>
      <c r="AH84" s="23">
        <v>4</v>
      </c>
      <c r="AI84" s="23">
        <v>3</v>
      </c>
      <c r="AL84" s="20"/>
    </row>
    <row r="85" spans="1:54" ht="15.75" customHeight="1" x14ac:dyDescent="0.2">
      <c r="A85" s="6" t="s">
        <v>124</v>
      </c>
      <c r="B85" s="6">
        <v>1930</v>
      </c>
      <c r="C85" s="6" t="s">
        <v>392</v>
      </c>
      <c r="D85" s="6" t="s">
        <v>392</v>
      </c>
      <c r="E85" s="43">
        <v>3.87</v>
      </c>
      <c r="F85" s="43">
        <v>110152</v>
      </c>
      <c r="G85" s="43">
        <v>553</v>
      </c>
      <c r="H85" s="20">
        <v>365651</v>
      </c>
      <c r="I85" s="270">
        <v>70217</v>
      </c>
      <c r="J85" s="20">
        <v>5539</v>
      </c>
      <c r="K85" s="20">
        <v>6348</v>
      </c>
      <c r="L85" s="20">
        <v>90221</v>
      </c>
      <c r="M85" s="20">
        <v>1.28</v>
      </c>
      <c r="N85" s="20">
        <v>11.1</v>
      </c>
      <c r="O85" s="20">
        <v>0.08</v>
      </c>
      <c r="P85" s="20">
        <v>3917</v>
      </c>
      <c r="Q85" s="20">
        <v>1.7</v>
      </c>
      <c r="R85" s="21">
        <v>0.27</v>
      </c>
      <c r="S85" s="22">
        <v>0.18</v>
      </c>
      <c r="T85" s="23">
        <v>3</v>
      </c>
      <c r="U85" s="23">
        <v>4</v>
      </c>
      <c r="V85" s="23">
        <v>4</v>
      </c>
      <c r="W85" s="23">
        <v>2</v>
      </c>
      <c r="X85" s="23">
        <v>4</v>
      </c>
      <c r="Y85" s="23">
        <v>3</v>
      </c>
      <c r="Z85" s="23">
        <v>2</v>
      </c>
      <c r="AA85" s="9">
        <v>0</v>
      </c>
      <c r="AB85" s="9">
        <v>4</v>
      </c>
      <c r="AC85" s="9">
        <v>1</v>
      </c>
      <c r="AD85" s="9">
        <v>2</v>
      </c>
      <c r="AE85" s="9">
        <v>3</v>
      </c>
      <c r="AF85" s="23">
        <v>1</v>
      </c>
      <c r="AG85" s="23">
        <v>2</v>
      </c>
      <c r="AH85" s="23">
        <v>0</v>
      </c>
      <c r="AI85" s="23">
        <v>3</v>
      </c>
      <c r="AL85" s="20"/>
    </row>
    <row r="86" spans="1:54" ht="15.75" customHeight="1" x14ac:dyDescent="0.2">
      <c r="A86" s="6" t="s">
        <v>631</v>
      </c>
      <c r="B86" s="6">
        <v>1986</v>
      </c>
      <c r="C86" s="6" t="s">
        <v>382</v>
      </c>
      <c r="D86" s="6" t="s">
        <v>382</v>
      </c>
      <c r="E86" s="43">
        <v>4.07</v>
      </c>
      <c r="F86" s="43">
        <v>61358</v>
      </c>
      <c r="G86" s="43">
        <v>531</v>
      </c>
      <c r="H86" s="20">
        <v>165664</v>
      </c>
      <c r="I86" s="270">
        <v>30596</v>
      </c>
      <c r="J86" s="20">
        <v>4515</v>
      </c>
      <c r="K86" s="20">
        <v>2744</v>
      </c>
      <c r="L86" s="20">
        <v>38893</v>
      </c>
      <c r="M86" s="20">
        <v>1.27</v>
      </c>
      <c r="N86" s="20">
        <v>11.2</v>
      </c>
      <c r="O86" s="20">
        <v>0.15</v>
      </c>
      <c r="P86" s="20">
        <v>3330</v>
      </c>
      <c r="Q86" s="20">
        <v>1.66</v>
      </c>
      <c r="R86" s="21">
        <v>0.31</v>
      </c>
      <c r="S86" s="22">
        <v>0.27</v>
      </c>
      <c r="T86" s="23">
        <v>3</v>
      </c>
      <c r="U86" s="23">
        <v>4</v>
      </c>
      <c r="V86" s="23">
        <v>4</v>
      </c>
      <c r="W86" s="23">
        <v>2</v>
      </c>
      <c r="X86" s="23">
        <v>3</v>
      </c>
      <c r="Y86" s="23">
        <v>1</v>
      </c>
      <c r="Z86" s="23">
        <v>2</v>
      </c>
      <c r="AA86" s="9">
        <v>0</v>
      </c>
      <c r="AB86" s="9">
        <v>2</v>
      </c>
      <c r="AC86" s="9">
        <v>1</v>
      </c>
      <c r="AD86" s="9">
        <v>0</v>
      </c>
      <c r="AE86" s="9">
        <v>3</v>
      </c>
      <c r="AF86" s="23">
        <v>1</v>
      </c>
      <c r="AG86" s="23">
        <v>2</v>
      </c>
      <c r="AH86" s="23">
        <v>3</v>
      </c>
      <c r="AI86" s="23">
        <v>3</v>
      </c>
      <c r="AL86" s="20"/>
    </row>
    <row r="87" spans="1:54" ht="15.75" customHeight="1" x14ac:dyDescent="0.2">
      <c r="A87" s="6" t="s">
        <v>632</v>
      </c>
      <c r="B87" s="6">
        <v>1972</v>
      </c>
      <c r="C87" s="6" t="s">
        <v>534</v>
      </c>
      <c r="D87" s="6" t="s">
        <v>534</v>
      </c>
      <c r="E87" s="43">
        <v>4.05</v>
      </c>
      <c r="F87" s="43">
        <v>35852</v>
      </c>
      <c r="G87" s="43">
        <v>531</v>
      </c>
      <c r="H87" s="20">
        <v>224596</v>
      </c>
      <c r="I87" s="270">
        <v>41919</v>
      </c>
      <c r="J87" s="20">
        <v>5176</v>
      </c>
      <c r="K87" s="20">
        <v>2896</v>
      </c>
      <c r="L87" s="20">
        <v>53520</v>
      </c>
      <c r="M87" s="20">
        <v>1.28</v>
      </c>
      <c r="N87" s="20">
        <v>14.5</v>
      </c>
      <c r="O87" s="20">
        <v>0.12</v>
      </c>
      <c r="P87" s="20">
        <v>3612</v>
      </c>
      <c r="Q87" s="20">
        <v>1.86</v>
      </c>
      <c r="R87" s="21">
        <v>0.28000000000000003</v>
      </c>
      <c r="S87" s="22">
        <v>0.17</v>
      </c>
      <c r="T87" s="23">
        <v>3</v>
      </c>
      <c r="U87" s="23">
        <v>4</v>
      </c>
      <c r="V87" s="23">
        <v>4</v>
      </c>
      <c r="W87" s="23">
        <v>3</v>
      </c>
      <c r="X87" s="23">
        <v>4</v>
      </c>
      <c r="Y87" s="23">
        <v>2</v>
      </c>
      <c r="Z87" s="23">
        <v>3</v>
      </c>
      <c r="AA87" s="9">
        <v>1</v>
      </c>
      <c r="AB87" s="9">
        <v>2</v>
      </c>
      <c r="AC87" s="9">
        <v>1</v>
      </c>
      <c r="AD87" s="9">
        <v>3</v>
      </c>
      <c r="AE87" s="9">
        <v>4</v>
      </c>
      <c r="AF87" s="23">
        <v>2</v>
      </c>
      <c r="AG87" s="23">
        <v>3</v>
      </c>
      <c r="AH87" s="23">
        <v>2</v>
      </c>
      <c r="AI87" s="23">
        <v>4</v>
      </c>
      <c r="AL87" s="20"/>
    </row>
    <row r="88" spans="1:54" ht="15.75" customHeight="1" x14ac:dyDescent="0.2">
      <c r="A88" s="6" t="s">
        <v>633</v>
      </c>
      <c r="B88" s="6">
        <v>1986</v>
      </c>
      <c r="C88" s="6" t="s">
        <v>432</v>
      </c>
      <c r="D88" s="6" t="s">
        <v>432</v>
      </c>
      <c r="E88" s="43">
        <v>3.42</v>
      </c>
      <c r="F88" s="43">
        <v>11741</v>
      </c>
      <c r="G88" s="43">
        <v>523</v>
      </c>
      <c r="H88" s="20">
        <v>232144</v>
      </c>
      <c r="I88" s="270">
        <v>45322</v>
      </c>
      <c r="J88" s="20">
        <v>5043</v>
      </c>
      <c r="K88" s="20">
        <v>2651</v>
      </c>
      <c r="L88" s="20">
        <v>55666</v>
      </c>
      <c r="M88" s="20">
        <v>1.23</v>
      </c>
      <c r="N88" s="20">
        <v>17.100000000000001</v>
      </c>
      <c r="O88" s="20">
        <v>0.11</v>
      </c>
      <c r="P88" s="20">
        <v>3549</v>
      </c>
      <c r="Q88" s="20">
        <v>2.1800000000000002</v>
      </c>
      <c r="R88" s="21">
        <v>0.31</v>
      </c>
      <c r="S88" s="22">
        <v>0.17</v>
      </c>
      <c r="T88" s="23">
        <v>2</v>
      </c>
      <c r="U88" s="23">
        <v>3</v>
      </c>
      <c r="V88" s="23">
        <v>4</v>
      </c>
      <c r="W88" s="23">
        <v>2</v>
      </c>
      <c r="X88" s="23">
        <v>4</v>
      </c>
      <c r="Y88" s="23">
        <v>1</v>
      </c>
      <c r="Z88" s="23">
        <v>3</v>
      </c>
      <c r="AA88" s="9">
        <v>0</v>
      </c>
      <c r="AB88" s="9">
        <v>2</v>
      </c>
      <c r="AC88" s="9">
        <v>1</v>
      </c>
      <c r="AD88" s="9">
        <v>2</v>
      </c>
      <c r="AE88" s="9">
        <v>3</v>
      </c>
      <c r="AF88" s="23">
        <v>0</v>
      </c>
      <c r="AG88" s="23">
        <v>2</v>
      </c>
      <c r="AH88" s="23">
        <v>4</v>
      </c>
      <c r="AI88" s="23">
        <v>3</v>
      </c>
      <c r="AL88" s="20"/>
    </row>
    <row r="89" spans="1:54" ht="15.75" customHeight="1" x14ac:dyDescent="0.2">
      <c r="A89" s="6" t="s">
        <v>634</v>
      </c>
      <c r="B89" s="6">
        <v>1888</v>
      </c>
      <c r="C89" s="6" t="s">
        <v>42</v>
      </c>
      <c r="D89" s="6" t="s">
        <v>42</v>
      </c>
      <c r="E89" s="43">
        <v>3.7</v>
      </c>
      <c r="F89" s="43">
        <v>6306</v>
      </c>
      <c r="G89" s="43">
        <v>493</v>
      </c>
      <c r="H89" s="20">
        <v>205747</v>
      </c>
      <c r="I89" s="270">
        <v>39498</v>
      </c>
      <c r="J89" s="20">
        <v>4230</v>
      </c>
      <c r="K89" s="20">
        <v>2036</v>
      </c>
      <c r="L89" s="20">
        <v>47604</v>
      </c>
      <c r="M89" s="20">
        <v>1.21</v>
      </c>
      <c r="N89" s="20">
        <v>19.399999999999999</v>
      </c>
      <c r="O89" s="20">
        <v>0.11</v>
      </c>
      <c r="P89" s="20">
        <v>3172</v>
      </c>
      <c r="Q89" s="20">
        <v>2.62</v>
      </c>
      <c r="R89" s="21">
        <v>0.3</v>
      </c>
      <c r="S89" s="22">
        <v>0.2</v>
      </c>
      <c r="T89" s="23">
        <v>2</v>
      </c>
      <c r="U89" s="23">
        <v>3</v>
      </c>
      <c r="V89" s="23">
        <v>4</v>
      </c>
      <c r="W89" s="23">
        <v>2</v>
      </c>
      <c r="X89" s="23">
        <v>3</v>
      </c>
      <c r="Y89" s="23">
        <v>2</v>
      </c>
      <c r="Z89" s="23">
        <v>3</v>
      </c>
      <c r="AA89" s="9">
        <v>1</v>
      </c>
      <c r="AB89" s="9">
        <v>3</v>
      </c>
      <c r="AC89" s="9">
        <v>2</v>
      </c>
      <c r="AD89" s="9">
        <v>2</v>
      </c>
      <c r="AE89" s="9">
        <v>3</v>
      </c>
      <c r="AF89" s="23">
        <v>1</v>
      </c>
      <c r="AG89" s="23">
        <v>2</v>
      </c>
      <c r="AH89" s="23">
        <v>3</v>
      </c>
      <c r="AI89" s="23">
        <v>3</v>
      </c>
      <c r="AL89" s="20"/>
    </row>
    <row r="90" spans="1:54" ht="15.75" customHeight="1" x14ac:dyDescent="0.2">
      <c r="A90" s="6" t="s">
        <v>635</v>
      </c>
      <c r="B90" s="6">
        <v>2010</v>
      </c>
      <c r="C90" s="6" t="s">
        <v>523</v>
      </c>
      <c r="D90" s="6" t="s">
        <v>523</v>
      </c>
      <c r="E90" s="43">
        <v>3.52</v>
      </c>
      <c r="F90" s="43">
        <v>229702</v>
      </c>
      <c r="G90" s="43">
        <v>484</v>
      </c>
      <c r="H90" s="20">
        <v>211643</v>
      </c>
      <c r="I90" s="270">
        <v>40856</v>
      </c>
      <c r="J90" s="20">
        <v>3866</v>
      </c>
      <c r="K90" s="20">
        <v>3948</v>
      </c>
      <c r="L90" s="20">
        <v>49665</v>
      </c>
      <c r="M90" s="20">
        <v>1.22</v>
      </c>
      <c r="N90" s="20">
        <v>10.3</v>
      </c>
      <c r="O90" s="20">
        <v>0.1</v>
      </c>
      <c r="P90" s="20">
        <v>2756</v>
      </c>
      <c r="Q90" s="20">
        <v>1.71</v>
      </c>
      <c r="R90" s="21">
        <v>0.27</v>
      </c>
      <c r="S90" s="22">
        <v>0.21</v>
      </c>
      <c r="T90" s="23">
        <v>2</v>
      </c>
      <c r="U90" s="23">
        <v>3</v>
      </c>
      <c r="V90" s="23">
        <v>3</v>
      </c>
      <c r="W90" s="23">
        <v>1</v>
      </c>
      <c r="X90" s="23">
        <v>4</v>
      </c>
      <c r="Y90" s="23">
        <v>2</v>
      </c>
      <c r="Z90" s="23">
        <v>3</v>
      </c>
      <c r="AA90" s="9">
        <v>0</v>
      </c>
      <c r="AB90" s="9">
        <v>2</v>
      </c>
      <c r="AC90" s="9">
        <v>1</v>
      </c>
      <c r="AD90" s="9">
        <v>2</v>
      </c>
      <c r="AE90" s="9">
        <v>4</v>
      </c>
      <c r="AF90" s="23">
        <v>1</v>
      </c>
      <c r="AG90" s="23">
        <v>1</v>
      </c>
      <c r="AH90" s="23">
        <v>3</v>
      </c>
      <c r="AI90" s="23">
        <v>3</v>
      </c>
      <c r="AL90" s="20"/>
    </row>
    <row r="91" spans="1:54" ht="15.75" customHeight="1" x14ac:dyDescent="0.2">
      <c r="A91" s="6" t="s">
        <v>636</v>
      </c>
      <c r="B91" s="6">
        <v>1966</v>
      </c>
      <c r="C91" s="6" t="s">
        <v>375</v>
      </c>
      <c r="D91" s="6" t="s">
        <v>375</v>
      </c>
      <c r="E91" s="43">
        <v>3.85</v>
      </c>
      <c r="F91" s="43">
        <v>4242</v>
      </c>
      <c r="G91" s="43">
        <v>478</v>
      </c>
      <c r="H91" s="20">
        <v>206668</v>
      </c>
      <c r="I91" s="270">
        <v>40467</v>
      </c>
      <c r="J91" s="20">
        <v>4846</v>
      </c>
      <c r="K91" s="20">
        <v>4206</v>
      </c>
      <c r="L91" s="20">
        <v>50583</v>
      </c>
      <c r="M91" s="20">
        <v>1.25</v>
      </c>
      <c r="N91" s="20">
        <v>9.6</v>
      </c>
      <c r="O91" s="20">
        <v>0.12</v>
      </c>
      <c r="P91" s="20">
        <v>3242</v>
      </c>
      <c r="Q91" s="20">
        <v>1.5</v>
      </c>
      <c r="R91" s="21">
        <v>0.27</v>
      </c>
      <c r="S91" s="22">
        <v>0.14000000000000001</v>
      </c>
      <c r="T91" s="23">
        <v>2</v>
      </c>
      <c r="U91" s="23">
        <v>3</v>
      </c>
      <c r="V91" s="23">
        <v>4</v>
      </c>
      <c r="W91" s="23">
        <v>2</v>
      </c>
      <c r="X91" s="23">
        <v>3</v>
      </c>
      <c r="Y91" s="23">
        <v>1</v>
      </c>
      <c r="Z91" s="23">
        <v>4</v>
      </c>
      <c r="AA91" s="9">
        <v>2</v>
      </c>
      <c r="AB91" s="9">
        <v>1</v>
      </c>
      <c r="AC91" s="9">
        <v>3</v>
      </c>
      <c r="AD91" s="9">
        <v>2</v>
      </c>
      <c r="AE91" s="9">
        <v>1</v>
      </c>
      <c r="AF91" s="23">
        <v>2</v>
      </c>
      <c r="AG91" s="23">
        <v>3</v>
      </c>
      <c r="AH91" s="23">
        <v>2</v>
      </c>
      <c r="AI91" s="23">
        <v>4</v>
      </c>
      <c r="AL91" s="20"/>
    </row>
    <row r="92" spans="1:54" ht="15.75" customHeight="1" x14ac:dyDescent="0.2">
      <c r="A92" s="6" t="s">
        <v>122</v>
      </c>
      <c r="B92" s="6">
        <v>2007</v>
      </c>
      <c r="C92" s="6" t="s">
        <v>425</v>
      </c>
      <c r="D92" s="6" t="s">
        <v>425</v>
      </c>
      <c r="E92" s="43">
        <v>3.61</v>
      </c>
      <c r="F92" s="43">
        <v>96791</v>
      </c>
      <c r="G92" s="43">
        <v>475</v>
      </c>
      <c r="H92" s="20">
        <v>207956</v>
      </c>
      <c r="I92" s="270">
        <v>37394</v>
      </c>
      <c r="J92" s="20">
        <v>5978</v>
      </c>
      <c r="K92" s="20">
        <v>1835</v>
      </c>
      <c r="L92" s="20">
        <v>45213</v>
      </c>
      <c r="M92" s="20">
        <v>1.21</v>
      </c>
      <c r="N92" s="20">
        <v>20.399999999999999</v>
      </c>
      <c r="O92" s="20">
        <v>0.16</v>
      </c>
      <c r="P92" s="20">
        <v>4424</v>
      </c>
      <c r="Q92" s="20">
        <v>2.12</v>
      </c>
      <c r="R92" s="21">
        <v>0.31</v>
      </c>
      <c r="S92" s="22">
        <v>0.2</v>
      </c>
      <c r="T92" s="23">
        <v>2</v>
      </c>
      <c r="U92" s="23">
        <v>3</v>
      </c>
      <c r="V92" s="23">
        <v>4</v>
      </c>
      <c r="W92" s="23">
        <v>1</v>
      </c>
      <c r="X92" s="23">
        <v>3</v>
      </c>
      <c r="Y92" s="23">
        <v>4</v>
      </c>
      <c r="Z92" s="23">
        <v>3</v>
      </c>
      <c r="AA92" s="9">
        <v>0</v>
      </c>
      <c r="AB92" s="9">
        <v>1</v>
      </c>
      <c r="AC92" s="9">
        <v>2</v>
      </c>
      <c r="AD92" s="9">
        <v>1</v>
      </c>
      <c r="AE92" s="9">
        <v>4</v>
      </c>
      <c r="AF92" s="23">
        <v>1</v>
      </c>
      <c r="AG92" s="23">
        <v>2</v>
      </c>
      <c r="AH92" s="23">
        <v>3</v>
      </c>
      <c r="AI92" s="23">
        <v>3</v>
      </c>
      <c r="AL92" s="20"/>
    </row>
    <row r="93" spans="1:54" ht="15.75" customHeight="1" x14ac:dyDescent="0.2">
      <c r="A93" s="6" t="s">
        <v>637</v>
      </c>
      <c r="B93" s="6">
        <v>1931</v>
      </c>
      <c r="C93" s="6" t="s">
        <v>392</v>
      </c>
      <c r="D93" s="6" t="s">
        <v>392</v>
      </c>
      <c r="E93" s="43">
        <v>3.92</v>
      </c>
      <c r="F93" s="43">
        <v>13053</v>
      </c>
      <c r="G93" s="43">
        <v>474</v>
      </c>
      <c r="H93" s="20">
        <v>349678</v>
      </c>
      <c r="I93" s="270">
        <v>67463</v>
      </c>
      <c r="J93" s="20">
        <v>4696</v>
      </c>
      <c r="K93" s="20">
        <v>6012</v>
      </c>
      <c r="L93" s="20">
        <v>85645</v>
      </c>
      <c r="M93" s="20">
        <v>1.27</v>
      </c>
      <c r="N93" s="20">
        <v>11.2</v>
      </c>
      <c r="O93" s="20">
        <v>7.0000000000000007E-2</v>
      </c>
      <c r="P93" s="20">
        <v>3337</v>
      </c>
      <c r="Q93" s="20">
        <v>1.75</v>
      </c>
      <c r="R93" s="21">
        <v>0.27</v>
      </c>
      <c r="S93" s="22">
        <v>0.17</v>
      </c>
      <c r="T93" s="23">
        <v>3</v>
      </c>
      <c r="U93" s="23">
        <v>4</v>
      </c>
      <c r="V93" s="23">
        <v>4</v>
      </c>
      <c r="W93" s="23">
        <v>2</v>
      </c>
      <c r="X93" s="23">
        <v>4</v>
      </c>
      <c r="Y93" s="23">
        <v>3</v>
      </c>
      <c r="Z93" s="23">
        <v>2</v>
      </c>
      <c r="AA93" s="9">
        <v>1</v>
      </c>
      <c r="AB93" s="9">
        <v>4</v>
      </c>
      <c r="AC93" s="9">
        <v>2</v>
      </c>
      <c r="AD93" s="9">
        <v>3</v>
      </c>
      <c r="AE93" s="9">
        <v>4</v>
      </c>
      <c r="AF93" s="23">
        <v>1</v>
      </c>
      <c r="AG93" s="23">
        <v>2</v>
      </c>
      <c r="AH93" s="23">
        <v>3</v>
      </c>
      <c r="AI93" s="23">
        <v>3</v>
      </c>
      <c r="AL93" s="20"/>
    </row>
    <row r="94" spans="1:54" ht="15.75" customHeight="1" x14ac:dyDescent="0.2">
      <c r="A94" s="6" t="s">
        <v>638</v>
      </c>
      <c r="B94" s="6">
        <v>1958</v>
      </c>
      <c r="C94" s="6" t="s">
        <v>544</v>
      </c>
      <c r="D94" s="6" t="s">
        <v>544</v>
      </c>
      <c r="E94" s="43">
        <v>3.83</v>
      </c>
      <c r="F94" s="43">
        <v>1887</v>
      </c>
      <c r="G94" s="43">
        <v>467</v>
      </c>
      <c r="H94" s="20">
        <v>564898</v>
      </c>
      <c r="I94" s="270">
        <v>106004</v>
      </c>
      <c r="J94" s="20">
        <v>8222</v>
      </c>
      <c r="K94" s="20">
        <v>4852</v>
      </c>
      <c r="L94" s="20">
        <v>129997</v>
      </c>
      <c r="M94" s="20">
        <v>1.23</v>
      </c>
      <c r="N94" s="20">
        <v>21.8</v>
      </c>
      <c r="O94" s="20">
        <v>0.08</v>
      </c>
      <c r="P94" s="20">
        <v>5935</v>
      </c>
      <c r="Q94" s="20">
        <v>2.36</v>
      </c>
      <c r="R94" s="21">
        <v>0.3</v>
      </c>
      <c r="S94" s="22">
        <v>0.22</v>
      </c>
      <c r="T94" s="23">
        <v>3</v>
      </c>
      <c r="U94" s="23">
        <v>4</v>
      </c>
      <c r="V94" s="23">
        <v>4</v>
      </c>
      <c r="W94" s="23">
        <v>3</v>
      </c>
      <c r="X94" s="23">
        <v>4</v>
      </c>
      <c r="Y94" s="23">
        <v>2</v>
      </c>
      <c r="Z94" s="23">
        <v>4</v>
      </c>
      <c r="AA94" s="9">
        <v>1</v>
      </c>
      <c r="AB94" s="9">
        <v>2</v>
      </c>
      <c r="AC94" s="9">
        <v>1</v>
      </c>
      <c r="AD94" s="9">
        <v>3</v>
      </c>
      <c r="AE94" s="9">
        <v>4</v>
      </c>
      <c r="AF94" s="23">
        <v>1</v>
      </c>
      <c r="AG94" s="23">
        <v>3</v>
      </c>
      <c r="AH94" s="23">
        <v>2</v>
      </c>
      <c r="AI94" s="23">
        <v>4</v>
      </c>
      <c r="AL94" s="20"/>
    </row>
    <row r="95" spans="1:54" ht="15.75" customHeight="1" x14ac:dyDescent="0.2">
      <c r="A95" s="282" t="s">
        <v>22</v>
      </c>
      <c r="B95" s="282">
        <v>1950</v>
      </c>
      <c r="C95" s="282" t="s">
        <v>23</v>
      </c>
      <c r="D95" s="282" t="s">
        <v>23</v>
      </c>
      <c r="E95" s="283">
        <v>4</v>
      </c>
      <c r="F95" s="283">
        <v>8170</v>
      </c>
      <c r="G95" s="283">
        <v>457</v>
      </c>
      <c r="H95" s="284">
        <v>62953</v>
      </c>
      <c r="I95" s="284">
        <v>11988</v>
      </c>
      <c r="J95" s="284">
        <v>1911</v>
      </c>
      <c r="K95" s="284">
        <v>1127</v>
      </c>
      <c r="L95" s="284">
        <v>15969</v>
      </c>
      <c r="M95" s="284">
        <v>1.33</v>
      </c>
      <c r="N95" s="284">
        <v>10.6</v>
      </c>
      <c r="O95" s="284">
        <v>0.16</v>
      </c>
      <c r="P95" s="284">
        <v>1350</v>
      </c>
      <c r="Q95" s="284">
        <v>1.63</v>
      </c>
      <c r="R95" s="285">
        <v>0.28999999999999998</v>
      </c>
      <c r="S95" s="286">
        <v>0.24</v>
      </c>
      <c r="T95" s="287">
        <v>3</v>
      </c>
      <c r="U95" s="287">
        <v>4</v>
      </c>
      <c r="V95" s="287">
        <v>4</v>
      </c>
      <c r="W95" s="287">
        <v>3</v>
      </c>
      <c r="X95" s="287">
        <v>2</v>
      </c>
      <c r="Y95" s="287">
        <v>3</v>
      </c>
      <c r="Z95" s="287">
        <v>2</v>
      </c>
      <c r="AA95" s="288">
        <v>3</v>
      </c>
      <c r="AB95" s="288">
        <v>1</v>
      </c>
      <c r="AC95" s="288">
        <v>3</v>
      </c>
      <c r="AD95" s="288">
        <v>2</v>
      </c>
      <c r="AE95" s="288">
        <v>0</v>
      </c>
      <c r="AF95" s="287">
        <v>1</v>
      </c>
      <c r="AG95" s="287">
        <v>2</v>
      </c>
      <c r="AH95" s="287">
        <v>3</v>
      </c>
      <c r="AI95" s="287">
        <v>4</v>
      </c>
      <c r="AJ95" s="282"/>
      <c r="AK95" s="282"/>
      <c r="AL95" s="284"/>
      <c r="AM95" s="282"/>
      <c r="AN95" s="282"/>
      <c r="AO95" s="282"/>
      <c r="AP95" s="282"/>
      <c r="AQ95" s="282"/>
      <c r="AR95" s="282"/>
      <c r="AS95" s="282"/>
      <c r="AT95" s="282"/>
      <c r="AU95" s="282"/>
      <c r="AV95" s="282"/>
      <c r="AW95" s="282"/>
      <c r="AX95" s="282"/>
      <c r="AY95" s="282"/>
      <c r="AZ95" s="282"/>
      <c r="BA95" s="282"/>
      <c r="BB95" s="282"/>
    </row>
    <row r="96" spans="1:54" ht="15.75" customHeight="1" x14ac:dyDescent="0.2">
      <c r="A96" s="6" t="s">
        <v>639</v>
      </c>
      <c r="B96" s="6">
        <v>1954</v>
      </c>
      <c r="C96" s="6" t="s">
        <v>406</v>
      </c>
      <c r="D96" s="6" t="s">
        <v>406</v>
      </c>
      <c r="E96" s="43">
        <v>3.63</v>
      </c>
      <c r="F96" s="43">
        <v>2165</v>
      </c>
      <c r="G96" s="43">
        <v>433</v>
      </c>
      <c r="H96" s="20">
        <v>170351</v>
      </c>
      <c r="I96" s="270">
        <v>33726</v>
      </c>
      <c r="J96" s="20">
        <v>3163</v>
      </c>
      <c r="K96" s="20">
        <v>2529</v>
      </c>
      <c r="L96" s="20">
        <v>41740</v>
      </c>
      <c r="M96" s="20">
        <v>1.24</v>
      </c>
      <c r="N96" s="20">
        <v>13.3</v>
      </c>
      <c r="O96" s="20">
        <v>0.09</v>
      </c>
      <c r="P96" s="20">
        <v>2090</v>
      </c>
      <c r="Q96" s="20">
        <v>2.02</v>
      </c>
      <c r="R96" s="21">
        <v>0.25</v>
      </c>
      <c r="S96" s="22">
        <v>0.19</v>
      </c>
      <c r="T96" s="23">
        <v>2</v>
      </c>
      <c r="U96" s="23">
        <v>3</v>
      </c>
      <c r="V96" s="23">
        <v>4</v>
      </c>
      <c r="W96" s="23">
        <v>1</v>
      </c>
      <c r="X96" s="23">
        <v>4</v>
      </c>
      <c r="Y96" s="23">
        <v>2</v>
      </c>
      <c r="Z96" s="23">
        <v>3</v>
      </c>
      <c r="AA96" s="9">
        <v>1</v>
      </c>
      <c r="AB96" s="9">
        <v>3</v>
      </c>
      <c r="AC96" s="9">
        <v>1</v>
      </c>
      <c r="AD96" s="9">
        <v>3</v>
      </c>
      <c r="AE96" s="9">
        <v>2</v>
      </c>
      <c r="AF96" s="23">
        <v>1</v>
      </c>
      <c r="AG96" s="23">
        <v>2</v>
      </c>
      <c r="AH96" s="23">
        <v>3</v>
      </c>
      <c r="AI96" s="23">
        <v>3</v>
      </c>
      <c r="AL96" s="20"/>
    </row>
    <row r="97" spans="1:54" ht="15.75" customHeight="1" x14ac:dyDescent="0.2">
      <c r="A97" s="6" t="s">
        <v>640</v>
      </c>
      <c r="B97" s="6">
        <v>1936</v>
      </c>
      <c r="C97" s="6" t="s">
        <v>418</v>
      </c>
      <c r="D97" s="6" t="s">
        <v>418</v>
      </c>
      <c r="E97" s="43">
        <v>3.8</v>
      </c>
      <c r="F97" s="43">
        <v>57267</v>
      </c>
      <c r="G97" s="43">
        <v>432</v>
      </c>
      <c r="H97" s="20">
        <v>245935</v>
      </c>
      <c r="I97" s="270">
        <v>41511</v>
      </c>
      <c r="J97" s="20">
        <v>6172</v>
      </c>
      <c r="K97" s="20">
        <v>1449</v>
      </c>
      <c r="L97" s="20">
        <v>51108</v>
      </c>
      <c r="M97" s="20">
        <v>1.23</v>
      </c>
      <c r="N97" s="20">
        <v>28.6</v>
      </c>
      <c r="O97" s="20">
        <v>0.15</v>
      </c>
      <c r="P97" s="20">
        <v>4519</v>
      </c>
      <c r="Q97" s="20">
        <v>2.13</v>
      </c>
      <c r="R97" s="21">
        <v>0.36</v>
      </c>
      <c r="S97" s="22">
        <v>0.27</v>
      </c>
      <c r="T97" s="23">
        <v>2</v>
      </c>
      <c r="U97" s="23">
        <v>3</v>
      </c>
      <c r="V97" s="23">
        <v>4</v>
      </c>
      <c r="W97" s="23">
        <v>2</v>
      </c>
      <c r="X97" s="23">
        <v>3</v>
      </c>
      <c r="Y97" s="23">
        <v>3</v>
      </c>
      <c r="Z97" s="23">
        <v>2</v>
      </c>
      <c r="AA97" s="9">
        <v>0</v>
      </c>
      <c r="AB97" s="9">
        <v>3</v>
      </c>
      <c r="AC97" s="9">
        <v>0</v>
      </c>
      <c r="AD97" s="9">
        <v>1</v>
      </c>
      <c r="AE97" s="9">
        <v>4</v>
      </c>
      <c r="AF97" s="23">
        <v>1</v>
      </c>
      <c r="AG97" s="23">
        <v>2</v>
      </c>
      <c r="AH97" s="23">
        <v>0</v>
      </c>
      <c r="AI97" s="23">
        <v>3</v>
      </c>
      <c r="AL97" s="20"/>
    </row>
    <row r="98" spans="1:54" ht="15.75" customHeight="1" x14ac:dyDescent="0.2">
      <c r="A98" s="6" t="s">
        <v>641</v>
      </c>
      <c r="B98" s="6">
        <v>1959</v>
      </c>
      <c r="C98" s="6" t="s">
        <v>356</v>
      </c>
      <c r="D98" s="6" t="s">
        <v>356</v>
      </c>
      <c r="E98" s="43">
        <v>3.78</v>
      </c>
      <c r="F98" s="43">
        <v>6841</v>
      </c>
      <c r="G98" s="43">
        <v>428</v>
      </c>
      <c r="H98" s="20">
        <v>288783</v>
      </c>
      <c r="I98" s="270">
        <v>57526</v>
      </c>
      <c r="J98" s="20">
        <v>5643</v>
      </c>
      <c r="K98" s="20">
        <v>2677</v>
      </c>
      <c r="L98" s="20">
        <v>68430</v>
      </c>
      <c r="M98" s="20">
        <v>1.19</v>
      </c>
      <c r="N98" s="20">
        <v>21.5</v>
      </c>
      <c r="O98" s="20">
        <v>0.1</v>
      </c>
      <c r="P98" s="20">
        <v>3938</v>
      </c>
      <c r="Q98" s="20">
        <v>2.64</v>
      </c>
      <c r="R98" s="21">
        <v>0.28999999999999998</v>
      </c>
      <c r="S98" s="22">
        <v>0.2</v>
      </c>
      <c r="T98" s="23">
        <v>1</v>
      </c>
      <c r="U98" s="23">
        <v>2</v>
      </c>
      <c r="V98" s="23">
        <v>3</v>
      </c>
      <c r="W98" s="23">
        <v>1</v>
      </c>
      <c r="X98" s="23">
        <v>4</v>
      </c>
      <c r="Y98" s="23">
        <v>2</v>
      </c>
      <c r="Z98" s="23">
        <v>3</v>
      </c>
      <c r="AA98" s="9">
        <v>0</v>
      </c>
      <c r="AB98" s="9">
        <v>1</v>
      </c>
      <c r="AC98" s="9">
        <v>0</v>
      </c>
      <c r="AD98" s="9">
        <v>2</v>
      </c>
      <c r="AE98" s="9">
        <v>4</v>
      </c>
      <c r="AF98" s="23">
        <v>0</v>
      </c>
      <c r="AG98" s="23">
        <v>2</v>
      </c>
      <c r="AH98" s="23">
        <v>0</v>
      </c>
      <c r="AI98" s="23">
        <v>3</v>
      </c>
      <c r="AL98" s="20"/>
    </row>
    <row r="99" spans="1:54" ht="15.75" customHeight="1" x14ac:dyDescent="0.2">
      <c r="A99" s="6" t="s">
        <v>642</v>
      </c>
      <c r="B99" s="6">
        <v>1976</v>
      </c>
      <c r="C99" s="6" t="s">
        <v>441</v>
      </c>
      <c r="D99" s="6" t="s">
        <v>441</v>
      </c>
      <c r="E99" s="43">
        <v>4</v>
      </c>
      <c r="F99" s="43">
        <v>1330</v>
      </c>
      <c r="G99" s="43">
        <v>419</v>
      </c>
      <c r="H99" s="20">
        <v>120246</v>
      </c>
      <c r="I99" s="270">
        <v>21939</v>
      </c>
      <c r="J99" s="20">
        <v>4134</v>
      </c>
      <c r="K99" s="20">
        <v>2384</v>
      </c>
      <c r="L99" s="20">
        <v>28947</v>
      </c>
      <c r="M99" s="20">
        <v>1.32</v>
      </c>
      <c r="N99" s="20">
        <v>9.1999999999999993</v>
      </c>
      <c r="O99" s="20">
        <v>0.19</v>
      </c>
      <c r="P99" s="20">
        <v>2960</v>
      </c>
      <c r="Q99" s="20">
        <v>1.62</v>
      </c>
      <c r="R99" s="21">
        <v>0.24</v>
      </c>
      <c r="S99" s="22">
        <v>0.14000000000000001</v>
      </c>
      <c r="T99" s="23">
        <v>2</v>
      </c>
      <c r="U99" s="23">
        <v>3</v>
      </c>
      <c r="V99" s="23">
        <v>4</v>
      </c>
      <c r="W99" s="23">
        <v>2</v>
      </c>
      <c r="X99" s="23">
        <v>3</v>
      </c>
      <c r="Y99" s="23">
        <v>1</v>
      </c>
      <c r="Z99" s="23">
        <v>3</v>
      </c>
      <c r="AA99" s="9">
        <v>0</v>
      </c>
      <c r="AB99" s="9">
        <v>1</v>
      </c>
      <c r="AC99" s="9">
        <v>0</v>
      </c>
      <c r="AD99" s="9">
        <v>2</v>
      </c>
      <c r="AE99" s="9">
        <v>3</v>
      </c>
      <c r="AF99" s="23">
        <v>0</v>
      </c>
      <c r="AG99" s="23">
        <v>2</v>
      </c>
      <c r="AH99" s="23">
        <v>4</v>
      </c>
      <c r="AI99" s="23">
        <v>3</v>
      </c>
      <c r="AL99" s="20"/>
    </row>
    <row r="100" spans="1:54" ht="15.75" customHeight="1" x14ac:dyDescent="0.2">
      <c r="A100" s="6" t="s">
        <v>643</v>
      </c>
      <c r="B100" s="6">
        <v>1844</v>
      </c>
      <c r="C100" s="6" t="s">
        <v>374</v>
      </c>
      <c r="D100" s="6" t="s">
        <v>374</v>
      </c>
      <c r="E100" s="43">
        <v>3.21</v>
      </c>
      <c r="F100" s="43">
        <v>9642</v>
      </c>
      <c r="G100" s="43">
        <v>397</v>
      </c>
      <c r="H100" s="20">
        <v>164836</v>
      </c>
      <c r="I100" s="270">
        <v>31149</v>
      </c>
      <c r="J100" s="20">
        <v>4181</v>
      </c>
      <c r="K100" s="20">
        <v>2124</v>
      </c>
      <c r="L100" s="20">
        <v>40265</v>
      </c>
      <c r="M100" s="20">
        <v>1.29</v>
      </c>
      <c r="N100" s="20">
        <v>14.7</v>
      </c>
      <c r="O100" s="20">
        <v>0.13</v>
      </c>
      <c r="P100" s="20">
        <v>3081</v>
      </c>
      <c r="Q100" s="20">
        <v>2.0099999999999998</v>
      </c>
      <c r="R100" s="21">
        <v>0.3</v>
      </c>
      <c r="S100" s="22">
        <v>0.22</v>
      </c>
      <c r="T100" s="23">
        <v>3</v>
      </c>
      <c r="U100" s="23">
        <v>4</v>
      </c>
      <c r="V100" s="23">
        <v>4</v>
      </c>
      <c r="W100" s="23">
        <v>3</v>
      </c>
      <c r="X100" s="23">
        <v>4</v>
      </c>
      <c r="Y100" s="23">
        <v>2</v>
      </c>
      <c r="Z100" s="23">
        <v>3</v>
      </c>
      <c r="AA100" s="9">
        <v>3</v>
      </c>
      <c r="AB100" s="9">
        <v>1</v>
      </c>
      <c r="AC100" s="9">
        <v>2</v>
      </c>
      <c r="AD100" s="9">
        <v>4</v>
      </c>
      <c r="AE100" s="9">
        <v>2</v>
      </c>
      <c r="AF100" s="23">
        <v>2</v>
      </c>
      <c r="AG100" s="23">
        <v>3</v>
      </c>
      <c r="AH100" s="23">
        <v>3</v>
      </c>
      <c r="AI100" s="23">
        <v>3</v>
      </c>
      <c r="AL100" s="20"/>
    </row>
    <row r="101" spans="1:54" ht="15.75" customHeight="1" x14ac:dyDescent="0.2">
      <c r="A101" s="6" t="s">
        <v>644</v>
      </c>
      <c r="B101" s="6">
        <v>2020</v>
      </c>
      <c r="C101" s="6" t="s">
        <v>381</v>
      </c>
      <c r="D101" s="6" t="s">
        <v>381</v>
      </c>
      <c r="E101" s="43">
        <v>4.17</v>
      </c>
      <c r="F101" s="43">
        <v>219423</v>
      </c>
      <c r="G101" s="43">
        <v>395</v>
      </c>
      <c r="H101" s="20">
        <v>103141</v>
      </c>
      <c r="I101" s="270">
        <v>19765</v>
      </c>
      <c r="J101" s="20">
        <v>2885</v>
      </c>
      <c r="K101" s="20">
        <v>1044</v>
      </c>
      <c r="L101" s="20">
        <v>24262</v>
      </c>
      <c r="M101" s="20">
        <v>1.23</v>
      </c>
      <c r="N101" s="20">
        <v>18.899999999999999</v>
      </c>
      <c r="O101" s="20">
        <v>0.15</v>
      </c>
      <c r="P101" s="20">
        <v>1987</v>
      </c>
      <c r="Q101" s="20">
        <v>2.23</v>
      </c>
      <c r="R101" s="21">
        <v>0.28999999999999998</v>
      </c>
      <c r="S101" s="22">
        <v>0.2</v>
      </c>
      <c r="T101" s="23">
        <v>2</v>
      </c>
      <c r="U101" s="23">
        <v>3</v>
      </c>
      <c r="V101" s="23">
        <v>4</v>
      </c>
      <c r="W101" s="23">
        <v>3</v>
      </c>
      <c r="X101" s="23">
        <v>2</v>
      </c>
      <c r="Y101" s="23">
        <v>3</v>
      </c>
      <c r="Z101" s="23">
        <v>4</v>
      </c>
      <c r="AA101" s="9">
        <v>0</v>
      </c>
      <c r="AB101" s="9">
        <v>1</v>
      </c>
      <c r="AC101" s="9">
        <v>0</v>
      </c>
      <c r="AD101" s="9">
        <v>2</v>
      </c>
      <c r="AE101" s="9">
        <v>3</v>
      </c>
      <c r="AF101" s="23">
        <v>1</v>
      </c>
      <c r="AG101" s="23">
        <v>3</v>
      </c>
      <c r="AH101" s="23">
        <v>2</v>
      </c>
      <c r="AI101" s="23">
        <v>4</v>
      </c>
      <c r="AL101" s="20"/>
    </row>
    <row r="102" spans="1:54" ht="15.75" customHeight="1" x14ac:dyDescent="0.2">
      <c r="A102" s="6" t="s">
        <v>645</v>
      </c>
      <c r="B102" s="6">
        <v>1688</v>
      </c>
      <c r="C102" s="6" t="s">
        <v>363</v>
      </c>
      <c r="D102" s="6" t="s">
        <v>363</v>
      </c>
      <c r="E102" s="43">
        <v>3.01</v>
      </c>
      <c r="F102" s="43">
        <v>15644</v>
      </c>
      <c r="G102" s="43">
        <v>393</v>
      </c>
      <c r="H102" s="20">
        <v>241058</v>
      </c>
      <c r="I102" s="270">
        <v>44888</v>
      </c>
      <c r="J102" s="20">
        <v>5635</v>
      </c>
      <c r="K102" s="20">
        <v>974</v>
      </c>
      <c r="L102" s="20">
        <v>57269</v>
      </c>
      <c r="M102" s="20">
        <v>1.28</v>
      </c>
      <c r="N102" s="20">
        <v>46.1</v>
      </c>
      <c r="O102" s="20">
        <v>0.13</v>
      </c>
      <c r="P102" s="20">
        <v>3160</v>
      </c>
      <c r="Q102" s="20">
        <v>3.86</v>
      </c>
      <c r="R102" s="21">
        <v>0.43</v>
      </c>
      <c r="S102" s="22">
        <v>0.32</v>
      </c>
      <c r="T102" s="23">
        <v>3</v>
      </c>
      <c r="U102" s="23">
        <v>4</v>
      </c>
      <c r="V102" s="23">
        <v>4</v>
      </c>
      <c r="W102" s="23">
        <v>3</v>
      </c>
      <c r="X102" s="23">
        <v>4</v>
      </c>
      <c r="Y102" s="23">
        <v>2</v>
      </c>
      <c r="Z102" s="23">
        <v>4</v>
      </c>
      <c r="AA102" s="9">
        <v>0</v>
      </c>
      <c r="AB102" s="9">
        <v>0</v>
      </c>
      <c r="AC102" s="9">
        <v>3</v>
      </c>
      <c r="AD102" s="9">
        <v>1</v>
      </c>
      <c r="AE102" s="9">
        <v>4</v>
      </c>
      <c r="AF102" s="23">
        <v>1</v>
      </c>
      <c r="AG102" s="23">
        <v>2</v>
      </c>
      <c r="AH102" s="23">
        <v>2</v>
      </c>
      <c r="AI102" s="23">
        <v>3</v>
      </c>
      <c r="AL102" s="20"/>
    </row>
    <row r="103" spans="1:54" ht="15.75" customHeight="1" x14ac:dyDescent="0.2">
      <c r="A103" s="6" t="s">
        <v>646</v>
      </c>
      <c r="B103" s="6">
        <v>1934</v>
      </c>
      <c r="C103" s="6" t="s">
        <v>437</v>
      </c>
      <c r="D103" s="6" t="s">
        <v>437</v>
      </c>
      <c r="E103" s="43">
        <v>3.97</v>
      </c>
      <c r="F103" s="43">
        <v>13755</v>
      </c>
      <c r="G103" s="43">
        <v>392</v>
      </c>
      <c r="H103" s="20">
        <v>95494</v>
      </c>
      <c r="I103" s="270">
        <v>17501</v>
      </c>
      <c r="J103" s="20">
        <v>3212</v>
      </c>
      <c r="K103" s="20">
        <v>1129</v>
      </c>
      <c r="L103" s="20">
        <v>22364</v>
      </c>
      <c r="M103" s="20">
        <v>1.28</v>
      </c>
      <c r="N103" s="20">
        <v>15.5</v>
      </c>
      <c r="O103" s="20">
        <v>0.18</v>
      </c>
      <c r="P103" s="20">
        <v>2250</v>
      </c>
      <c r="Q103" s="20">
        <v>1.98</v>
      </c>
      <c r="R103" s="21">
        <v>0.27</v>
      </c>
      <c r="S103" s="22">
        <v>0.2</v>
      </c>
      <c r="T103" s="23">
        <v>2</v>
      </c>
      <c r="U103" s="23">
        <v>3</v>
      </c>
      <c r="V103" s="23">
        <v>4</v>
      </c>
      <c r="W103" s="23">
        <v>2</v>
      </c>
      <c r="X103" s="23">
        <v>3</v>
      </c>
      <c r="Y103" s="23">
        <v>4</v>
      </c>
      <c r="Z103" s="23">
        <v>4</v>
      </c>
      <c r="AA103" s="9">
        <v>2</v>
      </c>
      <c r="AB103" s="9">
        <v>0</v>
      </c>
      <c r="AC103" s="9">
        <v>2</v>
      </c>
      <c r="AD103" s="9">
        <v>1</v>
      </c>
      <c r="AE103" s="9">
        <v>2</v>
      </c>
      <c r="AF103" s="23">
        <v>1</v>
      </c>
      <c r="AG103" s="23">
        <v>2</v>
      </c>
      <c r="AH103" s="23">
        <v>1</v>
      </c>
      <c r="AI103" s="23">
        <v>3</v>
      </c>
      <c r="AL103" s="20"/>
    </row>
    <row r="104" spans="1:54" ht="15.75" customHeight="1" x14ac:dyDescent="0.2">
      <c r="A104" s="6" t="s">
        <v>647</v>
      </c>
      <c r="B104" s="6">
        <v>2010</v>
      </c>
      <c r="C104" s="6" t="s">
        <v>362</v>
      </c>
      <c r="D104" s="6" t="s">
        <v>362</v>
      </c>
      <c r="E104" s="43">
        <v>4.08</v>
      </c>
      <c r="F104" s="43">
        <v>8811</v>
      </c>
      <c r="G104" s="43">
        <v>382</v>
      </c>
      <c r="H104" s="20">
        <v>376578</v>
      </c>
      <c r="I104" s="270">
        <v>68746</v>
      </c>
      <c r="J104" s="20">
        <v>8190</v>
      </c>
      <c r="K104" s="20">
        <v>5580</v>
      </c>
      <c r="L104" s="20">
        <v>86498</v>
      </c>
      <c r="M104" s="20">
        <v>1.26</v>
      </c>
      <c r="N104" s="20">
        <v>12.3</v>
      </c>
      <c r="O104" s="20">
        <v>0.12</v>
      </c>
      <c r="P104" s="20">
        <v>5436</v>
      </c>
      <c r="Q104" s="20">
        <v>1.57</v>
      </c>
      <c r="R104" s="21">
        <v>0.27</v>
      </c>
      <c r="S104" s="22">
        <v>0.15</v>
      </c>
      <c r="T104" s="23">
        <v>2</v>
      </c>
      <c r="U104" s="23">
        <v>3</v>
      </c>
      <c r="V104" s="23">
        <v>4</v>
      </c>
      <c r="W104" s="23">
        <v>2</v>
      </c>
      <c r="X104" s="23">
        <v>4</v>
      </c>
      <c r="Y104" s="23">
        <v>1</v>
      </c>
      <c r="Z104" s="23">
        <v>4</v>
      </c>
      <c r="AA104" s="9">
        <v>0</v>
      </c>
      <c r="AB104" s="9">
        <v>1</v>
      </c>
      <c r="AC104" s="9">
        <v>1</v>
      </c>
      <c r="AD104" s="9">
        <v>0</v>
      </c>
      <c r="AE104" s="9">
        <v>4</v>
      </c>
      <c r="AF104" s="23">
        <v>1</v>
      </c>
      <c r="AG104" s="23">
        <v>3</v>
      </c>
      <c r="AH104" s="23">
        <v>4</v>
      </c>
      <c r="AI104" s="23">
        <v>3</v>
      </c>
      <c r="AL104" s="20"/>
    </row>
    <row r="105" spans="1:54" ht="15.75" customHeight="1" x14ac:dyDescent="0.2">
      <c r="A105" s="6" t="s">
        <v>648</v>
      </c>
      <c r="B105" s="6">
        <v>1948</v>
      </c>
      <c r="C105" s="6" t="s">
        <v>407</v>
      </c>
      <c r="D105" s="6" t="s">
        <v>407</v>
      </c>
      <c r="E105" s="43">
        <v>3.76</v>
      </c>
      <c r="F105" s="43">
        <v>12919</v>
      </c>
      <c r="G105" s="43">
        <v>379</v>
      </c>
      <c r="H105" s="20">
        <v>171365</v>
      </c>
      <c r="I105" s="270">
        <v>31563</v>
      </c>
      <c r="J105" s="20">
        <v>5144</v>
      </c>
      <c r="K105" s="20">
        <v>2727</v>
      </c>
      <c r="L105" s="20">
        <v>39895</v>
      </c>
      <c r="M105" s="20">
        <v>1.26</v>
      </c>
      <c r="N105" s="20">
        <v>11.6</v>
      </c>
      <c r="O105" s="20">
        <v>0.16</v>
      </c>
      <c r="P105" s="20">
        <v>3740</v>
      </c>
      <c r="Q105" s="20">
        <v>1.65</v>
      </c>
      <c r="R105" s="21">
        <v>0.24</v>
      </c>
      <c r="S105" s="22">
        <v>0.14000000000000001</v>
      </c>
      <c r="T105" s="23">
        <v>2</v>
      </c>
      <c r="U105" s="23">
        <v>3</v>
      </c>
      <c r="V105" s="23">
        <v>3</v>
      </c>
      <c r="W105" s="23">
        <v>1</v>
      </c>
      <c r="X105" s="23">
        <v>4</v>
      </c>
      <c r="Y105" s="23">
        <v>2</v>
      </c>
      <c r="Z105" s="23">
        <v>3</v>
      </c>
      <c r="AA105" s="9">
        <v>0</v>
      </c>
      <c r="AB105" s="9">
        <v>1</v>
      </c>
      <c r="AC105" s="9">
        <v>2</v>
      </c>
      <c r="AD105" s="9">
        <v>4</v>
      </c>
      <c r="AE105" s="9">
        <v>3</v>
      </c>
      <c r="AF105" s="23">
        <v>1</v>
      </c>
      <c r="AG105" s="23">
        <v>2</v>
      </c>
      <c r="AH105" s="23">
        <v>2</v>
      </c>
      <c r="AI105" s="23">
        <v>3</v>
      </c>
      <c r="AL105" s="20"/>
    </row>
    <row r="106" spans="1:54" ht="15.75" customHeight="1" x14ac:dyDescent="0.2">
      <c r="A106" s="6" t="s">
        <v>649</v>
      </c>
      <c r="B106" s="6">
        <v>2015</v>
      </c>
      <c r="C106" s="6" t="s">
        <v>487</v>
      </c>
      <c r="D106" s="6" t="s">
        <v>487</v>
      </c>
      <c r="E106" s="43">
        <v>3.86</v>
      </c>
      <c r="F106" s="43">
        <v>76020</v>
      </c>
      <c r="G106" s="43">
        <v>379</v>
      </c>
      <c r="H106" s="20">
        <v>600372</v>
      </c>
      <c r="I106" s="270">
        <v>115087</v>
      </c>
      <c r="J106" s="20">
        <v>6549</v>
      </c>
      <c r="K106" s="20">
        <v>10454</v>
      </c>
      <c r="L106" s="20">
        <v>146505</v>
      </c>
      <c r="M106" s="20">
        <v>1.27</v>
      </c>
      <c r="N106" s="20">
        <v>11</v>
      </c>
      <c r="O106" s="20">
        <v>0.06</v>
      </c>
      <c r="P106" s="20">
        <v>4506</v>
      </c>
      <c r="Q106" s="20">
        <v>1.7</v>
      </c>
      <c r="R106" s="21">
        <v>0.28999999999999998</v>
      </c>
      <c r="S106" s="22">
        <v>0.16</v>
      </c>
      <c r="T106" s="23">
        <v>3</v>
      </c>
      <c r="U106" s="23">
        <v>4</v>
      </c>
      <c r="V106" s="23">
        <v>4</v>
      </c>
      <c r="W106" s="23">
        <v>4</v>
      </c>
      <c r="X106" s="23">
        <v>3</v>
      </c>
      <c r="Y106" s="23">
        <v>2</v>
      </c>
      <c r="Z106" s="23">
        <v>4</v>
      </c>
      <c r="AA106" s="9">
        <v>1</v>
      </c>
      <c r="AB106" s="9">
        <v>2</v>
      </c>
      <c r="AC106" s="9">
        <v>2</v>
      </c>
      <c r="AD106" s="9">
        <v>1</v>
      </c>
      <c r="AE106" s="9">
        <v>3</v>
      </c>
      <c r="AF106" s="23">
        <v>2</v>
      </c>
      <c r="AG106" s="23">
        <v>4</v>
      </c>
      <c r="AH106" s="23">
        <v>4</v>
      </c>
      <c r="AI106" s="23">
        <v>4</v>
      </c>
      <c r="AL106" s="20"/>
    </row>
    <row r="107" spans="1:54" ht="15.75" customHeight="1" x14ac:dyDescent="0.2">
      <c r="A107" s="6" t="s">
        <v>650</v>
      </c>
      <c r="B107" s="6">
        <v>1959</v>
      </c>
      <c r="C107" s="6" t="s">
        <v>376</v>
      </c>
      <c r="D107" s="6" t="s">
        <v>376</v>
      </c>
      <c r="E107" s="43">
        <v>3.74</v>
      </c>
      <c r="F107" s="43">
        <v>386468</v>
      </c>
      <c r="G107" s="43">
        <v>378</v>
      </c>
      <c r="H107" s="20">
        <v>272197</v>
      </c>
      <c r="I107" s="270">
        <v>51482</v>
      </c>
      <c r="J107" s="20">
        <v>4381</v>
      </c>
      <c r="K107" s="20">
        <v>3781</v>
      </c>
      <c r="L107" s="20">
        <v>64331</v>
      </c>
      <c r="M107" s="20">
        <v>1.25</v>
      </c>
      <c r="N107" s="20">
        <v>13.6</v>
      </c>
      <c r="O107" s="20">
        <v>0.09</v>
      </c>
      <c r="P107" s="20">
        <v>3046</v>
      </c>
      <c r="Q107" s="20">
        <v>1.74</v>
      </c>
      <c r="R107" s="21">
        <v>0.31</v>
      </c>
      <c r="S107" s="22">
        <v>0.17</v>
      </c>
      <c r="T107" s="23">
        <v>3</v>
      </c>
      <c r="U107" s="23">
        <v>4</v>
      </c>
      <c r="V107" s="23">
        <v>4</v>
      </c>
      <c r="W107" s="23">
        <v>3</v>
      </c>
      <c r="X107" s="23">
        <v>4</v>
      </c>
      <c r="Y107" s="23">
        <v>2</v>
      </c>
      <c r="Z107" s="23">
        <v>4</v>
      </c>
      <c r="AA107" s="9">
        <v>0</v>
      </c>
      <c r="AB107" s="9">
        <v>1</v>
      </c>
      <c r="AC107" s="9">
        <v>0</v>
      </c>
      <c r="AD107" s="9">
        <v>2</v>
      </c>
      <c r="AE107" s="9">
        <v>4</v>
      </c>
      <c r="AF107" s="23">
        <v>1</v>
      </c>
      <c r="AG107" s="23">
        <v>3</v>
      </c>
      <c r="AH107" s="23">
        <v>1</v>
      </c>
      <c r="AI107" s="23">
        <v>3</v>
      </c>
      <c r="AL107" s="20"/>
    </row>
    <row r="108" spans="1:54" ht="15.75" customHeight="1" x14ac:dyDescent="0.2">
      <c r="A108" s="6" t="s">
        <v>651</v>
      </c>
      <c r="B108" s="6">
        <v>2019</v>
      </c>
      <c r="C108" s="6" t="s">
        <v>367</v>
      </c>
      <c r="D108" s="6" t="s">
        <v>367</v>
      </c>
      <c r="E108" s="43">
        <v>4.2</v>
      </c>
      <c r="F108" s="43">
        <v>48106</v>
      </c>
      <c r="G108" s="43">
        <v>377</v>
      </c>
      <c r="H108" s="20">
        <v>219407</v>
      </c>
      <c r="I108" s="270">
        <v>40684</v>
      </c>
      <c r="J108" s="20">
        <v>5815</v>
      </c>
      <c r="K108" s="20">
        <v>3354</v>
      </c>
      <c r="L108" s="20">
        <v>50923</v>
      </c>
      <c r="M108" s="20">
        <v>1.25</v>
      </c>
      <c r="N108" s="20">
        <v>12.1</v>
      </c>
      <c r="O108" s="20">
        <v>0.14000000000000001</v>
      </c>
      <c r="P108" s="20">
        <v>4227</v>
      </c>
      <c r="Q108" s="20">
        <v>1.72</v>
      </c>
      <c r="R108" s="21">
        <v>0.28000000000000003</v>
      </c>
      <c r="S108" s="22">
        <v>0.17</v>
      </c>
      <c r="T108" s="23">
        <v>1</v>
      </c>
      <c r="U108" s="23">
        <v>2</v>
      </c>
      <c r="V108" s="23">
        <v>3</v>
      </c>
      <c r="W108" s="23">
        <v>2</v>
      </c>
      <c r="X108" s="23">
        <v>4</v>
      </c>
      <c r="Y108" s="23">
        <v>3</v>
      </c>
      <c r="Z108" s="23">
        <v>3</v>
      </c>
      <c r="AA108" s="9">
        <v>1</v>
      </c>
      <c r="AB108" s="9">
        <v>2</v>
      </c>
      <c r="AC108" s="9">
        <v>1</v>
      </c>
      <c r="AD108" s="9">
        <v>1</v>
      </c>
      <c r="AE108" s="9">
        <v>2</v>
      </c>
      <c r="AF108" s="23">
        <v>1</v>
      </c>
      <c r="AG108" s="23">
        <v>2</v>
      </c>
      <c r="AH108" s="23">
        <v>4</v>
      </c>
      <c r="AI108" s="23">
        <v>4</v>
      </c>
      <c r="AL108" s="20"/>
    </row>
    <row r="109" spans="1:54" ht="15.75" customHeight="1" x14ac:dyDescent="0.2">
      <c r="A109" s="6" t="s">
        <v>652</v>
      </c>
      <c r="B109" s="6">
        <v>1985</v>
      </c>
      <c r="C109" s="6" t="s">
        <v>414</v>
      </c>
      <c r="D109" s="6" t="s">
        <v>414</v>
      </c>
      <c r="E109" s="43">
        <v>3.73</v>
      </c>
      <c r="F109" s="43">
        <v>5033</v>
      </c>
      <c r="G109" s="43">
        <v>376</v>
      </c>
      <c r="H109" s="20">
        <v>179709</v>
      </c>
      <c r="I109" s="270">
        <v>34036</v>
      </c>
      <c r="J109" s="20">
        <v>4289</v>
      </c>
      <c r="K109" s="20">
        <v>2505</v>
      </c>
      <c r="L109" s="20">
        <v>42190</v>
      </c>
      <c r="M109" s="20">
        <v>1.24</v>
      </c>
      <c r="N109" s="20">
        <v>13.6</v>
      </c>
      <c r="O109" s="20">
        <v>0.13</v>
      </c>
      <c r="P109" s="20">
        <v>3097</v>
      </c>
      <c r="Q109" s="20">
        <v>1.88</v>
      </c>
      <c r="R109" s="21">
        <v>0.26</v>
      </c>
      <c r="S109" s="22">
        <v>0.17</v>
      </c>
      <c r="T109" s="23">
        <v>3</v>
      </c>
      <c r="U109" s="23">
        <v>4</v>
      </c>
      <c r="V109" s="23">
        <v>4</v>
      </c>
      <c r="W109" s="23">
        <v>2</v>
      </c>
      <c r="X109" s="23">
        <v>3</v>
      </c>
      <c r="Y109" s="23">
        <v>1</v>
      </c>
      <c r="Z109" s="23">
        <v>4</v>
      </c>
      <c r="AA109" s="9">
        <v>0</v>
      </c>
      <c r="AB109" s="9">
        <v>2</v>
      </c>
      <c r="AC109" s="9">
        <v>1</v>
      </c>
      <c r="AD109" s="9">
        <v>0</v>
      </c>
      <c r="AE109" s="9">
        <v>4</v>
      </c>
      <c r="AF109" s="23">
        <v>1</v>
      </c>
      <c r="AG109" s="23">
        <v>3</v>
      </c>
      <c r="AH109" s="23">
        <v>1</v>
      </c>
      <c r="AI109" s="23">
        <v>3</v>
      </c>
      <c r="AL109" s="20"/>
    </row>
    <row r="110" spans="1:54" ht="15.75" customHeight="1" x14ac:dyDescent="0.2">
      <c r="A110" s="6" t="s">
        <v>653</v>
      </c>
      <c r="B110" s="6">
        <v>1968</v>
      </c>
      <c r="C110" s="6" t="s">
        <v>375</v>
      </c>
      <c r="D110" s="6" t="s">
        <v>375</v>
      </c>
      <c r="E110" s="43">
        <v>4.17</v>
      </c>
      <c r="F110" s="43">
        <v>63661</v>
      </c>
      <c r="G110" s="43">
        <v>374</v>
      </c>
      <c r="H110" s="20">
        <v>298587</v>
      </c>
      <c r="I110" s="270">
        <v>58591</v>
      </c>
      <c r="J110" s="20">
        <v>5331</v>
      </c>
      <c r="K110" s="20">
        <v>5012</v>
      </c>
      <c r="L110" s="20">
        <v>71490</v>
      </c>
      <c r="M110" s="20">
        <v>1.22</v>
      </c>
      <c r="N110" s="20">
        <v>11.7</v>
      </c>
      <c r="O110" s="20">
        <v>0.09</v>
      </c>
      <c r="P110" s="20">
        <v>3607</v>
      </c>
      <c r="Q110" s="20">
        <v>1.67</v>
      </c>
      <c r="R110" s="21">
        <v>0.27</v>
      </c>
      <c r="S110" s="22">
        <v>0.15</v>
      </c>
      <c r="T110" s="23">
        <v>3</v>
      </c>
      <c r="U110" s="23">
        <v>4</v>
      </c>
      <c r="V110" s="23">
        <v>4</v>
      </c>
      <c r="W110" s="23">
        <v>3</v>
      </c>
      <c r="X110" s="23">
        <v>2</v>
      </c>
      <c r="Y110" s="23">
        <v>3</v>
      </c>
      <c r="Z110" s="23">
        <v>4</v>
      </c>
      <c r="AA110" s="9">
        <v>1</v>
      </c>
      <c r="AB110" s="9">
        <v>2</v>
      </c>
      <c r="AC110" s="9">
        <v>0</v>
      </c>
      <c r="AD110" s="9">
        <v>2</v>
      </c>
      <c r="AE110" s="9">
        <v>2</v>
      </c>
      <c r="AF110" s="23">
        <v>1</v>
      </c>
      <c r="AG110" s="23">
        <v>3</v>
      </c>
      <c r="AH110" s="23">
        <v>4</v>
      </c>
      <c r="AI110" s="23">
        <v>3</v>
      </c>
      <c r="AL110" s="20"/>
    </row>
    <row r="111" spans="1:54" ht="15.75" customHeight="1" x14ac:dyDescent="0.2">
      <c r="A111" s="6" t="s">
        <v>654</v>
      </c>
      <c r="B111" s="6">
        <v>2011</v>
      </c>
      <c r="C111" s="6" t="s">
        <v>460</v>
      </c>
      <c r="D111" s="6" t="s">
        <v>460</v>
      </c>
      <c r="E111" s="43">
        <v>3.72</v>
      </c>
      <c r="F111" s="43">
        <v>24075</v>
      </c>
      <c r="G111" s="43">
        <v>367</v>
      </c>
      <c r="H111" s="20">
        <v>149511</v>
      </c>
      <c r="I111" s="270">
        <v>28616</v>
      </c>
      <c r="J111" s="20">
        <v>3961</v>
      </c>
      <c r="K111" s="20">
        <v>1788</v>
      </c>
      <c r="L111" s="20">
        <v>35745</v>
      </c>
      <c r="M111" s="20">
        <v>1.25</v>
      </c>
      <c r="N111" s="20">
        <v>16</v>
      </c>
      <c r="O111" s="20">
        <v>0.14000000000000001</v>
      </c>
      <c r="P111" s="20">
        <v>2675</v>
      </c>
      <c r="Q111" s="20">
        <v>2.1</v>
      </c>
      <c r="R111" s="21">
        <v>0.33</v>
      </c>
      <c r="S111" s="22">
        <v>0.23</v>
      </c>
      <c r="T111" s="23">
        <v>3</v>
      </c>
      <c r="U111" s="23">
        <v>4</v>
      </c>
      <c r="V111" s="23">
        <v>4</v>
      </c>
      <c r="W111" s="23">
        <v>2</v>
      </c>
      <c r="X111" s="23">
        <v>4</v>
      </c>
      <c r="Y111" s="23">
        <v>1</v>
      </c>
      <c r="Z111" s="23">
        <v>3</v>
      </c>
      <c r="AA111" s="9">
        <v>0</v>
      </c>
      <c r="AB111" s="9">
        <v>1</v>
      </c>
      <c r="AC111" s="9">
        <v>0</v>
      </c>
      <c r="AD111" s="9">
        <v>1</v>
      </c>
      <c r="AE111" s="9">
        <v>4</v>
      </c>
      <c r="AF111" s="23">
        <v>0</v>
      </c>
      <c r="AG111" s="23">
        <v>2</v>
      </c>
      <c r="AH111" s="23">
        <v>1</v>
      </c>
      <c r="AI111" s="23">
        <v>3</v>
      </c>
      <c r="AL111" s="20"/>
    </row>
    <row r="112" spans="1:54" ht="15.75" customHeight="1" x14ac:dyDescent="0.2">
      <c r="A112" s="31" t="s">
        <v>43</v>
      </c>
      <c r="B112" s="31">
        <v>2016</v>
      </c>
      <c r="C112" s="31" t="s">
        <v>44</v>
      </c>
      <c r="D112" s="6" t="s">
        <v>44</v>
      </c>
      <c r="E112" s="43">
        <v>3.81</v>
      </c>
      <c r="F112" s="43">
        <v>116563</v>
      </c>
      <c r="G112" s="43">
        <v>364</v>
      </c>
      <c r="H112" s="20">
        <v>212121</v>
      </c>
      <c r="I112" s="270">
        <v>39954</v>
      </c>
      <c r="J112" s="20">
        <v>4528</v>
      </c>
      <c r="K112" s="20">
        <v>3036</v>
      </c>
      <c r="L112" s="20">
        <v>49237</v>
      </c>
      <c r="M112" s="20">
        <v>1.23</v>
      </c>
      <c r="N112" s="20">
        <v>13.2</v>
      </c>
      <c r="O112" s="20">
        <v>0.11</v>
      </c>
      <c r="P112" s="20">
        <v>3243</v>
      </c>
      <c r="Q112" s="20">
        <v>2.04</v>
      </c>
      <c r="R112" s="21">
        <v>0.28000000000000003</v>
      </c>
      <c r="S112" s="22">
        <v>0.17</v>
      </c>
      <c r="T112" s="33">
        <v>3</v>
      </c>
      <c r="U112" s="33">
        <v>4</v>
      </c>
      <c r="V112" s="33">
        <v>4</v>
      </c>
      <c r="W112" s="33">
        <v>3</v>
      </c>
      <c r="X112" s="33">
        <v>4</v>
      </c>
      <c r="Y112" s="33">
        <v>2</v>
      </c>
      <c r="Z112" s="33">
        <v>3</v>
      </c>
      <c r="AA112" s="32">
        <v>1</v>
      </c>
      <c r="AB112" s="32">
        <v>4</v>
      </c>
      <c r="AC112" s="32">
        <v>1</v>
      </c>
      <c r="AD112" s="32">
        <v>2</v>
      </c>
      <c r="AE112" s="32">
        <v>3</v>
      </c>
      <c r="AF112" s="33">
        <v>2</v>
      </c>
      <c r="AG112" s="33">
        <v>3</v>
      </c>
      <c r="AH112" s="33">
        <v>4</v>
      </c>
      <c r="AI112" s="33">
        <v>4</v>
      </c>
      <c r="AJ112" s="31"/>
      <c r="AK112" s="31"/>
      <c r="AL112" s="280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</row>
    <row r="113" spans="1:54" ht="15.75" customHeight="1" x14ac:dyDescent="0.2">
      <c r="A113" s="6" t="s">
        <v>655</v>
      </c>
      <c r="B113" s="6">
        <v>1939</v>
      </c>
      <c r="C113" s="6" t="s">
        <v>483</v>
      </c>
      <c r="D113" s="6" t="s">
        <v>483</v>
      </c>
      <c r="E113" s="43">
        <v>3.71</v>
      </c>
      <c r="F113" s="43">
        <v>23144</v>
      </c>
      <c r="G113" s="43">
        <v>363</v>
      </c>
      <c r="H113" s="20">
        <v>261101</v>
      </c>
      <c r="I113" s="270">
        <v>49373</v>
      </c>
      <c r="J113" s="20">
        <v>6012</v>
      </c>
      <c r="K113" s="20">
        <v>3965</v>
      </c>
      <c r="L113" s="20">
        <v>60584</v>
      </c>
      <c r="M113" s="20">
        <v>1.23</v>
      </c>
      <c r="N113" s="20">
        <v>12.5</v>
      </c>
      <c r="O113" s="20">
        <v>0.12</v>
      </c>
      <c r="P113" s="20">
        <v>4174</v>
      </c>
      <c r="Q113" s="20">
        <v>1.8</v>
      </c>
      <c r="R113" s="21">
        <v>0.28999999999999998</v>
      </c>
      <c r="S113" s="22">
        <v>0.18</v>
      </c>
      <c r="T113" s="23">
        <v>2</v>
      </c>
      <c r="U113" s="23">
        <v>3</v>
      </c>
      <c r="V113" s="23">
        <v>4</v>
      </c>
      <c r="W113" s="23">
        <v>1</v>
      </c>
      <c r="X113" s="23">
        <v>4</v>
      </c>
      <c r="Y113" s="23">
        <v>2</v>
      </c>
      <c r="Z113" s="23">
        <v>3</v>
      </c>
      <c r="AA113" s="9">
        <v>1</v>
      </c>
      <c r="AB113" s="9">
        <v>0</v>
      </c>
      <c r="AC113" s="9">
        <v>2</v>
      </c>
      <c r="AD113" s="9">
        <v>4</v>
      </c>
      <c r="AE113" s="9">
        <v>3</v>
      </c>
      <c r="AF113" s="23">
        <v>1</v>
      </c>
      <c r="AG113" s="23">
        <v>2</v>
      </c>
      <c r="AH113" s="23">
        <v>1</v>
      </c>
      <c r="AI113" s="23">
        <v>3</v>
      </c>
      <c r="AL113" s="20"/>
    </row>
    <row r="114" spans="1:54" ht="15.75" customHeight="1" x14ac:dyDescent="0.2">
      <c r="A114" s="6" t="s">
        <v>656</v>
      </c>
      <c r="B114" s="6">
        <v>2018</v>
      </c>
      <c r="C114" s="6" t="s">
        <v>474</v>
      </c>
      <c r="D114" s="6" t="s">
        <v>474</v>
      </c>
      <c r="E114" s="43">
        <v>4.26</v>
      </c>
      <c r="F114" s="43">
        <v>161150</v>
      </c>
      <c r="G114" s="43">
        <v>359</v>
      </c>
      <c r="H114" s="20">
        <v>175910</v>
      </c>
      <c r="I114" s="270">
        <v>32778</v>
      </c>
      <c r="J114" s="20">
        <v>3571</v>
      </c>
      <c r="K114" s="20">
        <v>2189</v>
      </c>
      <c r="L114" s="20">
        <v>38749</v>
      </c>
      <c r="M114" s="20">
        <v>1.18</v>
      </c>
      <c r="N114" s="20">
        <v>15</v>
      </c>
      <c r="O114" s="20">
        <v>0.11</v>
      </c>
      <c r="P114" s="20">
        <v>2510</v>
      </c>
      <c r="Q114" s="20">
        <v>2.0499999999999998</v>
      </c>
      <c r="R114" s="21">
        <v>0.27</v>
      </c>
      <c r="S114" s="22">
        <v>0.2</v>
      </c>
      <c r="T114" s="23">
        <v>3</v>
      </c>
      <c r="U114" s="23">
        <v>4</v>
      </c>
      <c r="V114" s="23">
        <v>4</v>
      </c>
      <c r="W114" s="23">
        <v>2</v>
      </c>
      <c r="X114" s="23">
        <v>3</v>
      </c>
      <c r="Y114" s="23">
        <v>1</v>
      </c>
      <c r="Z114" s="23">
        <v>3</v>
      </c>
      <c r="AA114" s="9">
        <v>0</v>
      </c>
      <c r="AB114" s="9">
        <v>3</v>
      </c>
      <c r="AC114" s="9">
        <v>0</v>
      </c>
      <c r="AD114" s="9">
        <v>1</v>
      </c>
      <c r="AE114" s="9">
        <v>2</v>
      </c>
      <c r="AF114" s="23">
        <v>2</v>
      </c>
      <c r="AG114" s="23">
        <v>3</v>
      </c>
      <c r="AH114" s="23">
        <v>4</v>
      </c>
      <c r="AI114" s="23">
        <v>4</v>
      </c>
      <c r="AL114" s="20"/>
    </row>
    <row r="115" spans="1:54" ht="15.75" customHeight="1" x14ac:dyDescent="0.2">
      <c r="A115" s="6" t="s">
        <v>657</v>
      </c>
      <c r="B115" s="6">
        <v>2018</v>
      </c>
      <c r="C115" s="6" t="s">
        <v>474</v>
      </c>
      <c r="D115" s="6" t="s">
        <v>474</v>
      </c>
      <c r="E115" s="43">
        <v>4.25</v>
      </c>
      <c r="F115" s="43">
        <v>130176</v>
      </c>
      <c r="G115" s="43">
        <v>354</v>
      </c>
      <c r="H115" s="20">
        <v>192805</v>
      </c>
      <c r="I115" s="270">
        <v>36045</v>
      </c>
      <c r="J115" s="20">
        <v>3571</v>
      </c>
      <c r="K115" s="20">
        <v>2304</v>
      </c>
      <c r="L115" s="20">
        <v>43306</v>
      </c>
      <c r="M115" s="20">
        <v>1.2</v>
      </c>
      <c r="N115" s="20">
        <v>15.6</v>
      </c>
      <c r="O115" s="20">
        <v>0.1</v>
      </c>
      <c r="P115" s="20">
        <v>2489</v>
      </c>
      <c r="Q115" s="20">
        <v>2.12</v>
      </c>
      <c r="R115" s="21">
        <v>0.28999999999999998</v>
      </c>
      <c r="S115" s="22">
        <v>0.18</v>
      </c>
      <c r="T115" s="23">
        <v>3</v>
      </c>
      <c r="U115" s="23">
        <v>4</v>
      </c>
      <c r="V115" s="23">
        <v>4</v>
      </c>
      <c r="W115" s="23">
        <v>2</v>
      </c>
      <c r="X115" s="23">
        <v>3</v>
      </c>
      <c r="Y115" s="23">
        <v>1</v>
      </c>
      <c r="Z115" s="23">
        <v>3</v>
      </c>
      <c r="AA115" s="9">
        <v>0</v>
      </c>
      <c r="AB115" s="9">
        <v>2</v>
      </c>
      <c r="AC115" s="9">
        <v>0</v>
      </c>
      <c r="AD115" s="9">
        <v>1</v>
      </c>
      <c r="AE115" s="9">
        <v>2</v>
      </c>
      <c r="AF115" s="23">
        <v>1</v>
      </c>
      <c r="AG115" s="23">
        <v>2</v>
      </c>
      <c r="AH115" s="23">
        <v>3</v>
      </c>
      <c r="AI115" s="23">
        <v>4</v>
      </c>
      <c r="AL115" s="20"/>
    </row>
    <row r="116" spans="1:54" ht="15.75" customHeight="1" x14ac:dyDescent="0.2">
      <c r="A116" s="6" t="s">
        <v>658</v>
      </c>
      <c r="B116" s="6">
        <v>1989</v>
      </c>
      <c r="C116" s="6" t="s">
        <v>387</v>
      </c>
      <c r="D116" s="6" t="s">
        <v>387</v>
      </c>
      <c r="E116" s="43">
        <v>3.9</v>
      </c>
      <c r="F116" s="43">
        <v>4617</v>
      </c>
      <c r="G116" s="43">
        <v>351</v>
      </c>
      <c r="H116" s="20">
        <v>92703</v>
      </c>
      <c r="I116" s="270">
        <v>17071</v>
      </c>
      <c r="J116" s="20">
        <v>3496</v>
      </c>
      <c r="K116" s="20">
        <v>1528</v>
      </c>
      <c r="L116" s="20">
        <v>22118</v>
      </c>
      <c r="M116" s="20">
        <v>1.3</v>
      </c>
      <c r="N116" s="20">
        <v>11.2</v>
      </c>
      <c r="O116" s="20">
        <v>0.21</v>
      </c>
      <c r="P116" s="20">
        <v>2582</v>
      </c>
      <c r="Q116" s="20">
        <v>1.6</v>
      </c>
      <c r="R116" s="21">
        <v>0.28000000000000003</v>
      </c>
      <c r="S116" s="22">
        <v>0.17</v>
      </c>
      <c r="T116" s="23">
        <v>2</v>
      </c>
      <c r="U116" s="23">
        <v>3</v>
      </c>
      <c r="V116" s="23">
        <v>4</v>
      </c>
      <c r="W116" s="23">
        <v>2</v>
      </c>
      <c r="X116" s="23">
        <v>4</v>
      </c>
      <c r="Y116" s="23">
        <v>1</v>
      </c>
      <c r="Z116" s="23">
        <v>3</v>
      </c>
      <c r="AA116" s="9">
        <v>0</v>
      </c>
      <c r="AB116" s="9">
        <v>1</v>
      </c>
      <c r="AC116" s="9">
        <v>0</v>
      </c>
      <c r="AD116" s="9">
        <v>1</v>
      </c>
      <c r="AE116" s="9">
        <v>4</v>
      </c>
      <c r="AF116" s="23">
        <v>0</v>
      </c>
      <c r="AG116" s="23">
        <v>2</v>
      </c>
      <c r="AH116" s="23">
        <v>3</v>
      </c>
      <c r="AI116" s="23">
        <v>3</v>
      </c>
      <c r="AL116" s="20"/>
    </row>
    <row r="117" spans="1:54" ht="15.75" customHeight="1" x14ac:dyDescent="0.2">
      <c r="A117" s="6" t="s">
        <v>659</v>
      </c>
      <c r="B117" s="6">
        <v>1950</v>
      </c>
      <c r="C117" s="6" t="s">
        <v>503</v>
      </c>
      <c r="D117" s="6" t="s">
        <v>503</v>
      </c>
      <c r="E117" s="43">
        <v>3.87</v>
      </c>
      <c r="F117" s="43">
        <v>8527</v>
      </c>
      <c r="G117" s="43">
        <v>346</v>
      </c>
      <c r="H117" s="20">
        <v>192769</v>
      </c>
      <c r="I117" s="270">
        <v>36107</v>
      </c>
      <c r="J117" s="20">
        <v>5039</v>
      </c>
      <c r="K117" s="20">
        <v>2628</v>
      </c>
      <c r="L117" s="20">
        <v>43675</v>
      </c>
      <c r="M117" s="20">
        <v>1.21</v>
      </c>
      <c r="N117" s="20">
        <v>13.7</v>
      </c>
      <c r="O117" s="20">
        <v>0.14000000000000001</v>
      </c>
      <c r="P117" s="20">
        <v>3658</v>
      </c>
      <c r="Q117" s="20">
        <v>1.83</v>
      </c>
      <c r="R117" s="21">
        <v>0.24</v>
      </c>
      <c r="S117" s="22">
        <v>0.13</v>
      </c>
      <c r="T117" s="23">
        <v>3</v>
      </c>
      <c r="U117" s="23">
        <v>4</v>
      </c>
      <c r="V117" s="23">
        <v>4</v>
      </c>
      <c r="W117" s="23">
        <v>3</v>
      </c>
      <c r="X117" s="23">
        <v>3</v>
      </c>
      <c r="Y117" s="23">
        <v>2</v>
      </c>
      <c r="Z117" s="23">
        <v>3</v>
      </c>
      <c r="AA117" s="9">
        <v>2</v>
      </c>
      <c r="AB117" s="9">
        <v>3</v>
      </c>
      <c r="AC117" s="9">
        <v>1</v>
      </c>
      <c r="AD117" s="9">
        <v>3</v>
      </c>
      <c r="AE117" s="9">
        <v>1</v>
      </c>
      <c r="AF117" s="23">
        <v>2</v>
      </c>
      <c r="AG117" s="23">
        <v>3</v>
      </c>
      <c r="AH117" s="23">
        <v>2</v>
      </c>
      <c r="AI117" s="23">
        <v>4</v>
      </c>
      <c r="AL117" s="20"/>
    </row>
    <row r="118" spans="1:54" ht="15.75" customHeight="1" x14ac:dyDescent="0.2">
      <c r="A118" s="6" t="s">
        <v>660</v>
      </c>
      <c r="B118" s="6">
        <v>1986</v>
      </c>
      <c r="C118" s="6" t="s">
        <v>532</v>
      </c>
      <c r="D118" s="6" t="s">
        <v>532</v>
      </c>
      <c r="E118" s="43">
        <v>3.83</v>
      </c>
      <c r="F118" s="43">
        <v>1857</v>
      </c>
      <c r="G118" s="43">
        <v>346</v>
      </c>
      <c r="H118" s="20">
        <v>118844</v>
      </c>
      <c r="I118" s="270">
        <v>23302</v>
      </c>
      <c r="J118" s="20">
        <v>2949</v>
      </c>
      <c r="K118" s="20">
        <v>2093</v>
      </c>
      <c r="L118" s="20">
        <v>27550</v>
      </c>
      <c r="M118" s="20">
        <v>1.18</v>
      </c>
      <c r="N118" s="20">
        <v>11.1</v>
      </c>
      <c r="O118" s="20">
        <v>0.13</v>
      </c>
      <c r="P118" s="20">
        <v>1965</v>
      </c>
      <c r="Q118" s="20">
        <v>1.66</v>
      </c>
      <c r="R118" s="21">
        <v>0.3</v>
      </c>
      <c r="S118" s="22">
        <v>0.19</v>
      </c>
      <c r="T118" s="23">
        <v>2</v>
      </c>
      <c r="U118" s="23">
        <v>3</v>
      </c>
      <c r="V118" s="23">
        <v>4</v>
      </c>
      <c r="W118" s="23">
        <v>2</v>
      </c>
      <c r="X118" s="23">
        <v>4</v>
      </c>
      <c r="Y118" s="23">
        <v>3</v>
      </c>
      <c r="Z118" s="23">
        <v>4</v>
      </c>
      <c r="AA118" s="9">
        <v>0</v>
      </c>
      <c r="AB118" s="9">
        <v>1</v>
      </c>
      <c r="AC118" s="9">
        <v>0</v>
      </c>
      <c r="AD118" s="9">
        <v>2</v>
      </c>
      <c r="AE118" s="9">
        <v>3</v>
      </c>
      <c r="AF118" s="23">
        <v>1</v>
      </c>
      <c r="AG118" s="23">
        <v>2</v>
      </c>
      <c r="AH118" s="23">
        <v>0</v>
      </c>
      <c r="AI118" s="23">
        <v>3</v>
      </c>
      <c r="AL118" s="20"/>
    </row>
    <row r="119" spans="1:54" ht="15.75" customHeight="1" x14ac:dyDescent="0.2">
      <c r="A119" s="6" t="s">
        <v>661</v>
      </c>
      <c r="B119" s="6">
        <v>1922</v>
      </c>
      <c r="C119" s="6" t="s">
        <v>408</v>
      </c>
      <c r="D119" s="6" t="s">
        <v>408</v>
      </c>
      <c r="E119" s="43">
        <v>3.61</v>
      </c>
      <c r="F119" s="43">
        <v>3975</v>
      </c>
      <c r="G119" s="43">
        <v>343</v>
      </c>
      <c r="H119" s="20">
        <v>83166</v>
      </c>
      <c r="I119" s="270">
        <v>15206</v>
      </c>
      <c r="J119" s="20">
        <v>3204</v>
      </c>
      <c r="K119" s="20">
        <v>871</v>
      </c>
      <c r="L119" s="20">
        <v>18659</v>
      </c>
      <c r="M119" s="20">
        <v>1.23</v>
      </c>
      <c r="N119" s="20">
        <v>17.5</v>
      </c>
      <c r="O119" s="20">
        <v>0.21</v>
      </c>
      <c r="P119" s="20">
        <v>2397</v>
      </c>
      <c r="Q119" s="20">
        <v>1.97</v>
      </c>
      <c r="R119" s="21">
        <v>0.27</v>
      </c>
      <c r="S119" s="22">
        <v>0.19</v>
      </c>
      <c r="T119" s="23">
        <v>2</v>
      </c>
      <c r="U119" s="23">
        <v>3</v>
      </c>
      <c r="V119" s="23">
        <v>3</v>
      </c>
      <c r="W119" s="23">
        <v>2</v>
      </c>
      <c r="X119" s="23">
        <v>4</v>
      </c>
      <c r="Y119" s="23">
        <v>1</v>
      </c>
      <c r="Z119" s="23">
        <v>3</v>
      </c>
      <c r="AA119" s="9">
        <v>1</v>
      </c>
      <c r="AB119" s="9">
        <v>2</v>
      </c>
      <c r="AC119" s="9">
        <v>3</v>
      </c>
      <c r="AD119" s="9">
        <v>4</v>
      </c>
      <c r="AE119" s="9">
        <v>3</v>
      </c>
      <c r="AF119" s="23">
        <v>1</v>
      </c>
      <c r="AG119" s="23">
        <v>2</v>
      </c>
      <c r="AH119" s="23">
        <v>2</v>
      </c>
      <c r="AI119" s="23">
        <v>3</v>
      </c>
      <c r="AL119" s="20"/>
    </row>
    <row r="120" spans="1:54" ht="15.75" customHeight="1" x14ac:dyDescent="0.2">
      <c r="A120" s="34" t="s">
        <v>59</v>
      </c>
      <c r="B120" s="34">
        <v>2010</v>
      </c>
      <c r="C120" s="34" t="s">
        <v>60</v>
      </c>
      <c r="D120" s="34" t="s">
        <v>60</v>
      </c>
      <c r="E120" s="42">
        <v>3.74</v>
      </c>
      <c r="F120" s="42">
        <v>3615</v>
      </c>
      <c r="G120" s="42">
        <v>338</v>
      </c>
      <c r="H120" s="281">
        <v>78270</v>
      </c>
      <c r="I120" s="289">
        <v>14621</v>
      </c>
      <c r="J120" s="281">
        <v>2348</v>
      </c>
      <c r="K120" s="281">
        <v>1375</v>
      </c>
      <c r="L120" s="281">
        <v>17854</v>
      </c>
      <c r="M120" s="281">
        <v>1.22</v>
      </c>
      <c r="N120" s="281">
        <v>10.6</v>
      </c>
      <c r="O120" s="281">
        <v>0.16</v>
      </c>
      <c r="P120" s="281">
        <v>1624</v>
      </c>
      <c r="Q120" s="281">
        <v>1.58</v>
      </c>
      <c r="R120" s="290">
        <v>0.33</v>
      </c>
      <c r="S120" s="291">
        <v>0.22</v>
      </c>
      <c r="T120" s="36">
        <v>2</v>
      </c>
      <c r="U120" s="36">
        <v>3</v>
      </c>
      <c r="V120" s="36">
        <v>4</v>
      </c>
      <c r="W120" s="36">
        <v>2</v>
      </c>
      <c r="X120" s="36">
        <v>4</v>
      </c>
      <c r="Y120" s="36">
        <v>1</v>
      </c>
      <c r="Z120" s="36">
        <v>3</v>
      </c>
      <c r="AA120" s="35">
        <v>1</v>
      </c>
      <c r="AB120" s="35">
        <v>2</v>
      </c>
      <c r="AC120" s="35">
        <v>2</v>
      </c>
      <c r="AD120" s="35">
        <v>1</v>
      </c>
      <c r="AE120" s="35">
        <v>2</v>
      </c>
      <c r="AF120" s="36">
        <v>1</v>
      </c>
      <c r="AG120" s="36">
        <v>3</v>
      </c>
      <c r="AH120" s="36">
        <v>4</v>
      </c>
      <c r="AI120" s="36">
        <v>3</v>
      </c>
      <c r="AJ120" s="34"/>
      <c r="AK120" s="34"/>
      <c r="AL120" s="281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</row>
    <row r="121" spans="1:54" ht="15.75" customHeight="1" x14ac:dyDescent="0.2">
      <c r="A121" s="6" t="s">
        <v>662</v>
      </c>
      <c r="B121" s="6">
        <v>1924</v>
      </c>
      <c r="C121" s="6" t="s">
        <v>457</v>
      </c>
      <c r="D121" s="6" t="s">
        <v>457</v>
      </c>
      <c r="E121" s="43">
        <v>3.96</v>
      </c>
      <c r="F121" s="43">
        <v>106</v>
      </c>
      <c r="G121" s="43">
        <v>335</v>
      </c>
      <c r="H121" s="20">
        <v>283654</v>
      </c>
      <c r="I121" s="270">
        <v>52662</v>
      </c>
      <c r="J121" s="20">
        <v>6670</v>
      </c>
      <c r="K121" s="20">
        <v>3078</v>
      </c>
      <c r="L121" s="20">
        <v>65341</v>
      </c>
      <c r="M121" s="20">
        <v>1.24</v>
      </c>
      <c r="N121" s="20">
        <v>17.100000000000001</v>
      </c>
      <c r="O121" s="20">
        <v>0.13</v>
      </c>
      <c r="P121" s="20">
        <v>5010</v>
      </c>
      <c r="Q121" s="20">
        <v>1.93</v>
      </c>
      <c r="R121" s="21">
        <v>0.27</v>
      </c>
      <c r="S121" s="22">
        <v>0.2</v>
      </c>
      <c r="T121" s="23">
        <v>2</v>
      </c>
      <c r="U121" s="23">
        <v>3</v>
      </c>
      <c r="V121" s="23">
        <v>3</v>
      </c>
      <c r="W121" s="23">
        <v>2</v>
      </c>
      <c r="X121" s="23">
        <v>4</v>
      </c>
      <c r="Y121" s="23">
        <v>3</v>
      </c>
      <c r="Z121" s="23">
        <v>4</v>
      </c>
      <c r="AA121" s="9">
        <v>0</v>
      </c>
      <c r="AB121" s="9">
        <v>1</v>
      </c>
      <c r="AC121" s="9">
        <v>1</v>
      </c>
      <c r="AD121" s="9">
        <v>0</v>
      </c>
      <c r="AE121" s="9">
        <v>4</v>
      </c>
      <c r="AF121" s="23">
        <v>1</v>
      </c>
      <c r="AG121" s="23">
        <v>2</v>
      </c>
      <c r="AH121" s="23">
        <v>1</v>
      </c>
      <c r="AI121" s="23">
        <v>3</v>
      </c>
      <c r="AL121" s="20"/>
    </row>
    <row r="122" spans="1:54" ht="15.75" customHeight="1" x14ac:dyDescent="0.2">
      <c r="A122" s="6" t="s">
        <v>663</v>
      </c>
      <c r="B122" s="6">
        <v>1977</v>
      </c>
      <c r="C122" s="6" t="s">
        <v>500</v>
      </c>
      <c r="D122" s="6" t="s">
        <v>500</v>
      </c>
      <c r="E122" s="43">
        <v>3.72</v>
      </c>
      <c r="F122" s="43">
        <v>51732</v>
      </c>
      <c r="G122" s="43">
        <v>328</v>
      </c>
      <c r="H122" s="20">
        <v>287207</v>
      </c>
      <c r="I122" s="270">
        <v>55496</v>
      </c>
      <c r="J122" s="20">
        <v>6179</v>
      </c>
      <c r="K122" s="20">
        <v>5149</v>
      </c>
      <c r="L122" s="20">
        <v>69525</v>
      </c>
      <c r="M122" s="20">
        <v>1.25</v>
      </c>
      <c r="N122" s="20">
        <v>10.8</v>
      </c>
      <c r="O122" s="20">
        <v>0.11</v>
      </c>
      <c r="P122" s="20">
        <v>4145</v>
      </c>
      <c r="Q122" s="20">
        <v>1.65</v>
      </c>
      <c r="R122" s="21">
        <v>0.26</v>
      </c>
      <c r="S122" s="22">
        <v>0.17</v>
      </c>
      <c r="T122" s="23">
        <v>2</v>
      </c>
      <c r="U122" s="23">
        <v>3</v>
      </c>
      <c r="V122" s="23">
        <v>4</v>
      </c>
      <c r="W122" s="23">
        <v>1</v>
      </c>
      <c r="X122" s="23">
        <v>3</v>
      </c>
      <c r="Y122" s="23">
        <v>2</v>
      </c>
      <c r="Z122" s="23">
        <v>3</v>
      </c>
      <c r="AA122" s="9">
        <v>0</v>
      </c>
      <c r="AB122" s="9">
        <v>1</v>
      </c>
      <c r="AC122" s="9">
        <v>0</v>
      </c>
      <c r="AD122" s="9">
        <v>2</v>
      </c>
      <c r="AE122" s="9">
        <v>4</v>
      </c>
      <c r="AF122" s="23">
        <v>0</v>
      </c>
      <c r="AG122" s="23">
        <v>1</v>
      </c>
      <c r="AH122" s="23">
        <v>0</v>
      </c>
      <c r="AI122" s="23">
        <v>3</v>
      </c>
      <c r="AL122" s="20"/>
    </row>
    <row r="123" spans="1:54" ht="15.75" customHeight="1" x14ac:dyDescent="0.2">
      <c r="A123" s="6" t="s">
        <v>664</v>
      </c>
      <c r="B123" s="6">
        <v>2016</v>
      </c>
      <c r="C123" s="6" t="s">
        <v>415</v>
      </c>
      <c r="D123" s="6" t="s">
        <v>415</v>
      </c>
      <c r="E123" s="43">
        <v>3.69</v>
      </c>
      <c r="F123" s="43">
        <v>17132</v>
      </c>
      <c r="G123" s="43">
        <v>325</v>
      </c>
      <c r="H123" s="20">
        <v>176554</v>
      </c>
      <c r="I123" s="270">
        <v>33016</v>
      </c>
      <c r="J123" s="20">
        <v>4018</v>
      </c>
      <c r="K123" s="20">
        <v>2401</v>
      </c>
      <c r="L123" s="20">
        <v>41321</v>
      </c>
      <c r="M123" s="20">
        <v>1.25</v>
      </c>
      <c r="N123" s="20">
        <v>13.8</v>
      </c>
      <c r="O123" s="20">
        <v>0.12</v>
      </c>
      <c r="P123" s="20">
        <v>3057</v>
      </c>
      <c r="Q123" s="20">
        <v>1.76</v>
      </c>
      <c r="R123" s="21">
        <v>0.31</v>
      </c>
      <c r="S123" s="22">
        <v>0.2</v>
      </c>
      <c r="T123" s="23">
        <v>2</v>
      </c>
      <c r="U123" s="23">
        <v>3</v>
      </c>
      <c r="V123" s="23">
        <v>4</v>
      </c>
      <c r="W123" s="23">
        <v>1</v>
      </c>
      <c r="X123" s="23">
        <v>4</v>
      </c>
      <c r="Y123" s="23">
        <v>2</v>
      </c>
      <c r="Z123" s="23">
        <v>3</v>
      </c>
      <c r="AA123" s="9">
        <v>0</v>
      </c>
      <c r="AB123" s="9">
        <v>1</v>
      </c>
      <c r="AC123" s="9">
        <v>2</v>
      </c>
      <c r="AD123" s="9">
        <v>1</v>
      </c>
      <c r="AE123" s="9">
        <v>4</v>
      </c>
      <c r="AF123" s="23">
        <v>1</v>
      </c>
      <c r="AG123" s="23">
        <v>2</v>
      </c>
      <c r="AH123" s="23">
        <v>4</v>
      </c>
      <c r="AI123" s="23">
        <v>3</v>
      </c>
      <c r="AL123" s="20"/>
    </row>
    <row r="124" spans="1:54" ht="15.75" customHeight="1" x14ac:dyDescent="0.2">
      <c r="A124" s="6" t="s">
        <v>665</v>
      </c>
      <c r="B124" s="6">
        <v>1964</v>
      </c>
      <c r="C124" s="6" t="s">
        <v>515</v>
      </c>
      <c r="D124" s="6" t="s">
        <v>515</v>
      </c>
      <c r="E124" s="43">
        <v>4.38</v>
      </c>
      <c r="F124" s="43">
        <v>1165630</v>
      </c>
      <c r="G124" s="43">
        <v>324</v>
      </c>
      <c r="H124" s="20">
        <v>2952</v>
      </c>
      <c r="I124" s="270">
        <v>609</v>
      </c>
      <c r="J124" s="20">
        <v>158</v>
      </c>
      <c r="K124" s="20">
        <v>63</v>
      </c>
      <c r="L124" s="20">
        <v>752</v>
      </c>
      <c r="M124" s="20">
        <v>1.23</v>
      </c>
      <c r="N124" s="20">
        <v>9.6999999999999993</v>
      </c>
      <c r="O124" s="20">
        <v>0.26</v>
      </c>
      <c r="P124" s="20">
        <v>94</v>
      </c>
      <c r="Q124" s="20">
        <v>1.6</v>
      </c>
      <c r="R124" s="21">
        <v>0.43</v>
      </c>
      <c r="S124" s="22">
        <v>0.43</v>
      </c>
      <c r="T124" s="23">
        <v>2</v>
      </c>
      <c r="U124" s="23">
        <v>3</v>
      </c>
      <c r="V124" s="23">
        <v>4</v>
      </c>
      <c r="W124" s="23">
        <v>1</v>
      </c>
      <c r="X124" s="23">
        <v>3</v>
      </c>
      <c r="Y124" s="23">
        <v>4</v>
      </c>
      <c r="Z124" s="23">
        <v>3</v>
      </c>
      <c r="AA124" s="9">
        <v>0</v>
      </c>
      <c r="AB124" s="9">
        <v>0</v>
      </c>
      <c r="AC124" s="9">
        <v>1</v>
      </c>
      <c r="AD124" s="9">
        <v>2</v>
      </c>
      <c r="AE124" s="9">
        <v>3</v>
      </c>
      <c r="AF124" s="23">
        <v>1</v>
      </c>
      <c r="AG124" s="23">
        <v>2</v>
      </c>
      <c r="AH124" s="23">
        <v>1</v>
      </c>
      <c r="AI124" s="23">
        <v>2</v>
      </c>
      <c r="AL124" s="20"/>
    </row>
    <row r="125" spans="1:54" ht="15.75" customHeight="1" x14ac:dyDescent="0.2">
      <c r="A125" s="6" t="s">
        <v>666</v>
      </c>
      <c r="B125" s="6">
        <v>1992</v>
      </c>
      <c r="C125" s="6" t="s">
        <v>353</v>
      </c>
      <c r="D125" s="6" t="s">
        <v>353</v>
      </c>
      <c r="E125" s="43">
        <v>3.64</v>
      </c>
      <c r="F125" s="43">
        <v>5988</v>
      </c>
      <c r="G125" s="43">
        <v>321</v>
      </c>
      <c r="H125" s="20">
        <v>608138</v>
      </c>
      <c r="I125" s="270">
        <v>110200</v>
      </c>
      <c r="J125" s="20">
        <v>11156</v>
      </c>
      <c r="K125" s="20">
        <v>5417</v>
      </c>
      <c r="L125" s="20">
        <v>139994</v>
      </c>
      <c r="M125" s="20">
        <v>1.27</v>
      </c>
      <c r="N125" s="20">
        <v>20.3</v>
      </c>
      <c r="O125" s="20">
        <v>0.1</v>
      </c>
      <c r="P125" s="20">
        <v>7776</v>
      </c>
      <c r="Q125" s="20">
        <v>2.2000000000000002</v>
      </c>
      <c r="R125" s="21">
        <v>0.32</v>
      </c>
      <c r="S125" s="22">
        <v>0.2</v>
      </c>
      <c r="T125" s="23">
        <v>2</v>
      </c>
      <c r="U125" s="23">
        <v>3</v>
      </c>
      <c r="V125" s="23">
        <v>3</v>
      </c>
      <c r="W125" s="23">
        <v>1</v>
      </c>
      <c r="X125" s="23">
        <v>4</v>
      </c>
      <c r="Y125" s="23">
        <v>2</v>
      </c>
      <c r="Z125" s="23">
        <v>3</v>
      </c>
      <c r="AA125" s="9">
        <v>1</v>
      </c>
      <c r="AB125" s="9">
        <v>2</v>
      </c>
      <c r="AC125" s="9">
        <v>3</v>
      </c>
      <c r="AD125" s="9">
        <v>1</v>
      </c>
      <c r="AE125" s="9">
        <v>3</v>
      </c>
      <c r="AF125" s="23">
        <v>1</v>
      </c>
      <c r="AG125" s="23">
        <v>2</v>
      </c>
      <c r="AH125" s="23">
        <v>3</v>
      </c>
      <c r="AI125" s="23">
        <v>3</v>
      </c>
      <c r="AL125" s="20"/>
    </row>
    <row r="126" spans="1:54" ht="15.75" customHeight="1" x14ac:dyDescent="0.2">
      <c r="A126" s="6" t="s">
        <v>667</v>
      </c>
      <c r="B126" s="6">
        <v>2016</v>
      </c>
      <c r="C126" s="6" t="s">
        <v>360</v>
      </c>
      <c r="D126" s="6" t="s">
        <v>360</v>
      </c>
      <c r="E126" s="43">
        <v>3.85</v>
      </c>
      <c r="F126" s="43">
        <v>608</v>
      </c>
      <c r="G126" s="43">
        <v>316</v>
      </c>
      <c r="H126" s="20">
        <v>285435</v>
      </c>
      <c r="I126" s="270">
        <v>51616</v>
      </c>
      <c r="J126" s="20">
        <v>6728</v>
      </c>
      <c r="K126" s="20">
        <v>2453</v>
      </c>
      <c r="L126" s="20">
        <v>63508</v>
      </c>
      <c r="M126" s="20">
        <v>1.23</v>
      </c>
      <c r="N126" s="20">
        <v>21</v>
      </c>
      <c r="O126" s="20">
        <v>0.13</v>
      </c>
      <c r="P126" s="20">
        <v>5003</v>
      </c>
      <c r="Q126" s="20">
        <v>2.09</v>
      </c>
      <c r="R126" s="21">
        <v>0.32</v>
      </c>
      <c r="S126" s="22">
        <v>0.21</v>
      </c>
      <c r="T126" s="23">
        <v>2</v>
      </c>
      <c r="U126" s="23">
        <v>3</v>
      </c>
      <c r="V126" s="23">
        <v>3</v>
      </c>
      <c r="W126" s="23">
        <v>2</v>
      </c>
      <c r="X126" s="23">
        <v>1</v>
      </c>
      <c r="Y126" s="23">
        <v>4</v>
      </c>
      <c r="Z126" s="23">
        <v>3</v>
      </c>
      <c r="AA126" s="9">
        <v>0</v>
      </c>
      <c r="AB126" s="9">
        <v>0</v>
      </c>
      <c r="AC126" s="9">
        <v>0</v>
      </c>
      <c r="AD126" s="9">
        <v>0</v>
      </c>
      <c r="AE126" s="9">
        <v>2</v>
      </c>
      <c r="AF126" s="23">
        <v>1</v>
      </c>
      <c r="AG126" s="23">
        <v>2</v>
      </c>
      <c r="AH126" s="23">
        <v>0</v>
      </c>
      <c r="AI126" s="23">
        <v>3</v>
      </c>
      <c r="AL126" s="20"/>
    </row>
    <row r="127" spans="1:54" ht="15.75" customHeight="1" x14ac:dyDescent="0.2">
      <c r="A127" s="6" t="s">
        <v>668</v>
      </c>
      <c r="B127" s="6">
        <v>1938</v>
      </c>
      <c r="C127" s="6" t="s">
        <v>456</v>
      </c>
      <c r="D127" s="6" t="s">
        <v>456</v>
      </c>
      <c r="E127" s="43">
        <v>3.81</v>
      </c>
      <c r="F127" s="43">
        <v>1202</v>
      </c>
      <c r="G127" s="43">
        <v>294</v>
      </c>
      <c r="H127" s="20">
        <v>122855</v>
      </c>
      <c r="I127" s="270">
        <v>22465</v>
      </c>
      <c r="J127" s="20">
        <v>3522</v>
      </c>
      <c r="K127" s="20">
        <v>1900</v>
      </c>
      <c r="L127" s="20">
        <v>28981</v>
      </c>
      <c r="M127" s="20">
        <v>1.29</v>
      </c>
      <c r="N127" s="20">
        <v>11.8</v>
      </c>
      <c r="O127" s="20">
        <v>0.16</v>
      </c>
      <c r="P127" s="20">
        <v>2560</v>
      </c>
      <c r="Q127" s="20">
        <v>1.66</v>
      </c>
      <c r="R127" s="21">
        <v>0.26</v>
      </c>
      <c r="S127" s="22">
        <v>0.15</v>
      </c>
      <c r="T127" s="23">
        <v>3</v>
      </c>
      <c r="U127" s="23">
        <v>4</v>
      </c>
      <c r="V127" s="23">
        <v>4</v>
      </c>
      <c r="W127" s="23">
        <v>2</v>
      </c>
      <c r="X127" s="23">
        <v>3</v>
      </c>
      <c r="Y127" s="23">
        <v>1</v>
      </c>
      <c r="Z127" s="23">
        <v>2</v>
      </c>
      <c r="AA127" s="9">
        <v>0</v>
      </c>
      <c r="AB127" s="9">
        <v>3</v>
      </c>
      <c r="AC127" s="9">
        <v>0</v>
      </c>
      <c r="AD127" s="9">
        <v>0</v>
      </c>
      <c r="AE127" s="9">
        <v>1</v>
      </c>
      <c r="AF127" s="23">
        <v>1</v>
      </c>
      <c r="AG127" s="23">
        <v>2</v>
      </c>
      <c r="AH127" s="23">
        <v>0</v>
      </c>
      <c r="AI127" s="23">
        <v>3</v>
      </c>
      <c r="AL127" s="20"/>
    </row>
    <row r="128" spans="1:54" ht="15.75" customHeight="1" x14ac:dyDescent="0.2">
      <c r="A128" s="6" t="s">
        <v>669</v>
      </c>
      <c r="B128" s="6">
        <v>1974</v>
      </c>
      <c r="C128" s="6" t="s">
        <v>479</v>
      </c>
      <c r="D128" s="6" t="s">
        <v>479</v>
      </c>
      <c r="E128" s="43">
        <v>3.47</v>
      </c>
      <c r="F128" s="43">
        <v>1285</v>
      </c>
      <c r="G128" s="43">
        <v>290</v>
      </c>
      <c r="H128" s="20">
        <v>137512</v>
      </c>
      <c r="I128" s="270">
        <v>24340</v>
      </c>
      <c r="J128" s="20">
        <v>4241</v>
      </c>
      <c r="K128" s="20">
        <v>1526</v>
      </c>
      <c r="L128" s="20">
        <v>32334</v>
      </c>
      <c r="M128" s="20">
        <v>1.33</v>
      </c>
      <c r="N128" s="20">
        <v>16</v>
      </c>
      <c r="O128" s="20">
        <v>0.17</v>
      </c>
      <c r="P128" s="20">
        <v>3077</v>
      </c>
      <c r="Q128" s="20">
        <v>1.99</v>
      </c>
      <c r="R128" s="21">
        <v>0.31</v>
      </c>
      <c r="S128" s="22">
        <v>0.24</v>
      </c>
      <c r="T128" s="23">
        <v>2</v>
      </c>
      <c r="U128" s="23">
        <v>3</v>
      </c>
      <c r="V128" s="23">
        <v>3</v>
      </c>
      <c r="W128" s="23">
        <v>2</v>
      </c>
      <c r="X128" s="23">
        <v>4</v>
      </c>
      <c r="Y128" s="23">
        <v>1</v>
      </c>
      <c r="Z128" s="23">
        <v>2</v>
      </c>
      <c r="AA128" s="9">
        <v>2</v>
      </c>
      <c r="AB128" s="9">
        <v>3</v>
      </c>
      <c r="AC128" s="9">
        <v>1</v>
      </c>
      <c r="AD128" s="9">
        <v>4</v>
      </c>
      <c r="AE128" s="9">
        <v>2</v>
      </c>
      <c r="AF128" s="23">
        <v>1</v>
      </c>
      <c r="AG128" s="23">
        <v>2</v>
      </c>
      <c r="AH128" s="23">
        <v>3</v>
      </c>
      <c r="AI128" s="23">
        <v>3</v>
      </c>
      <c r="AL128" s="20"/>
    </row>
    <row r="129" spans="1:38" ht="15.75" customHeight="1" x14ac:dyDescent="0.2">
      <c r="A129" s="6" t="s">
        <v>670</v>
      </c>
      <c r="B129" s="6">
        <v>1987</v>
      </c>
      <c r="C129" s="6" t="s">
        <v>444</v>
      </c>
      <c r="D129" s="6" t="s">
        <v>444</v>
      </c>
      <c r="E129" s="43">
        <v>3.76</v>
      </c>
      <c r="F129" s="43">
        <v>3313</v>
      </c>
      <c r="G129" s="43">
        <v>284</v>
      </c>
      <c r="H129" s="20">
        <v>159763</v>
      </c>
      <c r="I129" s="270">
        <v>30551</v>
      </c>
      <c r="J129" s="20">
        <v>4089</v>
      </c>
      <c r="K129" s="20">
        <v>2155</v>
      </c>
      <c r="L129" s="20">
        <v>37247</v>
      </c>
      <c r="M129" s="20">
        <v>1.22</v>
      </c>
      <c r="N129" s="20">
        <v>14.2</v>
      </c>
      <c r="O129" s="20">
        <v>0.13</v>
      </c>
      <c r="P129" s="20">
        <v>2939</v>
      </c>
      <c r="Q129" s="20">
        <v>1.86</v>
      </c>
      <c r="R129" s="21">
        <v>0.3</v>
      </c>
      <c r="S129" s="22">
        <v>0.17</v>
      </c>
      <c r="T129" s="23">
        <v>2</v>
      </c>
      <c r="U129" s="23">
        <v>3</v>
      </c>
      <c r="V129" s="23">
        <v>4</v>
      </c>
      <c r="W129" s="23">
        <v>1</v>
      </c>
      <c r="X129" s="23">
        <v>4</v>
      </c>
      <c r="Y129" s="23">
        <v>3</v>
      </c>
      <c r="Z129" s="23">
        <v>3</v>
      </c>
      <c r="AA129" s="9">
        <v>2</v>
      </c>
      <c r="AB129" s="9">
        <v>1</v>
      </c>
      <c r="AC129" s="9">
        <v>2</v>
      </c>
      <c r="AD129" s="9">
        <v>1</v>
      </c>
      <c r="AE129" s="9">
        <v>2</v>
      </c>
      <c r="AF129" s="23">
        <v>1</v>
      </c>
      <c r="AG129" s="23">
        <v>2</v>
      </c>
      <c r="AH129" s="23">
        <v>3</v>
      </c>
      <c r="AI129" s="23">
        <v>4</v>
      </c>
      <c r="AL129" s="20"/>
    </row>
    <row r="130" spans="1:38" ht="15.75" customHeight="1" x14ac:dyDescent="0.2">
      <c r="A130" s="6" t="s">
        <v>671</v>
      </c>
      <c r="B130" s="6">
        <v>1978</v>
      </c>
      <c r="C130" s="6" t="s">
        <v>425</v>
      </c>
      <c r="D130" s="6" t="s">
        <v>425</v>
      </c>
      <c r="E130" s="43">
        <v>3.54</v>
      </c>
      <c r="F130" s="43">
        <v>33208</v>
      </c>
      <c r="G130" s="43">
        <v>280</v>
      </c>
      <c r="H130" s="20">
        <v>218868</v>
      </c>
      <c r="I130" s="270">
        <v>42806</v>
      </c>
      <c r="J130" s="20">
        <v>3782</v>
      </c>
      <c r="K130" s="20">
        <v>3366</v>
      </c>
      <c r="L130" s="20">
        <v>50694</v>
      </c>
      <c r="M130" s="20">
        <v>1.18</v>
      </c>
      <c r="N130" s="20">
        <v>12.7</v>
      </c>
      <c r="O130" s="20">
        <v>0.09</v>
      </c>
      <c r="P130" s="20">
        <v>2721</v>
      </c>
      <c r="Q130" s="20">
        <v>1.79</v>
      </c>
      <c r="R130" s="21">
        <v>0.31</v>
      </c>
      <c r="S130" s="22">
        <v>0.22</v>
      </c>
      <c r="T130" s="23">
        <v>2</v>
      </c>
      <c r="U130" s="23">
        <v>3</v>
      </c>
      <c r="V130" s="23">
        <v>4</v>
      </c>
      <c r="W130" s="23">
        <v>1</v>
      </c>
      <c r="X130" s="23">
        <v>4</v>
      </c>
      <c r="Y130" s="23">
        <v>2</v>
      </c>
      <c r="Z130" s="23">
        <v>3</v>
      </c>
      <c r="AA130" s="9">
        <v>0</v>
      </c>
      <c r="AB130" s="9">
        <v>2</v>
      </c>
      <c r="AC130" s="9">
        <v>1</v>
      </c>
      <c r="AD130" s="9">
        <v>0</v>
      </c>
      <c r="AE130" s="9">
        <v>3</v>
      </c>
      <c r="AF130" s="23">
        <v>0</v>
      </c>
      <c r="AG130" s="23">
        <v>1</v>
      </c>
      <c r="AH130" s="23">
        <v>2</v>
      </c>
      <c r="AI130" s="23">
        <v>3</v>
      </c>
      <c r="AL130" s="20"/>
    </row>
    <row r="131" spans="1:38" ht="15.75" customHeight="1" x14ac:dyDescent="0.2">
      <c r="A131" s="6" t="s">
        <v>672</v>
      </c>
      <c r="B131" s="6">
        <v>1982</v>
      </c>
      <c r="C131" s="6" t="s">
        <v>373</v>
      </c>
      <c r="D131" s="6" t="s">
        <v>373</v>
      </c>
      <c r="E131" s="43">
        <v>4.1399999999999997</v>
      </c>
      <c r="F131" s="43">
        <v>110779</v>
      </c>
      <c r="G131" s="43">
        <v>278</v>
      </c>
      <c r="H131" s="20">
        <v>432454</v>
      </c>
      <c r="I131" s="270">
        <v>84900</v>
      </c>
      <c r="J131" s="20">
        <v>5765</v>
      </c>
      <c r="K131" s="20">
        <v>9594</v>
      </c>
      <c r="L131" s="20">
        <v>105307</v>
      </c>
      <c r="M131" s="20">
        <v>1.24</v>
      </c>
      <c r="N131" s="20">
        <v>8.8000000000000007</v>
      </c>
      <c r="O131" s="20">
        <v>7.0000000000000007E-2</v>
      </c>
      <c r="P131" s="20">
        <v>3781</v>
      </c>
      <c r="Q131" s="20">
        <v>1.49</v>
      </c>
      <c r="R131" s="21">
        <v>0.31</v>
      </c>
      <c r="S131" s="22">
        <v>0.16</v>
      </c>
      <c r="T131" s="23">
        <v>2</v>
      </c>
      <c r="U131" s="23">
        <v>3</v>
      </c>
      <c r="V131" s="23">
        <v>4</v>
      </c>
      <c r="W131" s="23">
        <v>2</v>
      </c>
      <c r="X131" s="23">
        <v>3</v>
      </c>
      <c r="Y131" s="23">
        <v>4</v>
      </c>
      <c r="Z131" s="23">
        <v>4</v>
      </c>
      <c r="AA131" s="9">
        <v>1</v>
      </c>
      <c r="AB131" s="9">
        <v>0</v>
      </c>
      <c r="AC131" s="9">
        <v>0</v>
      </c>
      <c r="AD131" s="9">
        <v>3</v>
      </c>
      <c r="AE131" s="9">
        <v>2</v>
      </c>
      <c r="AF131" s="23">
        <v>1</v>
      </c>
      <c r="AG131" s="23">
        <v>2</v>
      </c>
      <c r="AH131" s="23">
        <v>0</v>
      </c>
      <c r="AI131" s="23">
        <v>3</v>
      </c>
      <c r="AL131" s="20"/>
    </row>
    <row r="132" spans="1:38" ht="15.75" customHeight="1" x14ac:dyDescent="0.2">
      <c r="A132" s="6" t="s">
        <v>673</v>
      </c>
      <c r="B132" s="6">
        <v>1999</v>
      </c>
      <c r="C132" s="6" t="s">
        <v>430</v>
      </c>
      <c r="D132" s="6" t="s">
        <v>430</v>
      </c>
      <c r="E132" s="43">
        <v>3.58</v>
      </c>
      <c r="F132" s="43">
        <v>3233</v>
      </c>
      <c r="G132" s="43">
        <v>273</v>
      </c>
      <c r="H132" s="20">
        <v>120064</v>
      </c>
      <c r="I132" s="270">
        <v>20703</v>
      </c>
      <c r="J132" s="20">
        <v>4218</v>
      </c>
      <c r="K132" s="20">
        <v>1256</v>
      </c>
      <c r="L132" s="20">
        <v>25525</v>
      </c>
      <c r="M132" s="20">
        <v>1.23</v>
      </c>
      <c r="N132" s="20">
        <v>16.5</v>
      </c>
      <c r="O132" s="20">
        <v>0.2</v>
      </c>
      <c r="P132" s="20">
        <v>2941</v>
      </c>
      <c r="Q132" s="20">
        <v>1.71</v>
      </c>
      <c r="R132" s="21">
        <v>0.28999999999999998</v>
      </c>
      <c r="S132" s="22">
        <v>0.17</v>
      </c>
      <c r="T132" s="23">
        <v>3</v>
      </c>
      <c r="U132" s="23">
        <v>4</v>
      </c>
      <c r="V132" s="23">
        <v>4</v>
      </c>
      <c r="W132" s="23">
        <v>2</v>
      </c>
      <c r="X132" s="23">
        <v>3</v>
      </c>
      <c r="Y132" s="23">
        <v>1</v>
      </c>
      <c r="Z132" s="23">
        <v>3</v>
      </c>
      <c r="AA132" s="9">
        <v>0</v>
      </c>
      <c r="AB132" s="9">
        <v>4</v>
      </c>
      <c r="AC132" s="9">
        <v>0</v>
      </c>
      <c r="AD132" s="9">
        <v>2</v>
      </c>
      <c r="AE132" s="9">
        <v>4</v>
      </c>
      <c r="AF132" s="23">
        <v>1</v>
      </c>
      <c r="AG132" s="23">
        <v>2</v>
      </c>
      <c r="AH132" s="23">
        <v>3</v>
      </c>
      <c r="AI132" s="23">
        <v>3</v>
      </c>
      <c r="AL132" s="20"/>
    </row>
    <row r="133" spans="1:38" ht="15.75" customHeight="1" x14ac:dyDescent="0.2">
      <c r="A133" s="6" t="s">
        <v>674</v>
      </c>
      <c r="B133" s="6">
        <v>1934</v>
      </c>
      <c r="C133" s="6" t="s">
        <v>392</v>
      </c>
      <c r="D133" s="6" t="s">
        <v>392</v>
      </c>
      <c r="E133" s="43">
        <v>3.91</v>
      </c>
      <c r="F133" s="43">
        <v>36380</v>
      </c>
      <c r="G133" s="43">
        <v>271</v>
      </c>
      <c r="H133" s="20">
        <v>305802</v>
      </c>
      <c r="I133" s="270">
        <v>60908</v>
      </c>
      <c r="J133" s="20">
        <v>4282</v>
      </c>
      <c r="K133" s="20">
        <v>5313</v>
      </c>
      <c r="L133" s="20">
        <v>76329</v>
      </c>
      <c r="M133" s="20">
        <v>1.25</v>
      </c>
      <c r="N133" s="20">
        <v>11.5</v>
      </c>
      <c r="O133" s="20">
        <v>7.0000000000000007E-2</v>
      </c>
      <c r="P133" s="20">
        <v>2879</v>
      </c>
      <c r="Q133" s="20">
        <v>1.94</v>
      </c>
      <c r="R133" s="21">
        <v>0.28000000000000003</v>
      </c>
      <c r="S133" s="22">
        <v>0.2</v>
      </c>
      <c r="T133" s="23">
        <v>2</v>
      </c>
      <c r="U133" s="23">
        <v>3</v>
      </c>
      <c r="V133" s="23">
        <v>4</v>
      </c>
      <c r="W133" s="23">
        <v>1</v>
      </c>
      <c r="X133" s="23">
        <v>4</v>
      </c>
      <c r="Y133" s="23">
        <v>2</v>
      </c>
      <c r="Z133" s="23">
        <v>3</v>
      </c>
      <c r="AA133" s="9">
        <v>1</v>
      </c>
      <c r="AB133" s="9">
        <v>4</v>
      </c>
      <c r="AC133" s="9">
        <v>1</v>
      </c>
      <c r="AD133" s="9">
        <v>2</v>
      </c>
      <c r="AE133" s="9">
        <v>2</v>
      </c>
      <c r="AF133" s="23">
        <v>1</v>
      </c>
      <c r="AG133" s="23">
        <v>2</v>
      </c>
      <c r="AH133" s="23">
        <v>1</v>
      </c>
      <c r="AI133" s="23">
        <v>2</v>
      </c>
      <c r="AL133" s="20"/>
    </row>
    <row r="134" spans="1:38" ht="15.75" customHeight="1" x14ac:dyDescent="0.2">
      <c r="A134" s="6" t="s">
        <v>675</v>
      </c>
      <c r="B134" s="6">
        <v>1974</v>
      </c>
      <c r="C134" s="6" t="s">
        <v>452</v>
      </c>
      <c r="D134" s="6" t="s">
        <v>452</v>
      </c>
      <c r="E134" s="43">
        <v>3.69</v>
      </c>
      <c r="F134" s="43">
        <v>4194</v>
      </c>
      <c r="G134" s="43">
        <v>261</v>
      </c>
      <c r="H134" s="20">
        <v>529639</v>
      </c>
      <c r="I134" s="270">
        <v>97695</v>
      </c>
      <c r="J134" s="20">
        <v>9604</v>
      </c>
      <c r="K134" s="20">
        <v>8488</v>
      </c>
      <c r="L134" s="20">
        <v>122016</v>
      </c>
      <c r="M134" s="20">
        <v>1.25</v>
      </c>
      <c r="N134" s="20">
        <v>11.5</v>
      </c>
      <c r="O134" s="20">
        <v>0.1</v>
      </c>
      <c r="P134" s="20">
        <v>6876</v>
      </c>
      <c r="Q134" s="20">
        <v>1.61</v>
      </c>
      <c r="R134" s="21">
        <v>0.24</v>
      </c>
      <c r="S134" s="22">
        <v>0.15</v>
      </c>
      <c r="T134" s="23">
        <v>2</v>
      </c>
      <c r="U134" s="23">
        <v>3</v>
      </c>
      <c r="V134" s="23">
        <v>4</v>
      </c>
      <c r="W134" s="23">
        <v>1</v>
      </c>
      <c r="X134" s="23">
        <v>4</v>
      </c>
      <c r="Y134" s="23">
        <v>3</v>
      </c>
      <c r="Z134" s="23">
        <v>2</v>
      </c>
      <c r="AA134" s="9">
        <v>1</v>
      </c>
      <c r="AB134" s="9">
        <v>2</v>
      </c>
      <c r="AC134" s="9">
        <v>3</v>
      </c>
      <c r="AD134" s="9">
        <v>2</v>
      </c>
      <c r="AE134" s="9">
        <v>4</v>
      </c>
      <c r="AF134" s="23">
        <v>1</v>
      </c>
      <c r="AG134" s="23">
        <v>2</v>
      </c>
      <c r="AH134" s="23">
        <v>4</v>
      </c>
      <c r="AI134" s="23">
        <v>3</v>
      </c>
      <c r="AL134" s="20"/>
    </row>
    <row r="135" spans="1:38" ht="15.75" customHeight="1" x14ac:dyDescent="0.2">
      <c r="A135" s="6" t="s">
        <v>676</v>
      </c>
      <c r="B135" s="6">
        <v>1968</v>
      </c>
      <c r="C135" s="6" t="s">
        <v>534</v>
      </c>
      <c r="D135" s="6" t="s">
        <v>534</v>
      </c>
      <c r="E135" s="43">
        <v>4.01</v>
      </c>
      <c r="F135" s="43">
        <v>332183</v>
      </c>
      <c r="G135" s="43">
        <v>261</v>
      </c>
      <c r="H135" s="20">
        <v>364881</v>
      </c>
      <c r="I135" s="270">
        <v>70505</v>
      </c>
      <c r="J135" s="20">
        <v>5780</v>
      </c>
      <c r="K135" s="20">
        <v>3544</v>
      </c>
      <c r="L135" s="20">
        <v>87043</v>
      </c>
      <c r="M135" s="20">
        <v>1.23</v>
      </c>
      <c r="N135" s="20">
        <v>19.899999999999999</v>
      </c>
      <c r="O135" s="20">
        <v>0.08</v>
      </c>
      <c r="P135" s="20">
        <v>4067</v>
      </c>
      <c r="Q135" s="20">
        <v>2.0499999999999998</v>
      </c>
      <c r="R135" s="21">
        <v>0.34</v>
      </c>
      <c r="S135" s="22">
        <v>0.24</v>
      </c>
      <c r="T135" s="23">
        <v>2</v>
      </c>
      <c r="U135" s="23">
        <v>3</v>
      </c>
      <c r="V135" s="23">
        <v>3</v>
      </c>
      <c r="W135" s="23">
        <v>2</v>
      </c>
      <c r="X135" s="23">
        <v>3</v>
      </c>
      <c r="Y135" s="23">
        <v>4</v>
      </c>
      <c r="Z135" s="23">
        <v>4</v>
      </c>
      <c r="AA135" s="9">
        <v>0</v>
      </c>
      <c r="AB135" s="9">
        <v>1</v>
      </c>
      <c r="AC135" s="9">
        <v>0</v>
      </c>
      <c r="AD135" s="9">
        <v>1</v>
      </c>
      <c r="AE135" s="9">
        <v>2</v>
      </c>
      <c r="AF135" s="23">
        <v>1</v>
      </c>
      <c r="AG135" s="23">
        <v>2</v>
      </c>
      <c r="AH135" s="23">
        <v>3</v>
      </c>
      <c r="AI135" s="23">
        <v>3</v>
      </c>
      <c r="AL135" s="20"/>
    </row>
    <row r="136" spans="1:38" ht="15.75" customHeight="1" x14ac:dyDescent="0.2">
      <c r="A136" s="6" t="s">
        <v>677</v>
      </c>
      <c r="B136" s="6">
        <v>1924</v>
      </c>
      <c r="C136" s="6" t="s">
        <v>399</v>
      </c>
      <c r="D136" s="6" t="s">
        <v>399</v>
      </c>
      <c r="E136" s="43">
        <v>3.63</v>
      </c>
      <c r="F136" s="43">
        <v>352</v>
      </c>
      <c r="G136" s="43">
        <v>251</v>
      </c>
      <c r="H136" s="20">
        <v>101640</v>
      </c>
      <c r="I136" s="270">
        <v>18537</v>
      </c>
      <c r="J136" s="20">
        <v>3649</v>
      </c>
      <c r="K136" s="20">
        <v>1131</v>
      </c>
      <c r="L136" s="20">
        <v>23795</v>
      </c>
      <c r="M136" s="20">
        <v>1.28</v>
      </c>
      <c r="N136" s="20">
        <v>16.399999999999999</v>
      </c>
      <c r="O136" s="20">
        <v>0.2</v>
      </c>
      <c r="P136" s="20">
        <v>2722</v>
      </c>
      <c r="Q136" s="20">
        <v>2.2200000000000002</v>
      </c>
      <c r="R136" s="21">
        <v>0.27</v>
      </c>
      <c r="S136" s="22">
        <v>0.18</v>
      </c>
      <c r="T136" s="23">
        <v>2</v>
      </c>
      <c r="U136" s="23">
        <v>3</v>
      </c>
      <c r="V136" s="23">
        <v>4</v>
      </c>
      <c r="W136" s="23">
        <v>2</v>
      </c>
      <c r="X136" s="23">
        <v>3</v>
      </c>
      <c r="Y136" s="23">
        <v>2</v>
      </c>
      <c r="Z136" s="23">
        <v>4</v>
      </c>
      <c r="AA136" s="9">
        <v>1</v>
      </c>
      <c r="AB136" s="9">
        <v>1</v>
      </c>
      <c r="AC136" s="9">
        <v>2</v>
      </c>
      <c r="AD136" s="9">
        <v>2</v>
      </c>
      <c r="AE136" s="9">
        <v>3</v>
      </c>
      <c r="AF136" s="23">
        <v>1</v>
      </c>
      <c r="AG136" s="23">
        <v>2</v>
      </c>
      <c r="AH136" s="23">
        <v>4</v>
      </c>
      <c r="AI136" s="23">
        <v>3</v>
      </c>
      <c r="AL136" s="20"/>
    </row>
    <row r="137" spans="1:38" ht="15.75" customHeight="1" x14ac:dyDescent="0.2">
      <c r="A137" s="6" t="s">
        <v>678</v>
      </c>
      <c r="B137" s="6">
        <v>1941</v>
      </c>
      <c r="C137" s="6" t="s">
        <v>540</v>
      </c>
      <c r="D137" s="6" t="s">
        <v>540</v>
      </c>
      <c r="E137" s="43">
        <v>3.74</v>
      </c>
      <c r="F137" s="43">
        <v>7467</v>
      </c>
      <c r="G137" s="43">
        <v>248</v>
      </c>
      <c r="H137" s="20">
        <v>156087</v>
      </c>
      <c r="I137" s="270">
        <v>30967</v>
      </c>
      <c r="J137" s="20">
        <v>3405</v>
      </c>
      <c r="K137" s="20">
        <v>2411</v>
      </c>
      <c r="L137" s="20">
        <v>36880</v>
      </c>
      <c r="M137" s="20">
        <v>1.19</v>
      </c>
      <c r="N137" s="20">
        <v>12.8</v>
      </c>
      <c r="O137" s="20">
        <v>0.11</v>
      </c>
      <c r="P137" s="20">
        <v>2534</v>
      </c>
      <c r="Q137" s="20">
        <v>1.91</v>
      </c>
      <c r="R137" s="21">
        <v>0.27</v>
      </c>
      <c r="S137" s="22">
        <v>0.17</v>
      </c>
      <c r="T137" s="23">
        <v>2</v>
      </c>
      <c r="U137" s="23">
        <v>3</v>
      </c>
      <c r="V137" s="23">
        <v>4</v>
      </c>
      <c r="W137" s="23">
        <v>2</v>
      </c>
      <c r="X137" s="23">
        <v>4</v>
      </c>
      <c r="Y137" s="23">
        <v>1</v>
      </c>
      <c r="Z137" s="23">
        <v>3</v>
      </c>
      <c r="AA137" s="9">
        <v>1</v>
      </c>
      <c r="AB137" s="9">
        <v>2</v>
      </c>
      <c r="AC137" s="9">
        <v>3</v>
      </c>
      <c r="AD137" s="9">
        <v>2</v>
      </c>
      <c r="AE137" s="9">
        <v>2</v>
      </c>
      <c r="AF137" s="23">
        <v>1</v>
      </c>
      <c r="AG137" s="23">
        <v>2</v>
      </c>
      <c r="AH137" s="23">
        <v>4</v>
      </c>
      <c r="AI137" s="23">
        <v>3</v>
      </c>
      <c r="AL137" s="20"/>
    </row>
    <row r="138" spans="1:38" ht="15.75" customHeight="1" x14ac:dyDescent="0.2">
      <c r="A138" s="6" t="s">
        <v>679</v>
      </c>
      <c r="B138" s="6">
        <v>1979</v>
      </c>
      <c r="C138" s="6" t="s">
        <v>500</v>
      </c>
      <c r="D138" s="6" t="s">
        <v>500</v>
      </c>
      <c r="E138" s="43">
        <v>4.08</v>
      </c>
      <c r="F138" s="43">
        <v>201510</v>
      </c>
      <c r="G138" s="43">
        <v>244</v>
      </c>
      <c r="H138" s="20">
        <v>464661</v>
      </c>
      <c r="I138" s="270">
        <v>86322</v>
      </c>
      <c r="J138" s="20">
        <v>7930</v>
      </c>
      <c r="K138" s="20">
        <v>8470</v>
      </c>
      <c r="L138" s="20">
        <v>112831</v>
      </c>
      <c r="M138" s="20">
        <v>1.31</v>
      </c>
      <c r="N138" s="20">
        <v>10.199999999999999</v>
      </c>
      <c r="O138" s="20">
        <v>0.09</v>
      </c>
      <c r="P138" s="20">
        <v>5555</v>
      </c>
      <c r="Q138" s="20">
        <v>1.59</v>
      </c>
      <c r="R138" s="21">
        <v>0.26</v>
      </c>
      <c r="S138" s="22">
        <v>0.16</v>
      </c>
      <c r="T138" s="23">
        <v>3</v>
      </c>
      <c r="U138" s="23">
        <v>4</v>
      </c>
      <c r="V138" s="23">
        <v>4</v>
      </c>
      <c r="W138" s="23">
        <v>3</v>
      </c>
      <c r="X138" s="23">
        <v>4</v>
      </c>
      <c r="Y138" s="23">
        <v>2</v>
      </c>
      <c r="Z138" s="23">
        <v>3</v>
      </c>
      <c r="AA138" s="9">
        <v>1</v>
      </c>
      <c r="AB138" s="9">
        <v>2</v>
      </c>
      <c r="AC138" s="9">
        <v>1</v>
      </c>
      <c r="AD138" s="9">
        <v>3</v>
      </c>
      <c r="AE138" s="9">
        <v>4</v>
      </c>
      <c r="AF138" s="23">
        <v>2</v>
      </c>
      <c r="AG138" s="23">
        <v>3</v>
      </c>
      <c r="AH138" s="23">
        <v>1</v>
      </c>
      <c r="AI138" s="23">
        <v>4</v>
      </c>
      <c r="AL138" s="20"/>
    </row>
    <row r="139" spans="1:38" ht="15.75" customHeight="1" x14ac:dyDescent="0.2">
      <c r="A139" s="6" t="s">
        <v>680</v>
      </c>
      <c r="B139" s="6">
        <v>1985</v>
      </c>
      <c r="C139" s="6" t="s">
        <v>493</v>
      </c>
      <c r="D139" s="6" t="s">
        <v>493</v>
      </c>
      <c r="E139" s="43">
        <v>3.76</v>
      </c>
      <c r="F139" s="43">
        <v>21698</v>
      </c>
      <c r="G139" s="43">
        <v>243</v>
      </c>
      <c r="H139" s="20">
        <v>611127</v>
      </c>
      <c r="I139" s="270">
        <v>116068</v>
      </c>
      <c r="J139" s="20">
        <v>8553</v>
      </c>
      <c r="K139" s="20">
        <v>7677</v>
      </c>
      <c r="L139" s="20">
        <v>139359</v>
      </c>
      <c r="M139" s="20">
        <v>1.2</v>
      </c>
      <c r="N139" s="20">
        <v>15.1</v>
      </c>
      <c r="O139" s="20">
        <v>7.0000000000000007E-2</v>
      </c>
      <c r="P139" s="20">
        <v>5721</v>
      </c>
      <c r="Q139" s="20">
        <v>2</v>
      </c>
      <c r="R139" s="21">
        <v>0.3</v>
      </c>
      <c r="S139" s="22">
        <v>0.18</v>
      </c>
      <c r="T139" s="23">
        <v>2</v>
      </c>
      <c r="U139" s="23">
        <v>3</v>
      </c>
      <c r="V139" s="23">
        <v>4</v>
      </c>
      <c r="W139" s="23">
        <v>2</v>
      </c>
      <c r="X139" s="23">
        <v>4</v>
      </c>
      <c r="Y139" s="23">
        <v>1</v>
      </c>
      <c r="Z139" s="23">
        <v>3</v>
      </c>
      <c r="AA139" s="9">
        <v>0</v>
      </c>
      <c r="AB139" s="9">
        <v>3</v>
      </c>
      <c r="AC139" s="9">
        <v>1</v>
      </c>
      <c r="AD139" s="9">
        <v>0</v>
      </c>
      <c r="AE139" s="9">
        <v>4</v>
      </c>
      <c r="AF139" s="23">
        <v>1</v>
      </c>
      <c r="AG139" s="23">
        <v>2</v>
      </c>
      <c r="AH139" s="23">
        <v>0</v>
      </c>
      <c r="AI139" s="23">
        <v>3</v>
      </c>
      <c r="AL139" s="20"/>
    </row>
    <row r="140" spans="1:38" ht="15.75" customHeight="1" x14ac:dyDescent="0.2">
      <c r="A140" s="6" t="s">
        <v>681</v>
      </c>
      <c r="B140" s="6">
        <v>1974</v>
      </c>
      <c r="C140" s="6" t="s">
        <v>466</v>
      </c>
      <c r="D140" s="6" t="s">
        <v>466</v>
      </c>
      <c r="E140" s="43">
        <v>3.58</v>
      </c>
      <c r="F140" s="43">
        <v>885</v>
      </c>
      <c r="G140" s="43">
        <v>239</v>
      </c>
      <c r="H140" s="20">
        <v>222564</v>
      </c>
      <c r="I140" s="270">
        <v>41148</v>
      </c>
      <c r="J140" s="20">
        <v>5360</v>
      </c>
      <c r="K140" s="20">
        <v>2532</v>
      </c>
      <c r="L140" s="20">
        <v>51737</v>
      </c>
      <c r="M140" s="20">
        <v>1.26</v>
      </c>
      <c r="N140" s="20">
        <v>16.3</v>
      </c>
      <c r="O140" s="20">
        <v>0.13</v>
      </c>
      <c r="P140" s="20">
        <v>3954</v>
      </c>
      <c r="Q140" s="20">
        <v>2.09</v>
      </c>
      <c r="R140" s="21">
        <v>0.25</v>
      </c>
      <c r="S140" s="22">
        <v>0.15</v>
      </c>
      <c r="T140" s="23">
        <v>2</v>
      </c>
      <c r="U140" s="23">
        <v>3</v>
      </c>
      <c r="V140" s="23">
        <v>3</v>
      </c>
      <c r="W140" s="23">
        <v>1</v>
      </c>
      <c r="X140" s="23">
        <v>4</v>
      </c>
      <c r="Y140" s="23">
        <v>2</v>
      </c>
      <c r="Z140" s="23">
        <v>3</v>
      </c>
      <c r="AA140" s="9">
        <v>1</v>
      </c>
      <c r="AB140" s="9">
        <v>2</v>
      </c>
      <c r="AC140" s="9">
        <v>0</v>
      </c>
      <c r="AD140" s="9">
        <v>3</v>
      </c>
      <c r="AE140" s="9">
        <v>4</v>
      </c>
      <c r="AF140" s="23">
        <v>1</v>
      </c>
      <c r="AG140" s="23">
        <v>2</v>
      </c>
      <c r="AH140" s="23">
        <v>2</v>
      </c>
      <c r="AI140" s="23">
        <v>3</v>
      </c>
      <c r="AL140" s="20"/>
    </row>
    <row r="141" spans="1:38" ht="15.75" customHeight="1" x14ac:dyDescent="0.2">
      <c r="A141" s="6" t="s">
        <v>682</v>
      </c>
      <c r="B141" s="6">
        <v>1996</v>
      </c>
      <c r="C141" s="6" t="s">
        <v>357</v>
      </c>
      <c r="D141" s="6" t="s">
        <v>357</v>
      </c>
      <c r="E141" s="43">
        <v>3.98</v>
      </c>
      <c r="F141" s="43">
        <v>90843</v>
      </c>
      <c r="G141" s="43">
        <v>233</v>
      </c>
      <c r="H141" s="20">
        <v>613389</v>
      </c>
      <c r="I141" s="270">
        <v>116748</v>
      </c>
      <c r="J141" s="20">
        <v>7844</v>
      </c>
      <c r="K141" s="20">
        <v>11268</v>
      </c>
      <c r="L141" s="20">
        <v>146279</v>
      </c>
      <c r="M141" s="20">
        <v>1.25</v>
      </c>
      <c r="N141" s="20">
        <v>10.4</v>
      </c>
      <c r="O141" s="20">
        <v>7.0000000000000007E-2</v>
      </c>
      <c r="P141" s="20">
        <v>5298</v>
      </c>
      <c r="Q141" s="20">
        <v>1.71</v>
      </c>
      <c r="R141" s="21">
        <v>0.28000000000000003</v>
      </c>
      <c r="S141" s="22">
        <v>0.17</v>
      </c>
      <c r="T141" s="23">
        <v>3</v>
      </c>
      <c r="U141" s="23">
        <v>4</v>
      </c>
      <c r="V141" s="23">
        <v>4</v>
      </c>
      <c r="W141" s="23">
        <v>3</v>
      </c>
      <c r="X141" s="23">
        <v>4</v>
      </c>
      <c r="Y141" s="23">
        <v>2</v>
      </c>
      <c r="Z141" s="23">
        <v>3</v>
      </c>
      <c r="AA141" s="9">
        <v>1</v>
      </c>
      <c r="AB141" s="9">
        <v>2</v>
      </c>
      <c r="AC141" s="9">
        <v>1</v>
      </c>
      <c r="AD141" s="9">
        <v>2</v>
      </c>
      <c r="AE141" s="9">
        <v>4</v>
      </c>
      <c r="AF141" s="23">
        <v>1</v>
      </c>
      <c r="AG141" s="23">
        <v>3</v>
      </c>
      <c r="AH141" s="23">
        <v>2</v>
      </c>
      <c r="AI141" s="23">
        <v>4</v>
      </c>
      <c r="AL141" s="20"/>
    </row>
    <row r="142" spans="1:38" ht="15.75" customHeight="1" x14ac:dyDescent="0.2">
      <c r="A142" s="6" t="s">
        <v>683</v>
      </c>
      <c r="B142" s="6">
        <v>1853</v>
      </c>
      <c r="C142" s="6" t="s">
        <v>402</v>
      </c>
      <c r="D142" s="6" t="s">
        <v>402</v>
      </c>
      <c r="E142" s="43">
        <v>3.84</v>
      </c>
      <c r="F142" s="43">
        <v>45376</v>
      </c>
      <c r="G142" s="43">
        <v>225</v>
      </c>
      <c r="H142" s="20">
        <v>594334</v>
      </c>
      <c r="I142" s="270">
        <v>112973</v>
      </c>
      <c r="J142" s="20">
        <v>8142</v>
      </c>
      <c r="K142" s="20">
        <v>4608</v>
      </c>
      <c r="L142" s="20">
        <v>139046</v>
      </c>
      <c r="M142" s="20">
        <v>1.23</v>
      </c>
      <c r="N142" s="20">
        <v>24.5</v>
      </c>
      <c r="O142" s="20">
        <v>7.0000000000000007E-2</v>
      </c>
      <c r="P142" s="20">
        <v>5687</v>
      </c>
      <c r="Q142" s="20">
        <v>2.83</v>
      </c>
      <c r="R142" s="21">
        <v>0.32</v>
      </c>
      <c r="S142" s="22">
        <v>0.26</v>
      </c>
      <c r="T142" s="23">
        <v>1</v>
      </c>
      <c r="U142" s="23">
        <v>3</v>
      </c>
      <c r="V142" s="23">
        <v>3</v>
      </c>
      <c r="W142" s="23">
        <v>1</v>
      </c>
      <c r="X142" s="23">
        <v>4</v>
      </c>
      <c r="Y142" s="23">
        <v>2</v>
      </c>
      <c r="Z142" s="23">
        <v>3</v>
      </c>
      <c r="AA142" s="9">
        <v>1</v>
      </c>
      <c r="AB142" s="9">
        <v>0</v>
      </c>
      <c r="AC142" s="9">
        <v>3</v>
      </c>
      <c r="AD142" s="9">
        <v>0</v>
      </c>
      <c r="AE142" s="9">
        <v>2</v>
      </c>
      <c r="AF142" s="23">
        <v>1</v>
      </c>
      <c r="AG142" s="23">
        <v>2</v>
      </c>
      <c r="AH142" s="23">
        <v>4</v>
      </c>
      <c r="AI142" s="23">
        <v>3</v>
      </c>
      <c r="AL142" s="20"/>
    </row>
    <row r="143" spans="1:38" ht="15.75" customHeight="1" x14ac:dyDescent="0.2">
      <c r="A143" s="6" t="s">
        <v>684</v>
      </c>
      <c r="B143" s="6">
        <v>2012</v>
      </c>
      <c r="C143" s="6" t="s">
        <v>369</v>
      </c>
      <c r="D143" s="6" t="s">
        <v>369</v>
      </c>
      <c r="E143" s="43">
        <v>4.13</v>
      </c>
      <c r="F143" s="43">
        <v>42536</v>
      </c>
      <c r="G143" s="43">
        <v>216</v>
      </c>
      <c r="H143" s="20">
        <v>98726</v>
      </c>
      <c r="I143" s="270">
        <v>18415</v>
      </c>
      <c r="J143" s="20">
        <v>2832</v>
      </c>
      <c r="K143" s="20">
        <v>2228</v>
      </c>
      <c r="L143" s="20">
        <v>24040</v>
      </c>
      <c r="M143" s="20">
        <v>1.31</v>
      </c>
      <c r="N143" s="20">
        <v>8.3000000000000007</v>
      </c>
      <c r="O143" s="20">
        <v>0.15</v>
      </c>
      <c r="P143" s="20">
        <v>1948</v>
      </c>
      <c r="Q143" s="20">
        <v>1.67</v>
      </c>
      <c r="R143" s="21">
        <v>0.26</v>
      </c>
      <c r="S143" s="22">
        <v>0.18</v>
      </c>
      <c r="T143" s="23">
        <v>2</v>
      </c>
      <c r="U143" s="23">
        <v>3</v>
      </c>
      <c r="V143" s="23">
        <v>4</v>
      </c>
      <c r="W143" s="23">
        <v>2</v>
      </c>
      <c r="X143" s="23">
        <v>4</v>
      </c>
      <c r="Y143" s="23">
        <v>1</v>
      </c>
      <c r="Z143" s="23">
        <v>3</v>
      </c>
      <c r="AA143" s="9">
        <v>0</v>
      </c>
      <c r="AB143" s="9">
        <v>4</v>
      </c>
      <c r="AC143" s="9">
        <v>1</v>
      </c>
      <c r="AD143" s="9">
        <v>0</v>
      </c>
      <c r="AE143" s="9">
        <v>2</v>
      </c>
      <c r="AF143" s="23">
        <v>1</v>
      </c>
      <c r="AG143" s="23">
        <v>2</v>
      </c>
      <c r="AH143" s="23">
        <v>1</v>
      </c>
      <c r="AI143" s="23">
        <v>3</v>
      </c>
      <c r="AL143" s="20"/>
    </row>
    <row r="144" spans="1:38" ht="15.75" customHeight="1" x14ac:dyDescent="0.2">
      <c r="A144" s="6" t="s">
        <v>685</v>
      </c>
      <c r="B144" s="6">
        <v>1981</v>
      </c>
      <c r="C144" s="6" t="s">
        <v>425</v>
      </c>
      <c r="D144" s="6" t="s">
        <v>425</v>
      </c>
      <c r="E144" s="43">
        <v>3.4</v>
      </c>
      <c r="F144" s="43">
        <v>19257</v>
      </c>
      <c r="G144" s="43">
        <v>213</v>
      </c>
      <c r="H144" s="20">
        <v>201731</v>
      </c>
      <c r="I144" s="270">
        <v>36238</v>
      </c>
      <c r="J144" s="20">
        <v>4853</v>
      </c>
      <c r="K144" s="20">
        <v>2331</v>
      </c>
      <c r="L144" s="20">
        <v>44195</v>
      </c>
      <c r="M144" s="20">
        <v>1.22</v>
      </c>
      <c r="N144" s="20">
        <v>15.5</v>
      </c>
      <c r="O144" s="20">
        <v>0.13</v>
      </c>
      <c r="P144" s="20">
        <v>3626</v>
      </c>
      <c r="Q144" s="20">
        <v>1.83</v>
      </c>
      <c r="R144" s="21">
        <v>0.28999999999999998</v>
      </c>
      <c r="S144" s="22">
        <v>0.21</v>
      </c>
      <c r="T144" s="23">
        <v>2</v>
      </c>
      <c r="U144" s="23">
        <v>3</v>
      </c>
      <c r="V144" s="23">
        <v>4</v>
      </c>
      <c r="W144" s="23">
        <v>1</v>
      </c>
      <c r="X144" s="23">
        <v>4</v>
      </c>
      <c r="Y144" s="23">
        <v>2</v>
      </c>
      <c r="Z144" s="23">
        <v>3</v>
      </c>
      <c r="AA144" s="9">
        <v>0</v>
      </c>
      <c r="AB144" s="9">
        <v>2</v>
      </c>
      <c r="AC144" s="9">
        <v>1</v>
      </c>
      <c r="AD144" s="9">
        <v>2</v>
      </c>
      <c r="AE144" s="9">
        <v>4</v>
      </c>
      <c r="AF144" s="23">
        <v>0</v>
      </c>
      <c r="AG144" s="23">
        <v>1</v>
      </c>
      <c r="AH144" s="23">
        <v>3</v>
      </c>
      <c r="AI144" s="23">
        <v>3</v>
      </c>
      <c r="AL144" s="20"/>
    </row>
    <row r="145" spans="1:54" ht="15.75" customHeight="1" x14ac:dyDescent="0.2">
      <c r="A145" s="6" t="s">
        <v>686</v>
      </c>
      <c r="B145" s="6">
        <v>1934</v>
      </c>
      <c r="C145" s="6" t="s">
        <v>455</v>
      </c>
      <c r="D145" s="6" t="s">
        <v>455</v>
      </c>
      <c r="E145" s="43">
        <v>3.81</v>
      </c>
      <c r="F145" s="43">
        <v>15742</v>
      </c>
      <c r="G145" s="43">
        <v>209</v>
      </c>
      <c r="H145" s="20">
        <v>438154</v>
      </c>
      <c r="I145" s="270">
        <v>85917</v>
      </c>
      <c r="J145" s="20">
        <v>6304</v>
      </c>
      <c r="K145" s="20">
        <v>6938</v>
      </c>
      <c r="L145" s="20">
        <v>103526</v>
      </c>
      <c r="M145" s="20">
        <v>1.2</v>
      </c>
      <c r="N145" s="20">
        <v>12.4</v>
      </c>
      <c r="O145" s="20">
        <v>7.0000000000000007E-2</v>
      </c>
      <c r="P145" s="20">
        <v>4095</v>
      </c>
      <c r="Q145" s="20">
        <v>1.8</v>
      </c>
      <c r="R145" s="21">
        <v>0.27</v>
      </c>
      <c r="S145" s="22">
        <v>0.11</v>
      </c>
      <c r="T145" s="23">
        <v>2</v>
      </c>
      <c r="U145" s="23">
        <v>3</v>
      </c>
      <c r="V145" s="23">
        <v>4</v>
      </c>
      <c r="W145" s="23">
        <v>1</v>
      </c>
      <c r="X145" s="23">
        <v>4</v>
      </c>
      <c r="Y145" s="23">
        <v>3</v>
      </c>
      <c r="Z145" s="23">
        <v>2</v>
      </c>
      <c r="AA145" s="9">
        <v>0</v>
      </c>
      <c r="AB145" s="9">
        <v>1</v>
      </c>
      <c r="AC145" s="9">
        <v>1</v>
      </c>
      <c r="AD145" s="9">
        <v>2</v>
      </c>
      <c r="AE145" s="9">
        <v>4</v>
      </c>
      <c r="AF145" s="23">
        <v>1</v>
      </c>
      <c r="AG145" s="23">
        <v>2</v>
      </c>
      <c r="AH145" s="23">
        <v>1</v>
      </c>
      <c r="AI145" s="23">
        <v>2</v>
      </c>
      <c r="AL145" s="20"/>
    </row>
    <row r="146" spans="1:54" ht="15.75" customHeight="1" x14ac:dyDescent="0.2">
      <c r="A146" s="282" t="s">
        <v>24</v>
      </c>
      <c r="B146" s="282">
        <v>1949</v>
      </c>
      <c r="C146" s="282" t="s">
        <v>25</v>
      </c>
      <c r="D146" s="282" t="s">
        <v>25</v>
      </c>
      <c r="E146" s="283">
        <v>3.88</v>
      </c>
      <c r="F146" s="283">
        <v>11368</v>
      </c>
      <c r="G146" s="283">
        <v>209</v>
      </c>
      <c r="H146" s="284">
        <v>87170</v>
      </c>
      <c r="I146" s="284">
        <v>16571</v>
      </c>
      <c r="J146" s="284">
        <v>2602</v>
      </c>
      <c r="K146" s="284">
        <v>1191</v>
      </c>
      <c r="L146" s="284">
        <v>20683</v>
      </c>
      <c r="M146" s="284">
        <v>1.25</v>
      </c>
      <c r="N146" s="284">
        <v>13.9</v>
      </c>
      <c r="O146" s="284">
        <v>0.16</v>
      </c>
      <c r="P146" s="284">
        <v>1884</v>
      </c>
      <c r="Q146" s="284">
        <v>1.78</v>
      </c>
      <c r="R146" s="285">
        <v>0.28000000000000003</v>
      </c>
      <c r="S146" s="286">
        <v>0.17</v>
      </c>
      <c r="T146" s="287">
        <v>3</v>
      </c>
      <c r="U146" s="287">
        <v>4</v>
      </c>
      <c r="V146" s="287">
        <v>4</v>
      </c>
      <c r="W146" s="287">
        <v>3</v>
      </c>
      <c r="X146" s="287">
        <v>2</v>
      </c>
      <c r="Y146" s="287">
        <v>4</v>
      </c>
      <c r="Z146" s="287">
        <v>3</v>
      </c>
      <c r="AA146" s="288">
        <v>3</v>
      </c>
      <c r="AB146" s="288">
        <v>1</v>
      </c>
      <c r="AC146" s="288">
        <v>0</v>
      </c>
      <c r="AD146" s="288">
        <v>2</v>
      </c>
      <c r="AE146" s="288">
        <v>0</v>
      </c>
      <c r="AF146" s="287">
        <v>2</v>
      </c>
      <c r="AG146" s="287">
        <v>3</v>
      </c>
      <c r="AH146" s="287">
        <v>0</v>
      </c>
      <c r="AI146" s="287">
        <v>4</v>
      </c>
      <c r="AJ146" s="282"/>
      <c r="AK146" s="282"/>
      <c r="AL146" s="284"/>
      <c r="AM146" s="282"/>
      <c r="AN146" s="282"/>
      <c r="AO146" s="282"/>
      <c r="AP146" s="282"/>
      <c r="AQ146" s="282"/>
      <c r="AR146" s="282"/>
      <c r="AS146" s="282"/>
      <c r="AT146" s="282"/>
      <c r="AU146" s="282"/>
      <c r="AV146" s="282"/>
      <c r="AW146" s="282"/>
      <c r="AX146" s="282"/>
      <c r="AY146" s="282"/>
      <c r="AZ146" s="282"/>
      <c r="BA146" s="282"/>
      <c r="BB146" s="282"/>
    </row>
    <row r="147" spans="1:54" ht="15.75" customHeight="1" x14ac:dyDescent="0.2">
      <c r="A147" s="6" t="s">
        <v>687</v>
      </c>
      <c r="B147" s="6">
        <v>1961</v>
      </c>
      <c r="C147" s="6" t="s">
        <v>10</v>
      </c>
      <c r="D147" s="6" t="s">
        <v>10</v>
      </c>
      <c r="E147" s="43">
        <v>3.8</v>
      </c>
      <c r="F147" s="43">
        <v>45293</v>
      </c>
      <c r="G147" s="43">
        <v>208</v>
      </c>
      <c r="H147" s="20">
        <v>264265</v>
      </c>
      <c r="I147" s="270">
        <v>51769</v>
      </c>
      <c r="J147" s="20">
        <v>4344</v>
      </c>
      <c r="K147" s="20">
        <v>4697</v>
      </c>
      <c r="L147" s="20">
        <v>64407</v>
      </c>
      <c r="M147" s="20">
        <v>1.24</v>
      </c>
      <c r="N147" s="20">
        <v>11</v>
      </c>
      <c r="O147" s="20">
        <v>0.08</v>
      </c>
      <c r="P147" s="20">
        <v>3010</v>
      </c>
      <c r="Q147" s="20">
        <v>1.72</v>
      </c>
      <c r="R147" s="21">
        <v>0.3</v>
      </c>
      <c r="S147" s="22">
        <v>0.17</v>
      </c>
      <c r="T147" s="23">
        <v>2</v>
      </c>
      <c r="U147" s="23">
        <v>3</v>
      </c>
      <c r="V147" s="23">
        <v>3</v>
      </c>
      <c r="W147" s="23">
        <v>2</v>
      </c>
      <c r="X147" s="23">
        <v>4</v>
      </c>
      <c r="Y147" s="23">
        <v>1</v>
      </c>
      <c r="Z147" s="23">
        <v>3</v>
      </c>
      <c r="AA147" s="9">
        <v>0</v>
      </c>
      <c r="AB147" s="9">
        <v>0</v>
      </c>
      <c r="AC147" s="9">
        <v>1</v>
      </c>
      <c r="AD147" s="9">
        <v>2</v>
      </c>
      <c r="AE147" s="9">
        <v>4</v>
      </c>
      <c r="AF147" s="23">
        <v>1</v>
      </c>
      <c r="AG147" s="23">
        <v>2</v>
      </c>
      <c r="AH147" s="23">
        <v>1</v>
      </c>
      <c r="AI147" s="23">
        <v>3</v>
      </c>
      <c r="AL147" s="20"/>
    </row>
    <row r="148" spans="1:54" ht="15.75" customHeight="1" x14ac:dyDescent="0.2">
      <c r="A148" s="6" t="s">
        <v>688</v>
      </c>
      <c r="B148" s="6">
        <v>1936</v>
      </c>
      <c r="C148" s="6" t="s">
        <v>418</v>
      </c>
      <c r="D148" s="6" t="s">
        <v>418</v>
      </c>
      <c r="E148" s="43">
        <v>3.88</v>
      </c>
      <c r="F148" s="43">
        <v>5501</v>
      </c>
      <c r="G148" s="43">
        <v>202</v>
      </c>
      <c r="H148" s="20">
        <v>148194</v>
      </c>
      <c r="I148" s="270">
        <v>25781</v>
      </c>
      <c r="J148" s="20">
        <v>4600</v>
      </c>
      <c r="K148" s="20">
        <v>1022</v>
      </c>
      <c r="L148" s="20">
        <v>31335</v>
      </c>
      <c r="M148" s="20">
        <v>1.22</v>
      </c>
      <c r="N148" s="20">
        <v>25.2</v>
      </c>
      <c r="O148" s="20">
        <v>0.18</v>
      </c>
      <c r="P148" s="20">
        <v>3363</v>
      </c>
      <c r="Q148" s="20">
        <v>2.0499999999999998</v>
      </c>
      <c r="R148" s="21">
        <v>0.36</v>
      </c>
      <c r="S148" s="22">
        <v>0.25</v>
      </c>
      <c r="T148" s="23">
        <v>3</v>
      </c>
      <c r="U148" s="23">
        <v>4</v>
      </c>
      <c r="V148" s="23">
        <v>4</v>
      </c>
      <c r="W148" s="23">
        <v>2</v>
      </c>
      <c r="X148" s="23">
        <v>3</v>
      </c>
      <c r="Y148" s="23">
        <v>1</v>
      </c>
      <c r="Z148" s="23">
        <v>4</v>
      </c>
      <c r="AA148" s="9">
        <v>0</v>
      </c>
      <c r="AB148" s="9">
        <v>3</v>
      </c>
      <c r="AC148" s="9">
        <v>0</v>
      </c>
      <c r="AD148" s="9">
        <v>0</v>
      </c>
      <c r="AE148" s="9">
        <v>2</v>
      </c>
      <c r="AF148" s="23">
        <v>1</v>
      </c>
      <c r="AG148" s="23">
        <v>3</v>
      </c>
      <c r="AH148" s="23">
        <v>0</v>
      </c>
      <c r="AI148" s="23">
        <v>3</v>
      </c>
      <c r="AL148" s="20"/>
    </row>
    <row r="149" spans="1:54" ht="15.75" customHeight="1" x14ac:dyDescent="0.2">
      <c r="A149" s="6" t="s">
        <v>689</v>
      </c>
      <c r="B149" s="6">
        <v>2014</v>
      </c>
      <c r="C149" s="6" t="s">
        <v>519</v>
      </c>
      <c r="D149" s="6" t="s">
        <v>519</v>
      </c>
      <c r="E149" s="43">
        <v>3.06</v>
      </c>
      <c r="F149" s="43">
        <v>156</v>
      </c>
      <c r="G149" s="43">
        <v>200</v>
      </c>
      <c r="H149" s="20">
        <v>162913</v>
      </c>
      <c r="I149" s="270">
        <v>29025</v>
      </c>
      <c r="J149" s="20">
        <v>3946</v>
      </c>
      <c r="K149" s="20">
        <v>1563</v>
      </c>
      <c r="L149" s="20">
        <v>34436</v>
      </c>
      <c r="M149" s="20">
        <v>1.19</v>
      </c>
      <c r="N149" s="20">
        <v>18.600000000000001</v>
      </c>
      <c r="O149" s="20">
        <v>0.14000000000000001</v>
      </c>
      <c r="P149" s="20">
        <v>2917</v>
      </c>
      <c r="Q149" s="20">
        <v>1.96</v>
      </c>
      <c r="R149" s="21">
        <v>0.37</v>
      </c>
      <c r="S149" s="22">
        <v>0.2</v>
      </c>
      <c r="T149" s="23">
        <v>3</v>
      </c>
      <c r="U149" s="23">
        <v>4</v>
      </c>
      <c r="V149" s="23">
        <v>4</v>
      </c>
      <c r="W149" s="23">
        <v>2</v>
      </c>
      <c r="X149" s="23">
        <v>3</v>
      </c>
      <c r="Y149" s="23">
        <v>3</v>
      </c>
      <c r="Z149" s="23">
        <v>4</v>
      </c>
      <c r="AA149" s="9">
        <v>0</v>
      </c>
      <c r="AB149" s="9">
        <v>2</v>
      </c>
      <c r="AC149" s="9">
        <v>0</v>
      </c>
      <c r="AD149" s="9">
        <v>1</v>
      </c>
      <c r="AE149" s="9">
        <v>4</v>
      </c>
      <c r="AF149" s="23">
        <v>1</v>
      </c>
      <c r="AG149" s="23">
        <v>2</v>
      </c>
      <c r="AH149" s="23">
        <v>0</v>
      </c>
      <c r="AI149" s="23">
        <v>3</v>
      </c>
      <c r="AL149" s="20"/>
    </row>
    <row r="150" spans="1:54" ht="15.75" customHeight="1" x14ac:dyDescent="0.2">
      <c r="A150" s="6" t="s">
        <v>690</v>
      </c>
      <c r="B150" s="6">
        <v>2011</v>
      </c>
      <c r="C150" s="6" t="s">
        <v>389</v>
      </c>
      <c r="D150" s="6" t="s">
        <v>389</v>
      </c>
      <c r="E150" s="43">
        <v>3.9</v>
      </c>
      <c r="F150" s="43">
        <v>478</v>
      </c>
      <c r="G150" s="43">
        <v>199</v>
      </c>
      <c r="H150" s="20">
        <v>430718</v>
      </c>
      <c r="I150" s="270">
        <v>79612</v>
      </c>
      <c r="J150" s="20">
        <v>7214</v>
      </c>
      <c r="K150" s="20">
        <v>6303</v>
      </c>
      <c r="L150" s="20">
        <v>100837</v>
      </c>
      <c r="M150" s="20">
        <v>1.27</v>
      </c>
      <c r="N150" s="20">
        <v>12.6</v>
      </c>
      <c r="O150" s="20">
        <v>0.09</v>
      </c>
      <c r="P150" s="20">
        <v>5045</v>
      </c>
      <c r="Q150" s="20">
        <v>1.8</v>
      </c>
      <c r="R150" s="21">
        <v>0.28000000000000003</v>
      </c>
      <c r="S150" s="22">
        <v>0.2</v>
      </c>
      <c r="T150" s="23">
        <v>3</v>
      </c>
      <c r="U150" s="23">
        <v>4</v>
      </c>
      <c r="V150" s="23">
        <v>3</v>
      </c>
      <c r="W150" s="23">
        <v>2</v>
      </c>
      <c r="X150" s="23">
        <v>4</v>
      </c>
      <c r="Y150" s="23">
        <v>1</v>
      </c>
      <c r="Z150" s="23">
        <v>3</v>
      </c>
      <c r="AA150" s="9">
        <v>2</v>
      </c>
      <c r="AB150" s="9">
        <v>1</v>
      </c>
      <c r="AC150" s="9">
        <v>1</v>
      </c>
      <c r="AD150" s="9">
        <v>2</v>
      </c>
      <c r="AE150" s="9">
        <v>1</v>
      </c>
      <c r="AF150" s="23">
        <v>2</v>
      </c>
      <c r="AG150" s="23">
        <v>3</v>
      </c>
      <c r="AH150" s="23">
        <v>1</v>
      </c>
      <c r="AI150" s="23">
        <v>4</v>
      </c>
      <c r="AL150" s="20"/>
    </row>
    <row r="151" spans="1:54" ht="15.75" customHeight="1" x14ac:dyDescent="0.2">
      <c r="A151" s="6" t="s">
        <v>691</v>
      </c>
      <c r="B151" s="6">
        <v>1978</v>
      </c>
      <c r="C151" s="6" t="s">
        <v>449</v>
      </c>
      <c r="D151" s="6" t="s">
        <v>449</v>
      </c>
      <c r="E151" s="43">
        <v>3.99</v>
      </c>
      <c r="F151" s="43">
        <v>31161</v>
      </c>
      <c r="G151" s="43">
        <v>198</v>
      </c>
      <c r="H151" s="20">
        <v>290013</v>
      </c>
      <c r="I151" s="270">
        <v>58085</v>
      </c>
      <c r="J151" s="20">
        <v>5988</v>
      </c>
      <c r="K151" s="20">
        <v>2812</v>
      </c>
      <c r="L151" s="20">
        <v>67529</v>
      </c>
      <c r="M151" s="20">
        <v>1.1599999999999999</v>
      </c>
      <c r="N151" s="20">
        <v>20.7</v>
      </c>
      <c r="O151" s="20">
        <v>0.1</v>
      </c>
      <c r="P151" s="20">
        <v>3779</v>
      </c>
      <c r="Q151" s="20">
        <v>2.33</v>
      </c>
      <c r="R151" s="21">
        <v>0.28000000000000003</v>
      </c>
      <c r="S151" s="22">
        <v>0.14000000000000001</v>
      </c>
      <c r="T151" s="23">
        <v>2</v>
      </c>
      <c r="U151" s="23">
        <v>3</v>
      </c>
      <c r="V151" s="23">
        <v>4</v>
      </c>
      <c r="W151" s="23">
        <v>2</v>
      </c>
      <c r="X151" s="23">
        <v>4</v>
      </c>
      <c r="Y151" s="23">
        <v>1</v>
      </c>
      <c r="Z151" s="23">
        <v>3</v>
      </c>
      <c r="AA151" s="9">
        <v>0</v>
      </c>
      <c r="AB151" s="9">
        <v>1</v>
      </c>
      <c r="AC151" s="9">
        <v>0</v>
      </c>
      <c r="AD151" s="9">
        <v>2</v>
      </c>
      <c r="AE151" s="9">
        <v>3</v>
      </c>
      <c r="AF151" s="23">
        <v>0</v>
      </c>
      <c r="AG151" s="23">
        <v>2</v>
      </c>
      <c r="AH151" s="23">
        <v>1</v>
      </c>
      <c r="AI151" s="23">
        <v>3</v>
      </c>
      <c r="AL151" s="20"/>
    </row>
    <row r="152" spans="1:54" ht="15.75" customHeight="1" x14ac:dyDescent="0.2">
      <c r="A152" s="6" t="s">
        <v>692</v>
      </c>
      <c r="B152" s="6">
        <v>2000</v>
      </c>
      <c r="C152" s="6" t="s">
        <v>395</v>
      </c>
      <c r="D152" s="6" t="s">
        <v>395</v>
      </c>
      <c r="E152" s="43">
        <v>3.55</v>
      </c>
      <c r="F152" s="43">
        <v>2519</v>
      </c>
      <c r="G152" s="43">
        <v>198</v>
      </c>
      <c r="H152" s="20">
        <v>187319</v>
      </c>
      <c r="I152" s="270">
        <v>35557</v>
      </c>
      <c r="J152" s="20">
        <v>5199</v>
      </c>
      <c r="K152" s="20">
        <v>2749</v>
      </c>
      <c r="L152" s="20">
        <v>43349</v>
      </c>
      <c r="M152" s="20">
        <v>1.22</v>
      </c>
      <c r="N152" s="20">
        <v>12.9</v>
      </c>
      <c r="O152" s="20">
        <v>0.15</v>
      </c>
      <c r="P152" s="20">
        <v>3740</v>
      </c>
      <c r="Q152" s="20">
        <v>1.73</v>
      </c>
      <c r="R152" s="21">
        <v>0.28999999999999998</v>
      </c>
      <c r="S152" s="22">
        <v>0.17</v>
      </c>
      <c r="T152" s="23">
        <v>2</v>
      </c>
      <c r="U152" s="23">
        <v>3</v>
      </c>
      <c r="V152" s="23">
        <v>4</v>
      </c>
      <c r="W152" s="23">
        <v>2</v>
      </c>
      <c r="X152" s="23">
        <v>3</v>
      </c>
      <c r="Y152" s="23">
        <v>1</v>
      </c>
      <c r="Z152" s="23">
        <v>4</v>
      </c>
      <c r="AA152" s="9">
        <v>0</v>
      </c>
      <c r="AB152" s="9">
        <v>1</v>
      </c>
      <c r="AC152" s="9">
        <v>2</v>
      </c>
      <c r="AD152" s="9">
        <v>1</v>
      </c>
      <c r="AE152" s="9">
        <v>3</v>
      </c>
      <c r="AF152" s="23">
        <v>1</v>
      </c>
      <c r="AG152" s="23">
        <v>3</v>
      </c>
      <c r="AH152" s="23">
        <v>0</v>
      </c>
      <c r="AI152" s="23">
        <v>4</v>
      </c>
      <c r="AL152" s="20"/>
    </row>
    <row r="153" spans="1:54" ht="15.75" customHeight="1" x14ac:dyDescent="0.2">
      <c r="A153" s="6" t="s">
        <v>693</v>
      </c>
      <c r="B153" s="6">
        <v>2008</v>
      </c>
      <c r="C153" s="6" t="s">
        <v>518</v>
      </c>
      <c r="D153" s="6" t="s">
        <v>518</v>
      </c>
      <c r="E153" s="43">
        <v>3.81</v>
      </c>
      <c r="F153" s="43">
        <v>225</v>
      </c>
      <c r="G153" s="43">
        <v>197</v>
      </c>
      <c r="H153" s="20">
        <v>230119</v>
      </c>
      <c r="I153" s="270">
        <v>43162</v>
      </c>
      <c r="J153" s="20">
        <v>5557</v>
      </c>
      <c r="K153" s="20">
        <v>2765</v>
      </c>
      <c r="L153" s="20">
        <v>51926</v>
      </c>
      <c r="M153" s="20">
        <v>1.2</v>
      </c>
      <c r="N153" s="20">
        <v>15.6</v>
      </c>
      <c r="O153" s="20">
        <v>0.13</v>
      </c>
      <c r="P153" s="20">
        <v>4051</v>
      </c>
      <c r="Q153" s="20">
        <v>2</v>
      </c>
      <c r="R153" s="21">
        <v>0.3</v>
      </c>
      <c r="S153" s="22">
        <v>0.16</v>
      </c>
      <c r="T153" s="23">
        <v>2</v>
      </c>
      <c r="U153" s="23">
        <v>3</v>
      </c>
      <c r="V153" s="23">
        <v>3</v>
      </c>
      <c r="W153" s="23">
        <v>2</v>
      </c>
      <c r="X153" s="23">
        <v>4</v>
      </c>
      <c r="Y153" s="23">
        <v>1</v>
      </c>
      <c r="Z153" s="23">
        <v>3</v>
      </c>
      <c r="AA153" s="9">
        <v>0</v>
      </c>
      <c r="AB153" s="9">
        <v>2</v>
      </c>
      <c r="AC153" s="9">
        <v>1</v>
      </c>
      <c r="AD153" s="9">
        <v>2</v>
      </c>
      <c r="AE153" s="9">
        <v>3</v>
      </c>
      <c r="AF153" s="23">
        <v>1</v>
      </c>
      <c r="AG153" s="23">
        <v>2</v>
      </c>
      <c r="AH153" s="23">
        <v>1</v>
      </c>
      <c r="AI153" s="23">
        <v>3</v>
      </c>
      <c r="AL153" s="20"/>
    </row>
    <row r="154" spans="1:54" ht="15.75" customHeight="1" x14ac:dyDescent="0.2">
      <c r="A154" s="34" t="s">
        <v>55</v>
      </c>
      <c r="B154" s="34">
        <v>1872</v>
      </c>
      <c r="C154" s="34" t="s">
        <v>56</v>
      </c>
      <c r="D154" s="6" t="s">
        <v>56</v>
      </c>
      <c r="E154" s="43">
        <v>3.65</v>
      </c>
      <c r="F154" s="43">
        <v>13857</v>
      </c>
      <c r="G154" s="43">
        <v>196</v>
      </c>
      <c r="H154" s="20">
        <v>314369</v>
      </c>
      <c r="I154" s="270">
        <v>58820</v>
      </c>
      <c r="J154" s="20">
        <v>6409</v>
      </c>
      <c r="K154" s="20">
        <v>3207</v>
      </c>
      <c r="L154" s="20">
        <v>75258</v>
      </c>
      <c r="M154" s="20">
        <v>1.28</v>
      </c>
      <c r="N154" s="20">
        <v>18.3</v>
      </c>
      <c r="O154" s="20">
        <v>0.11</v>
      </c>
      <c r="P154" s="20">
        <v>4640</v>
      </c>
      <c r="Q154" s="20">
        <v>2.37</v>
      </c>
      <c r="R154" s="21">
        <v>0.3</v>
      </c>
      <c r="S154" s="22">
        <v>0.2</v>
      </c>
      <c r="T154" s="36">
        <v>2</v>
      </c>
      <c r="U154" s="36">
        <v>3</v>
      </c>
      <c r="V154" s="36">
        <v>4</v>
      </c>
      <c r="W154" s="36">
        <v>2</v>
      </c>
      <c r="X154" s="36">
        <v>3</v>
      </c>
      <c r="Y154" s="36">
        <v>3</v>
      </c>
      <c r="Z154" s="36">
        <v>4</v>
      </c>
      <c r="AA154" s="35">
        <v>3</v>
      </c>
      <c r="AB154" s="35">
        <v>1</v>
      </c>
      <c r="AC154" s="35">
        <v>4</v>
      </c>
      <c r="AD154" s="35">
        <v>2</v>
      </c>
      <c r="AE154" s="35">
        <v>0</v>
      </c>
      <c r="AF154" s="36">
        <v>2</v>
      </c>
      <c r="AG154" s="36">
        <v>1</v>
      </c>
      <c r="AH154" s="36">
        <v>3</v>
      </c>
      <c r="AI154" s="36">
        <v>3</v>
      </c>
      <c r="AJ154" s="34"/>
      <c r="AK154" s="34"/>
      <c r="AL154" s="281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</row>
    <row r="155" spans="1:54" ht="15.75" customHeight="1" x14ac:dyDescent="0.2">
      <c r="A155" s="28" t="s">
        <v>30</v>
      </c>
      <c r="B155" s="28">
        <v>2012</v>
      </c>
      <c r="C155" s="28" t="s">
        <v>31</v>
      </c>
      <c r="D155" s="6" t="s">
        <v>31</v>
      </c>
      <c r="E155" s="43">
        <v>3.85</v>
      </c>
      <c r="F155" s="43">
        <v>18531</v>
      </c>
      <c r="G155" s="43">
        <v>195</v>
      </c>
      <c r="H155" s="20">
        <v>179715</v>
      </c>
      <c r="I155" s="270">
        <v>34137</v>
      </c>
      <c r="J155" s="20">
        <v>4223</v>
      </c>
      <c r="K155" s="20">
        <v>3270</v>
      </c>
      <c r="L155" s="20">
        <v>42275</v>
      </c>
      <c r="M155" s="20">
        <v>1.24</v>
      </c>
      <c r="N155" s="20">
        <v>10.4</v>
      </c>
      <c r="O155" s="20">
        <v>0.12</v>
      </c>
      <c r="P155" s="20">
        <v>3100</v>
      </c>
      <c r="Q155" s="20">
        <v>1.67</v>
      </c>
      <c r="R155" s="21">
        <v>0.28000000000000003</v>
      </c>
      <c r="S155" s="22">
        <v>0.22</v>
      </c>
      <c r="T155" s="30">
        <v>3</v>
      </c>
      <c r="U155" s="30">
        <v>4</v>
      </c>
      <c r="V155" s="30">
        <v>4</v>
      </c>
      <c r="W155" s="30">
        <v>3</v>
      </c>
      <c r="X155" s="30">
        <v>3</v>
      </c>
      <c r="Y155" s="30">
        <v>2</v>
      </c>
      <c r="Z155" s="30">
        <v>4</v>
      </c>
      <c r="AA155" s="29">
        <v>2</v>
      </c>
      <c r="AB155" s="29">
        <v>1</v>
      </c>
      <c r="AC155" s="29">
        <v>4</v>
      </c>
      <c r="AD155" s="29">
        <v>1</v>
      </c>
      <c r="AE155" s="29">
        <v>1</v>
      </c>
      <c r="AF155" s="30">
        <v>2</v>
      </c>
      <c r="AG155" s="30">
        <v>3</v>
      </c>
      <c r="AH155" s="30">
        <v>4</v>
      </c>
      <c r="AI155" s="30">
        <v>4</v>
      </c>
      <c r="AJ155" s="28"/>
      <c r="AK155" s="28"/>
      <c r="AL155" s="292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</row>
    <row r="156" spans="1:54" ht="15.75" customHeight="1" x14ac:dyDescent="0.2">
      <c r="A156" s="6" t="s">
        <v>694</v>
      </c>
      <c r="B156" s="6">
        <v>2022</v>
      </c>
      <c r="C156" s="6" t="s">
        <v>448</v>
      </c>
      <c r="D156" s="6" t="s">
        <v>448</v>
      </c>
      <c r="E156" s="43">
        <v>3.72</v>
      </c>
      <c r="F156" s="43">
        <v>14198</v>
      </c>
      <c r="G156" s="43">
        <v>195</v>
      </c>
      <c r="H156" s="20">
        <v>160366</v>
      </c>
      <c r="I156" s="270">
        <v>30409</v>
      </c>
      <c r="J156" s="20">
        <v>3818</v>
      </c>
      <c r="K156" s="20">
        <v>1258</v>
      </c>
      <c r="L156" s="20">
        <v>35200</v>
      </c>
      <c r="M156" s="20">
        <v>1.1599999999999999</v>
      </c>
      <c r="N156" s="20">
        <v>24.2</v>
      </c>
      <c r="O156" s="20">
        <v>0.13</v>
      </c>
      <c r="P156" s="20">
        <v>2777</v>
      </c>
      <c r="Q156" s="20">
        <v>2.44</v>
      </c>
      <c r="R156" s="21">
        <v>0.35</v>
      </c>
      <c r="S156" s="22">
        <v>0.19</v>
      </c>
      <c r="T156" s="23">
        <v>2</v>
      </c>
      <c r="U156" s="23">
        <v>3</v>
      </c>
      <c r="V156" s="23">
        <v>4</v>
      </c>
      <c r="W156" s="23">
        <v>2</v>
      </c>
      <c r="X156" s="23">
        <v>4</v>
      </c>
      <c r="Y156" s="23">
        <v>3</v>
      </c>
      <c r="Z156" s="23">
        <v>4</v>
      </c>
      <c r="AA156" s="9">
        <v>1</v>
      </c>
      <c r="AB156" s="9">
        <v>2</v>
      </c>
      <c r="AC156" s="9">
        <v>1</v>
      </c>
      <c r="AD156" s="9">
        <v>0</v>
      </c>
      <c r="AE156" s="9">
        <v>2</v>
      </c>
      <c r="AF156" s="23">
        <v>1</v>
      </c>
      <c r="AG156" s="23">
        <v>2</v>
      </c>
      <c r="AH156" s="23">
        <v>4</v>
      </c>
      <c r="AI156" s="23">
        <v>3</v>
      </c>
      <c r="AL156" s="20"/>
    </row>
    <row r="157" spans="1:54" ht="15.75" customHeight="1" x14ac:dyDescent="0.2">
      <c r="A157" s="6" t="s">
        <v>695</v>
      </c>
      <c r="B157" s="6">
        <v>1909</v>
      </c>
      <c r="C157" s="6" t="s">
        <v>457</v>
      </c>
      <c r="D157" s="6" t="s">
        <v>457</v>
      </c>
      <c r="E157" s="43">
        <v>3.62</v>
      </c>
      <c r="F157" s="43">
        <v>5581</v>
      </c>
      <c r="G157" s="43">
        <v>194</v>
      </c>
      <c r="H157" s="20">
        <v>87714</v>
      </c>
      <c r="I157" s="270">
        <v>16855</v>
      </c>
      <c r="J157" s="20">
        <v>2769</v>
      </c>
      <c r="K157" s="20">
        <v>1130</v>
      </c>
      <c r="L157" s="20">
        <v>20464</v>
      </c>
      <c r="M157" s="20">
        <v>1.21</v>
      </c>
      <c r="N157" s="20">
        <v>14.9</v>
      </c>
      <c r="O157" s="20">
        <v>0.16</v>
      </c>
      <c r="P157" s="20">
        <v>2113</v>
      </c>
      <c r="Q157" s="20">
        <v>1.89</v>
      </c>
      <c r="R157" s="21">
        <v>0.28000000000000003</v>
      </c>
      <c r="S157" s="22">
        <v>0.23</v>
      </c>
      <c r="T157" s="23">
        <v>2</v>
      </c>
      <c r="U157" s="23">
        <v>3</v>
      </c>
      <c r="V157" s="23">
        <v>4</v>
      </c>
      <c r="W157" s="23">
        <v>2</v>
      </c>
      <c r="X157" s="23">
        <v>3</v>
      </c>
      <c r="Y157" s="23">
        <v>3</v>
      </c>
      <c r="Z157" s="23">
        <v>2</v>
      </c>
      <c r="AA157" s="9">
        <v>0</v>
      </c>
      <c r="AB157" s="9">
        <v>1</v>
      </c>
      <c r="AC157" s="9">
        <v>0</v>
      </c>
      <c r="AD157" s="9">
        <v>0</v>
      </c>
      <c r="AE157" s="9">
        <v>2</v>
      </c>
      <c r="AF157" s="23">
        <v>1</v>
      </c>
      <c r="AG157" s="23">
        <v>3</v>
      </c>
      <c r="AH157" s="23">
        <v>0</v>
      </c>
      <c r="AI157" s="23">
        <v>4</v>
      </c>
      <c r="AL157" s="20"/>
    </row>
    <row r="158" spans="1:54" ht="15.75" customHeight="1" x14ac:dyDescent="0.2">
      <c r="A158" s="6" t="s">
        <v>696</v>
      </c>
      <c r="B158" s="6">
        <v>1864</v>
      </c>
      <c r="C158" s="6" t="s">
        <v>402</v>
      </c>
      <c r="D158" s="6" t="s">
        <v>402</v>
      </c>
      <c r="E158" s="43">
        <v>3.49</v>
      </c>
      <c r="F158" s="43">
        <v>2735</v>
      </c>
      <c r="G158" s="43">
        <v>193</v>
      </c>
      <c r="H158" s="20">
        <v>213081</v>
      </c>
      <c r="I158" s="270">
        <v>41187</v>
      </c>
      <c r="J158" s="20">
        <v>4387</v>
      </c>
      <c r="K158" s="20">
        <v>2019</v>
      </c>
      <c r="L158" s="20">
        <v>50207</v>
      </c>
      <c r="M158" s="20">
        <v>1.22</v>
      </c>
      <c r="N158" s="20">
        <v>20.399999999999999</v>
      </c>
      <c r="O158" s="20">
        <v>0.11</v>
      </c>
      <c r="P158" s="20">
        <v>3209</v>
      </c>
      <c r="Q158" s="20">
        <v>2.5</v>
      </c>
      <c r="R158" s="21">
        <v>0.28000000000000003</v>
      </c>
      <c r="S158" s="22">
        <v>0.16</v>
      </c>
      <c r="T158" s="23">
        <v>2</v>
      </c>
      <c r="U158" s="23">
        <v>3</v>
      </c>
      <c r="V158" s="23">
        <v>4</v>
      </c>
      <c r="W158" s="23">
        <v>1</v>
      </c>
      <c r="X158" s="23">
        <v>3</v>
      </c>
      <c r="Y158" s="23">
        <v>2</v>
      </c>
      <c r="Z158" s="23">
        <v>3</v>
      </c>
      <c r="AA158" s="9">
        <v>1</v>
      </c>
      <c r="AB158" s="9">
        <v>0</v>
      </c>
      <c r="AC158" s="9">
        <v>2</v>
      </c>
      <c r="AD158" s="9">
        <v>0</v>
      </c>
      <c r="AE158" s="9">
        <v>2</v>
      </c>
      <c r="AF158" s="23">
        <v>1</v>
      </c>
      <c r="AG158" s="23">
        <v>2</v>
      </c>
      <c r="AH158" s="23">
        <v>4</v>
      </c>
      <c r="AI158" s="23">
        <v>3</v>
      </c>
      <c r="AL158" s="20"/>
    </row>
    <row r="159" spans="1:54" ht="15.75" customHeight="1" x14ac:dyDescent="0.2">
      <c r="A159" s="6" t="s">
        <v>697</v>
      </c>
      <c r="B159" s="6">
        <v>1910</v>
      </c>
      <c r="C159" s="6" t="s">
        <v>513</v>
      </c>
      <c r="D159" s="6" t="s">
        <v>513</v>
      </c>
      <c r="E159" s="43">
        <v>3.78</v>
      </c>
      <c r="F159" s="43">
        <v>4154</v>
      </c>
      <c r="G159" s="43">
        <v>193</v>
      </c>
      <c r="H159" s="20">
        <v>223722</v>
      </c>
      <c r="I159" s="270">
        <v>43192</v>
      </c>
      <c r="J159" s="20">
        <v>4744</v>
      </c>
      <c r="K159" s="20">
        <v>2196</v>
      </c>
      <c r="L159" s="20">
        <v>53257</v>
      </c>
      <c r="M159" s="20">
        <v>1.23</v>
      </c>
      <c r="N159" s="20">
        <v>19.7</v>
      </c>
      <c r="O159" s="20">
        <v>0.11</v>
      </c>
      <c r="P159" s="20">
        <v>3397</v>
      </c>
      <c r="Q159" s="20">
        <v>2.65</v>
      </c>
      <c r="R159" s="21">
        <v>0.3</v>
      </c>
      <c r="S159" s="22">
        <v>0.23</v>
      </c>
      <c r="T159" s="23">
        <v>1</v>
      </c>
      <c r="U159" s="23">
        <v>2</v>
      </c>
      <c r="V159" s="23">
        <v>3</v>
      </c>
      <c r="W159" s="23">
        <v>1</v>
      </c>
      <c r="X159" s="23">
        <v>4</v>
      </c>
      <c r="Y159" s="23">
        <v>2</v>
      </c>
      <c r="Z159" s="23">
        <v>3</v>
      </c>
      <c r="AA159" s="9">
        <v>1</v>
      </c>
      <c r="AB159" s="9">
        <v>0</v>
      </c>
      <c r="AC159" s="9">
        <v>1</v>
      </c>
      <c r="AD159" s="9">
        <v>0</v>
      </c>
      <c r="AE159" s="9">
        <v>2</v>
      </c>
      <c r="AF159" s="23">
        <v>0</v>
      </c>
      <c r="AG159" s="23">
        <v>1</v>
      </c>
      <c r="AH159" s="23">
        <v>3</v>
      </c>
      <c r="AI159" s="23">
        <v>3</v>
      </c>
      <c r="AL159" s="20"/>
    </row>
    <row r="160" spans="1:54" ht="15.75" customHeight="1" x14ac:dyDescent="0.2">
      <c r="A160" s="6" t="s">
        <v>698</v>
      </c>
      <c r="B160" s="6">
        <v>1989</v>
      </c>
      <c r="C160" s="6" t="s">
        <v>444</v>
      </c>
      <c r="D160" s="6" t="s">
        <v>444</v>
      </c>
      <c r="E160" s="43">
        <v>3.86</v>
      </c>
      <c r="F160" s="43">
        <v>1628</v>
      </c>
      <c r="G160" s="43">
        <v>188</v>
      </c>
      <c r="H160" s="20">
        <v>338166</v>
      </c>
      <c r="I160" s="270">
        <v>64817</v>
      </c>
      <c r="J160" s="20">
        <v>6934</v>
      </c>
      <c r="K160" s="20">
        <v>4592</v>
      </c>
      <c r="L160" s="20">
        <v>79559</v>
      </c>
      <c r="M160" s="20">
        <v>1.23</v>
      </c>
      <c r="N160" s="20">
        <v>14.1</v>
      </c>
      <c r="O160" s="20">
        <v>0.11</v>
      </c>
      <c r="P160" s="20">
        <v>4812</v>
      </c>
      <c r="Q160" s="20">
        <v>1.9</v>
      </c>
      <c r="R160" s="21">
        <v>0.28000000000000003</v>
      </c>
      <c r="S160" s="22">
        <v>0.14000000000000001</v>
      </c>
      <c r="T160" s="23">
        <v>2</v>
      </c>
      <c r="U160" s="23">
        <v>3</v>
      </c>
      <c r="V160" s="23">
        <v>3</v>
      </c>
      <c r="W160" s="23">
        <v>1</v>
      </c>
      <c r="X160" s="23">
        <v>4</v>
      </c>
      <c r="Y160" s="23">
        <v>2</v>
      </c>
      <c r="Z160" s="23">
        <v>3</v>
      </c>
      <c r="AA160" s="9">
        <v>0</v>
      </c>
      <c r="AB160" s="9">
        <v>1</v>
      </c>
      <c r="AC160" s="9">
        <v>0</v>
      </c>
      <c r="AD160" s="9">
        <v>1</v>
      </c>
      <c r="AE160" s="9">
        <v>3</v>
      </c>
      <c r="AF160" s="23">
        <v>1</v>
      </c>
      <c r="AG160" s="23">
        <v>2</v>
      </c>
      <c r="AH160" s="23">
        <v>0</v>
      </c>
      <c r="AI160" s="23">
        <v>3</v>
      </c>
      <c r="AL160" s="20"/>
    </row>
    <row r="161" spans="1:38" ht="15.75" customHeight="1" x14ac:dyDescent="0.2">
      <c r="A161" s="6" t="s">
        <v>699</v>
      </c>
      <c r="B161" s="6">
        <v>2019</v>
      </c>
      <c r="C161" s="6" t="s">
        <v>359</v>
      </c>
      <c r="D161" s="6" t="s">
        <v>359</v>
      </c>
      <c r="E161" s="43">
        <v>3.87</v>
      </c>
      <c r="F161" s="43">
        <v>256351</v>
      </c>
      <c r="G161" s="43">
        <v>186</v>
      </c>
      <c r="H161" s="20">
        <v>197939</v>
      </c>
      <c r="I161" s="270">
        <v>36648</v>
      </c>
      <c r="J161" s="20">
        <v>5901</v>
      </c>
      <c r="K161" s="20">
        <v>2846</v>
      </c>
      <c r="L161" s="20">
        <v>45911</v>
      </c>
      <c r="M161" s="20">
        <v>1.25</v>
      </c>
      <c r="N161" s="20">
        <v>12.9</v>
      </c>
      <c r="O161" s="20">
        <v>0.16</v>
      </c>
      <c r="P161" s="20">
        <v>4120</v>
      </c>
      <c r="Q161" s="20">
        <v>1.76</v>
      </c>
      <c r="R161" s="21">
        <v>0.28000000000000003</v>
      </c>
      <c r="S161" s="22">
        <v>0.15</v>
      </c>
      <c r="T161" s="23">
        <v>3</v>
      </c>
      <c r="U161" s="23">
        <v>4</v>
      </c>
      <c r="V161" s="23">
        <v>4</v>
      </c>
      <c r="W161" s="23">
        <v>3</v>
      </c>
      <c r="X161" s="23">
        <v>4</v>
      </c>
      <c r="Y161" s="23">
        <v>1</v>
      </c>
      <c r="Z161" s="23">
        <v>3</v>
      </c>
      <c r="AA161" s="9">
        <v>2</v>
      </c>
      <c r="AB161" s="9">
        <v>3</v>
      </c>
      <c r="AC161" s="9">
        <v>4</v>
      </c>
      <c r="AD161" s="9">
        <v>1</v>
      </c>
      <c r="AE161" s="9">
        <v>2</v>
      </c>
      <c r="AF161" s="23">
        <v>2</v>
      </c>
      <c r="AG161" s="23">
        <v>3</v>
      </c>
      <c r="AH161" s="23">
        <v>4</v>
      </c>
      <c r="AI161" s="23">
        <v>4</v>
      </c>
      <c r="AL161" s="20"/>
    </row>
    <row r="162" spans="1:38" ht="15.75" customHeight="1" x14ac:dyDescent="0.2">
      <c r="A162" s="6" t="s">
        <v>700</v>
      </c>
      <c r="B162" s="6">
        <v>1982</v>
      </c>
      <c r="C162" s="6" t="s">
        <v>470</v>
      </c>
      <c r="D162" s="6" t="s">
        <v>470</v>
      </c>
      <c r="E162" s="43">
        <v>3.82</v>
      </c>
      <c r="F162" s="43">
        <v>276</v>
      </c>
      <c r="G162" s="43">
        <v>185</v>
      </c>
      <c r="H162" s="20">
        <v>123746</v>
      </c>
      <c r="I162" s="270">
        <v>22380</v>
      </c>
      <c r="J162" s="20">
        <v>4250</v>
      </c>
      <c r="K162" s="20">
        <v>1569</v>
      </c>
      <c r="L162" s="20">
        <v>28988</v>
      </c>
      <c r="M162" s="20">
        <v>1.3</v>
      </c>
      <c r="N162" s="20">
        <v>14.3</v>
      </c>
      <c r="O162" s="20">
        <v>0.19</v>
      </c>
      <c r="P162" s="20">
        <v>3108</v>
      </c>
      <c r="Q162" s="20">
        <v>1.76</v>
      </c>
      <c r="R162" s="21">
        <v>0.26</v>
      </c>
      <c r="S162" s="22">
        <v>0.18</v>
      </c>
      <c r="T162" s="23">
        <v>2</v>
      </c>
      <c r="U162" s="23">
        <v>3</v>
      </c>
      <c r="V162" s="23">
        <v>4</v>
      </c>
      <c r="W162" s="23">
        <v>2</v>
      </c>
      <c r="X162" s="23">
        <v>4</v>
      </c>
      <c r="Y162" s="23">
        <v>1</v>
      </c>
      <c r="Z162" s="23">
        <v>3</v>
      </c>
      <c r="AA162" s="9">
        <v>0</v>
      </c>
      <c r="AB162" s="9">
        <v>2</v>
      </c>
      <c r="AC162" s="9">
        <v>0</v>
      </c>
      <c r="AD162" s="9">
        <v>1</v>
      </c>
      <c r="AE162" s="9">
        <v>4</v>
      </c>
      <c r="AF162" s="23">
        <v>1</v>
      </c>
      <c r="AG162" s="23">
        <v>3</v>
      </c>
      <c r="AH162" s="23">
        <v>2</v>
      </c>
      <c r="AI162" s="23">
        <v>3</v>
      </c>
      <c r="AL162" s="20"/>
    </row>
    <row r="163" spans="1:38" ht="15.75" customHeight="1" x14ac:dyDescent="0.2">
      <c r="A163" s="6" t="s">
        <v>701</v>
      </c>
      <c r="B163" s="6">
        <v>1898</v>
      </c>
      <c r="C163" s="6" t="s">
        <v>473</v>
      </c>
      <c r="D163" s="6" t="s">
        <v>473</v>
      </c>
      <c r="E163" s="43">
        <v>3.81</v>
      </c>
      <c r="F163" s="43">
        <v>2839</v>
      </c>
      <c r="G163" s="43">
        <v>184</v>
      </c>
      <c r="H163" s="20">
        <v>613059</v>
      </c>
      <c r="I163" s="270">
        <v>113536</v>
      </c>
      <c r="J163" s="20">
        <v>10327</v>
      </c>
      <c r="K163" s="20">
        <v>6341</v>
      </c>
      <c r="L163" s="20">
        <v>141022</v>
      </c>
      <c r="M163" s="20">
        <v>1.24</v>
      </c>
      <c r="N163" s="20">
        <v>17.899999999999999</v>
      </c>
      <c r="O163" s="20">
        <v>0.09</v>
      </c>
      <c r="P163" s="20">
        <v>6947</v>
      </c>
      <c r="Q163" s="20">
        <v>2.09</v>
      </c>
      <c r="R163" s="21">
        <v>0.28000000000000003</v>
      </c>
      <c r="S163" s="22">
        <v>0.16</v>
      </c>
      <c r="T163" s="23">
        <v>1</v>
      </c>
      <c r="U163" s="23">
        <v>2</v>
      </c>
      <c r="V163" s="23">
        <v>3</v>
      </c>
      <c r="W163" s="23">
        <v>1</v>
      </c>
      <c r="X163" s="23">
        <v>2</v>
      </c>
      <c r="Y163" s="23">
        <v>4</v>
      </c>
      <c r="Z163" s="23">
        <v>3</v>
      </c>
      <c r="AA163" s="9">
        <v>0</v>
      </c>
      <c r="AB163" s="9">
        <v>0</v>
      </c>
      <c r="AC163" s="9">
        <v>0</v>
      </c>
      <c r="AD163" s="9">
        <v>2</v>
      </c>
      <c r="AE163" s="9">
        <v>2</v>
      </c>
      <c r="AF163" s="23">
        <v>1</v>
      </c>
      <c r="AG163" s="23">
        <v>1</v>
      </c>
      <c r="AH163" s="23">
        <v>0</v>
      </c>
      <c r="AI163" s="23">
        <v>2</v>
      </c>
      <c r="AL163" s="20"/>
    </row>
    <row r="164" spans="1:38" ht="15.75" customHeight="1" x14ac:dyDescent="0.2">
      <c r="A164" s="6" t="s">
        <v>702</v>
      </c>
      <c r="B164" s="6">
        <v>2017</v>
      </c>
      <c r="C164" s="6" t="s">
        <v>512</v>
      </c>
      <c r="D164" s="6" t="s">
        <v>512</v>
      </c>
      <c r="E164" s="43">
        <v>3.52</v>
      </c>
      <c r="F164" s="43">
        <v>11063</v>
      </c>
      <c r="G164" s="43">
        <v>184</v>
      </c>
      <c r="H164" s="20">
        <v>201406</v>
      </c>
      <c r="I164" s="270">
        <v>37473</v>
      </c>
      <c r="J164" s="20">
        <v>4425</v>
      </c>
      <c r="K164" s="20">
        <v>3213</v>
      </c>
      <c r="L164" s="20">
        <v>49271</v>
      </c>
      <c r="M164" s="20">
        <v>1.31</v>
      </c>
      <c r="N164" s="20">
        <v>11.7</v>
      </c>
      <c r="O164" s="20">
        <v>0.12</v>
      </c>
      <c r="P164" s="20">
        <v>3159</v>
      </c>
      <c r="Q164" s="20">
        <v>1.75</v>
      </c>
      <c r="R164" s="21">
        <v>0.28000000000000003</v>
      </c>
      <c r="S164" s="22">
        <v>0.22</v>
      </c>
      <c r="T164" s="23">
        <v>3</v>
      </c>
      <c r="U164" s="23">
        <v>4</v>
      </c>
      <c r="V164" s="23">
        <v>4</v>
      </c>
      <c r="W164" s="23">
        <v>2</v>
      </c>
      <c r="X164" s="23">
        <v>4</v>
      </c>
      <c r="Y164" s="23">
        <v>1</v>
      </c>
      <c r="Z164" s="23">
        <v>3</v>
      </c>
      <c r="AA164" s="9">
        <v>0</v>
      </c>
      <c r="AB164" s="9">
        <v>2</v>
      </c>
      <c r="AC164" s="9">
        <v>1</v>
      </c>
      <c r="AD164" s="9">
        <v>0</v>
      </c>
      <c r="AE164" s="9">
        <v>2</v>
      </c>
      <c r="AF164" s="23">
        <v>1</v>
      </c>
      <c r="AG164" s="23">
        <v>3</v>
      </c>
      <c r="AH164" s="23">
        <v>2</v>
      </c>
      <c r="AI164" s="23">
        <v>4</v>
      </c>
      <c r="AL164" s="20"/>
    </row>
    <row r="165" spans="1:38" ht="15.75" customHeight="1" x14ac:dyDescent="0.2">
      <c r="A165" s="6" t="s">
        <v>703</v>
      </c>
      <c r="B165" s="6">
        <v>1954</v>
      </c>
      <c r="C165" s="6" t="s">
        <v>409</v>
      </c>
      <c r="D165" s="6" t="s">
        <v>409</v>
      </c>
      <c r="E165" s="43">
        <v>4.18</v>
      </c>
      <c r="F165" s="43">
        <v>343</v>
      </c>
      <c r="G165" s="43">
        <v>181</v>
      </c>
      <c r="H165" s="20">
        <v>184362</v>
      </c>
      <c r="I165" s="270">
        <v>31649</v>
      </c>
      <c r="J165" s="20">
        <v>4996</v>
      </c>
      <c r="K165" s="20">
        <v>1460</v>
      </c>
      <c r="L165" s="20">
        <v>38899</v>
      </c>
      <c r="M165" s="20">
        <v>1.23</v>
      </c>
      <c r="N165" s="20">
        <v>21.7</v>
      </c>
      <c r="O165" s="20">
        <v>0.16</v>
      </c>
      <c r="P165" s="20">
        <v>3509</v>
      </c>
      <c r="Q165" s="20">
        <v>1.78</v>
      </c>
      <c r="R165" s="21">
        <v>0.38</v>
      </c>
      <c r="S165" s="22">
        <v>0.28000000000000003</v>
      </c>
      <c r="T165" s="23">
        <v>2</v>
      </c>
      <c r="U165" s="23">
        <v>3</v>
      </c>
      <c r="V165" s="23">
        <v>4</v>
      </c>
      <c r="W165" s="23">
        <v>3</v>
      </c>
      <c r="X165" s="23">
        <v>4</v>
      </c>
      <c r="Y165" s="23">
        <v>2</v>
      </c>
      <c r="Z165" s="23">
        <v>4</v>
      </c>
      <c r="AA165" s="9">
        <v>0</v>
      </c>
      <c r="AB165" s="9">
        <v>1</v>
      </c>
      <c r="AC165" s="9">
        <v>2</v>
      </c>
      <c r="AD165" s="9">
        <v>0</v>
      </c>
      <c r="AE165" s="9">
        <v>4</v>
      </c>
      <c r="AF165" s="23">
        <v>1</v>
      </c>
      <c r="AG165" s="23">
        <v>2</v>
      </c>
      <c r="AH165" s="23">
        <v>2</v>
      </c>
      <c r="AI165" s="23">
        <v>3</v>
      </c>
      <c r="AL165" s="20"/>
    </row>
    <row r="166" spans="1:38" ht="15.75" customHeight="1" x14ac:dyDescent="0.2">
      <c r="A166" s="6" t="s">
        <v>704</v>
      </c>
      <c r="B166" s="6">
        <v>2005</v>
      </c>
      <c r="C166" s="6" t="s">
        <v>521</v>
      </c>
      <c r="D166" s="6" t="s">
        <v>521</v>
      </c>
      <c r="E166" s="43">
        <v>3.31</v>
      </c>
      <c r="F166" s="43">
        <v>9098</v>
      </c>
      <c r="G166" s="43">
        <v>180</v>
      </c>
      <c r="H166" s="20">
        <v>127471</v>
      </c>
      <c r="I166" s="270">
        <v>23333</v>
      </c>
      <c r="J166" s="20">
        <v>4240</v>
      </c>
      <c r="K166" s="20">
        <v>1839</v>
      </c>
      <c r="L166" s="20">
        <v>30920</v>
      </c>
      <c r="M166" s="20">
        <v>1.33</v>
      </c>
      <c r="N166" s="20">
        <v>12.7</v>
      </c>
      <c r="O166" s="20">
        <v>0.18</v>
      </c>
      <c r="P166" s="20">
        <v>3138</v>
      </c>
      <c r="Q166" s="20">
        <v>1.63</v>
      </c>
      <c r="R166" s="21">
        <v>0.31</v>
      </c>
      <c r="S166" s="22">
        <v>0.27</v>
      </c>
      <c r="T166" s="23">
        <v>3</v>
      </c>
      <c r="U166" s="23">
        <v>4</v>
      </c>
      <c r="V166" s="23">
        <v>4</v>
      </c>
      <c r="W166" s="23">
        <v>2</v>
      </c>
      <c r="X166" s="23">
        <v>3</v>
      </c>
      <c r="Y166" s="23">
        <v>1</v>
      </c>
      <c r="Z166" s="23">
        <v>3</v>
      </c>
      <c r="AA166" s="9">
        <v>0</v>
      </c>
      <c r="AB166" s="9">
        <v>1</v>
      </c>
      <c r="AC166" s="9">
        <v>2</v>
      </c>
      <c r="AD166" s="9">
        <v>4</v>
      </c>
      <c r="AE166" s="9">
        <v>4</v>
      </c>
      <c r="AF166" s="23">
        <v>0</v>
      </c>
      <c r="AG166" s="23">
        <v>1</v>
      </c>
      <c r="AH166" s="23">
        <v>3</v>
      </c>
      <c r="AI166" s="23">
        <v>2</v>
      </c>
      <c r="AL166" s="20"/>
    </row>
    <row r="167" spans="1:38" ht="15.75" customHeight="1" x14ac:dyDescent="0.2">
      <c r="A167" s="6" t="s">
        <v>705</v>
      </c>
      <c r="B167" s="6">
        <v>2014</v>
      </c>
      <c r="C167" s="6" t="s">
        <v>447</v>
      </c>
      <c r="D167" s="6" t="s">
        <v>447</v>
      </c>
      <c r="E167" s="43">
        <v>3.76</v>
      </c>
      <c r="F167" s="43">
        <v>56418</v>
      </c>
      <c r="G167" s="43">
        <v>171</v>
      </c>
      <c r="H167" s="20">
        <v>130212</v>
      </c>
      <c r="I167" s="270">
        <v>25030</v>
      </c>
      <c r="J167" s="20">
        <v>3968</v>
      </c>
      <c r="K167" s="20">
        <v>2352</v>
      </c>
      <c r="L167" s="20">
        <v>30338</v>
      </c>
      <c r="M167" s="20">
        <v>1.21</v>
      </c>
      <c r="N167" s="20">
        <v>10.6</v>
      </c>
      <c r="O167" s="20">
        <v>0.16</v>
      </c>
      <c r="P167" s="20">
        <v>2730</v>
      </c>
      <c r="Q167" s="20">
        <v>1.68</v>
      </c>
      <c r="R167" s="21">
        <v>0.26</v>
      </c>
      <c r="S167" s="22">
        <v>0.14000000000000001</v>
      </c>
      <c r="T167" s="23">
        <v>1</v>
      </c>
      <c r="U167" s="23">
        <v>2</v>
      </c>
      <c r="V167" s="23">
        <v>3</v>
      </c>
      <c r="W167" s="23">
        <v>1</v>
      </c>
      <c r="X167" s="23">
        <v>4</v>
      </c>
      <c r="Y167" s="23">
        <v>1</v>
      </c>
      <c r="Z167" s="23">
        <v>3</v>
      </c>
      <c r="AA167" s="9">
        <v>1</v>
      </c>
      <c r="AB167" s="9">
        <v>2</v>
      </c>
      <c r="AC167" s="9">
        <v>2</v>
      </c>
      <c r="AD167" s="9">
        <v>1</v>
      </c>
      <c r="AE167" s="9">
        <v>2</v>
      </c>
      <c r="AF167" s="23">
        <v>1</v>
      </c>
      <c r="AG167" s="23">
        <v>2</v>
      </c>
      <c r="AH167" s="23">
        <v>4</v>
      </c>
      <c r="AI167" s="23">
        <v>3</v>
      </c>
      <c r="AL167" s="20"/>
    </row>
    <row r="168" spans="1:38" ht="15.75" customHeight="1" x14ac:dyDescent="0.2">
      <c r="A168" s="6" t="s">
        <v>706</v>
      </c>
      <c r="B168" s="6">
        <v>1959</v>
      </c>
      <c r="C168" s="6" t="s">
        <v>496</v>
      </c>
      <c r="D168" s="6" t="s">
        <v>496</v>
      </c>
      <c r="E168" s="43">
        <v>3.86</v>
      </c>
      <c r="F168" s="43">
        <v>20739</v>
      </c>
      <c r="G168" s="43">
        <v>169</v>
      </c>
      <c r="H168" s="20">
        <v>196802</v>
      </c>
      <c r="I168" s="270">
        <v>38150</v>
      </c>
      <c r="J168" s="20">
        <v>4531</v>
      </c>
      <c r="K168" s="20">
        <v>3098</v>
      </c>
      <c r="L168" s="20">
        <v>47982</v>
      </c>
      <c r="M168" s="20">
        <v>1.26</v>
      </c>
      <c r="N168" s="20">
        <v>12.3</v>
      </c>
      <c r="O168" s="20">
        <v>0.12</v>
      </c>
      <c r="P168" s="20">
        <v>3065</v>
      </c>
      <c r="Q168" s="20">
        <v>1.83</v>
      </c>
      <c r="R168" s="21">
        <v>0.28000000000000003</v>
      </c>
      <c r="S168" s="22">
        <v>0.17</v>
      </c>
      <c r="T168" s="23">
        <v>2</v>
      </c>
      <c r="U168" s="23">
        <v>3</v>
      </c>
      <c r="V168" s="23">
        <v>3</v>
      </c>
      <c r="W168" s="23">
        <v>1</v>
      </c>
      <c r="X168" s="23">
        <v>3</v>
      </c>
      <c r="Y168" s="23">
        <v>4</v>
      </c>
      <c r="Z168" s="23">
        <v>3</v>
      </c>
      <c r="AA168" s="9">
        <v>1</v>
      </c>
      <c r="AB168" s="9">
        <v>0</v>
      </c>
      <c r="AC168" s="9">
        <v>3</v>
      </c>
      <c r="AD168" s="9">
        <v>2</v>
      </c>
      <c r="AE168" s="9">
        <v>2</v>
      </c>
      <c r="AF168" s="23">
        <v>1</v>
      </c>
      <c r="AG168" s="23">
        <v>1</v>
      </c>
      <c r="AH168" s="23">
        <v>2</v>
      </c>
      <c r="AI168" s="23">
        <v>3</v>
      </c>
      <c r="AL168" s="20"/>
    </row>
    <row r="169" spans="1:38" ht="15.75" customHeight="1" x14ac:dyDescent="0.2">
      <c r="A169" s="6" t="s">
        <v>707</v>
      </c>
      <c r="B169" s="6">
        <v>1967</v>
      </c>
      <c r="C169" s="6" t="s">
        <v>25</v>
      </c>
      <c r="D169" s="6" t="s">
        <v>25</v>
      </c>
      <c r="E169" s="43">
        <v>3.9</v>
      </c>
      <c r="F169" s="43">
        <v>5632</v>
      </c>
      <c r="G169" s="43">
        <v>168</v>
      </c>
      <c r="H169" s="20">
        <v>51876</v>
      </c>
      <c r="I169" s="270">
        <v>10290</v>
      </c>
      <c r="J169" s="20">
        <v>1637</v>
      </c>
      <c r="K169" s="20">
        <v>679</v>
      </c>
      <c r="L169" s="20">
        <v>12343</v>
      </c>
      <c r="M169" s="20">
        <v>1.2</v>
      </c>
      <c r="N169" s="20">
        <v>15.2</v>
      </c>
      <c r="O169" s="20">
        <v>0.16</v>
      </c>
      <c r="P169" s="20">
        <v>1179</v>
      </c>
      <c r="Q169" s="20">
        <v>1.87</v>
      </c>
      <c r="R169" s="21">
        <v>0.3</v>
      </c>
      <c r="S169" s="22">
        <v>0.22</v>
      </c>
      <c r="T169" s="23">
        <v>3</v>
      </c>
      <c r="U169" s="23">
        <v>4</v>
      </c>
      <c r="V169" s="23">
        <v>4</v>
      </c>
      <c r="W169" s="23">
        <v>3</v>
      </c>
      <c r="X169" s="23">
        <v>4</v>
      </c>
      <c r="Y169" s="23">
        <v>2</v>
      </c>
      <c r="Z169" s="23">
        <v>4</v>
      </c>
      <c r="AA169" s="9">
        <v>1</v>
      </c>
      <c r="AB169" s="9">
        <v>2</v>
      </c>
      <c r="AC169" s="9">
        <v>0</v>
      </c>
      <c r="AD169" s="9">
        <v>1</v>
      </c>
      <c r="AE169" s="9">
        <v>0</v>
      </c>
      <c r="AF169" s="23">
        <v>1</v>
      </c>
      <c r="AG169" s="23">
        <v>3</v>
      </c>
      <c r="AH169" s="23">
        <v>1</v>
      </c>
      <c r="AI169" s="23">
        <v>4</v>
      </c>
      <c r="AL169" s="20"/>
    </row>
    <row r="170" spans="1:38" ht="15.75" customHeight="1" x14ac:dyDescent="0.2">
      <c r="A170" s="6" t="s">
        <v>118</v>
      </c>
      <c r="B170" s="6">
        <v>1925</v>
      </c>
      <c r="C170" s="6" t="s">
        <v>408</v>
      </c>
      <c r="D170" s="6" t="s">
        <v>408</v>
      </c>
      <c r="E170" s="43">
        <v>3.93</v>
      </c>
      <c r="F170" s="43">
        <v>5452210</v>
      </c>
      <c r="G170" s="43">
        <v>168</v>
      </c>
      <c r="H170" s="20">
        <v>261825</v>
      </c>
      <c r="I170" s="270">
        <v>49788</v>
      </c>
      <c r="J170" s="20">
        <v>6185</v>
      </c>
      <c r="K170" s="20">
        <v>3304</v>
      </c>
      <c r="L170" s="20">
        <v>60627</v>
      </c>
      <c r="M170" s="20">
        <v>1.22</v>
      </c>
      <c r="N170" s="20">
        <v>15.1</v>
      </c>
      <c r="O170" s="20">
        <v>0.12</v>
      </c>
      <c r="P170" s="20">
        <v>4304</v>
      </c>
      <c r="Q170" s="20">
        <v>1.94</v>
      </c>
      <c r="R170" s="21">
        <v>0.28999999999999998</v>
      </c>
      <c r="S170" s="22">
        <v>0.21</v>
      </c>
      <c r="T170" s="23">
        <v>3</v>
      </c>
      <c r="U170" s="23">
        <v>4</v>
      </c>
      <c r="V170" s="23">
        <v>4</v>
      </c>
      <c r="W170" s="23">
        <v>2</v>
      </c>
      <c r="X170" s="23">
        <v>3</v>
      </c>
      <c r="Y170" s="23">
        <v>1</v>
      </c>
      <c r="Z170" s="23">
        <v>3</v>
      </c>
      <c r="AA170" s="9">
        <v>0</v>
      </c>
      <c r="AB170" s="9">
        <v>2</v>
      </c>
      <c r="AC170" s="9">
        <v>3</v>
      </c>
      <c r="AD170" s="9">
        <v>2</v>
      </c>
      <c r="AE170" s="9">
        <v>4</v>
      </c>
      <c r="AF170" s="23">
        <v>1</v>
      </c>
      <c r="AG170" s="23">
        <v>3</v>
      </c>
      <c r="AH170" s="23">
        <v>1</v>
      </c>
      <c r="AI170" s="23">
        <v>2</v>
      </c>
      <c r="AL170" s="20"/>
    </row>
    <row r="171" spans="1:38" ht="15.75" customHeight="1" x14ac:dyDescent="0.2">
      <c r="A171" s="6" t="s">
        <v>708</v>
      </c>
      <c r="B171" s="6">
        <v>1943</v>
      </c>
      <c r="C171" s="6" t="s">
        <v>418</v>
      </c>
      <c r="D171" s="6" t="s">
        <v>418</v>
      </c>
      <c r="E171" s="43">
        <v>3.89</v>
      </c>
      <c r="F171" s="43">
        <v>8465</v>
      </c>
      <c r="G171" s="43">
        <v>167</v>
      </c>
      <c r="H171" s="20">
        <v>238544</v>
      </c>
      <c r="I171" s="270">
        <v>42647</v>
      </c>
      <c r="J171" s="20">
        <v>5651</v>
      </c>
      <c r="K171" s="20">
        <v>1261</v>
      </c>
      <c r="L171" s="20">
        <v>53043</v>
      </c>
      <c r="M171" s="20">
        <v>1.24</v>
      </c>
      <c r="N171" s="20">
        <v>33.799999999999997</v>
      </c>
      <c r="O171" s="20">
        <v>0.13</v>
      </c>
      <c r="P171" s="20">
        <v>4145</v>
      </c>
      <c r="Q171" s="20">
        <v>2.4300000000000002</v>
      </c>
      <c r="R171" s="21">
        <v>0.39</v>
      </c>
      <c r="S171" s="22">
        <v>0.32</v>
      </c>
      <c r="T171" s="23">
        <v>3</v>
      </c>
      <c r="U171" s="23">
        <v>4</v>
      </c>
      <c r="V171" s="23">
        <v>4</v>
      </c>
      <c r="W171" s="23">
        <v>3</v>
      </c>
      <c r="X171" s="23">
        <v>2</v>
      </c>
      <c r="Y171" s="23">
        <v>1</v>
      </c>
      <c r="Z171" s="23">
        <v>3</v>
      </c>
      <c r="AA171" s="9">
        <v>0</v>
      </c>
      <c r="AB171" s="9">
        <v>2</v>
      </c>
      <c r="AC171" s="9">
        <v>0</v>
      </c>
      <c r="AD171" s="9">
        <v>1</v>
      </c>
      <c r="AE171" s="9">
        <v>2</v>
      </c>
      <c r="AF171" s="23">
        <v>1</v>
      </c>
      <c r="AG171" s="23">
        <v>3</v>
      </c>
      <c r="AH171" s="23">
        <v>0</v>
      </c>
      <c r="AI171" s="23">
        <v>4</v>
      </c>
      <c r="AL171" s="20"/>
    </row>
    <row r="172" spans="1:38" ht="15.75" customHeight="1" x14ac:dyDescent="0.2">
      <c r="A172" s="6" t="s">
        <v>709</v>
      </c>
      <c r="B172" s="6">
        <v>2014</v>
      </c>
      <c r="C172" s="6" t="s">
        <v>399</v>
      </c>
      <c r="D172" s="6" t="s">
        <v>399</v>
      </c>
      <c r="E172" s="43">
        <v>3.45</v>
      </c>
      <c r="F172" s="43">
        <v>1189</v>
      </c>
      <c r="G172" s="43">
        <v>165</v>
      </c>
      <c r="H172" s="20">
        <v>106764</v>
      </c>
      <c r="I172" s="270">
        <v>19488</v>
      </c>
      <c r="J172" s="20">
        <v>3295</v>
      </c>
      <c r="K172" s="20">
        <v>984</v>
      </c>
      <c r="L172" s="20">
        <v>23985</v>
      </c>
      <c r="M172" s="20">
        <v>1.23</v>
      </c>
      <c r="N172" s="20">
        <v>19.8</v>
      </c>
      <c r="O172" s="20">
        <v>0.17</v>
      </c>
      <c r="P172" s="20">
        <v>2472</v>
      </c>
      <c r="Q172" s="20">
        <v>2.4</v>
      </c>
      <c r="R172" s="21">
        <v>0.3</v>
      </c>
      <c r="S172" s="22">
        <v>0.28000000000000003</v>
      </c>
      <c r="T172" s="23">
        <v>2</v>
      </c>
      <c r="U172" s="23">
        <v>3</v>
      </c>
      <c r="V172" s="23">
        <v>3</v>
      </c>
      <c r="W172" s="23">
        <v>1</v>
      </c>
      <c r="X172" s="23">
        <v>4</v>
      </c>
      <c r="Y172" s="23">
        <v>2</v>
      </c>
      <c r="Z172" s="23">
        <v>3</v>
      </c>
      <c r="AA172" s="9">
        <v>0</v>
      </c>
      <c r="AB172" s="9">
        <v>2</v>
      </c>
      <c r="AC172" s="9">
        <v>3</v>
      </c>
      <c r="AD172" s="9">
        <v>1</v>
      </c>
      <c r="AE172" s="9">
        <v>2</v>
      </c>
      <c r="AF172" s="23">
        <v>1</v>
      </c>
      <c r="AG172" s="23">
        <v>2</v>
      </c>
      <c r="AH172" s="23">
        <v>1</v>
      </c>
      <c r="AI172" s="23">
        <v>3</v>
      </c>
      <c r="AL172" s="20"/>
    </row>
    <row r="173" spans="1:38" ht="15.75" customHeight="1" x14ac:dyDescent="0.2">
      <c r="A173" s="6" t="s">
        <v>710</v>
      </c>
      <c r="B173" s="6">
        <v>1962</v>
      </c>
      <c r="C173" s="6" t="s">
        <v>473</v>
      </c>
      <c r="D173" s="6" t="s">
        <v>473</v>
      </c>
      <c r="E173" s="43">
        <v>4.18</v>
      </c>
      <c r="F173" s="43">
        <v>9480</v>
      </c>
      <c r="G173" s="43">
        <v>160</v>
      </c>
      <c r="H173" s="20">
        <v>520513</v>
      </c>
      <c r="I173" s="270">
        <v>95275</v>
      </c>
      <c r="J173" s="20">
        <v>10084</v>
      </c>
      <c r="K173" s="20">
        <v>4777</v>
      </c>
      <c r="L173" s="20">
        <v>117565</v>
      </c>
      <c r="M173" s="20">
        <v>1.23</v>
      </c>
      <c r="N173" s="20">
        <v>19.899999999999999</v>
      </c>
      <c r="O173" s="20">
        <v>0.11</v>
      </c>
      <c r="P173" s="20">
        <v>6826</v>
      </c>
      <c r="Q173" s="20">
        <v>2.0499999999999998</v>
      </c>
      <c r="R173" s="21">
        <v>0.3</v>
      </c>
      <c r="S173" s="22">
        <v>0.17</v>
      </c>
      <c r="T173" s="23">
        <v>2</v>
      </c>
      <c r="U173" s="23">
        <v>3</v>
      </c>
      <c r="V173" s="23">
        <v>4</v>
      </c>
      <c r="W173" s="23">
        <v>1</v>
      </c>
      <c r="X173" s="23">
        <v>3</v>
      </c>
      <c r="Y173" s="23">
        <v>2</v>
      </c>
      <c r="Z173" s="23">
        <v>3</v>
      </c>
      <c r="AA173" s="9">
        <v>0</v>
      </c>
      <c r="AB173" s="9">
        <v>2</v>
      </c>
      <c r="AC173" s="9">
        <v>1</v>
      </c>
      <c r="AD173" s="9">
        <v>2</v>
      </c>
      <c r="AE173" s="9">
        <v>4</v>
      </c>
      <c r="AF173" s="23">
        <v>0</v>
      </c>
      <c r="AG173" s="23">
        <v>1</v>
      </c>
      <c r="AH173" s="23">
        <v>2</v>
      </c>
      <c r="AI173" s="23">
        <v>3</v>
      </c>
      <c r="AL173" s="20"/>
    </row>
    <row r="174" spans="1:38" ht="15.75" customHeight="1" x14ac:dyDescent="0.2">
      <c r="A174" s="6" t="s">
        <v>711</v>
      </c>
      <c r="B174" s="6">
        <v>1925</v>
      </c>
      <c r="C174" s="6" t="s">
        <v>538</v>
      </c>
      <c r="D174" s="6" t="s">
        <v>538</v>
      </c>
      <c r="E174" s="43">
        <v>3.79</v>
      </c>
      <c r="F174" s="43">
        <v>322006</v>
      </c>
      <c r="G174" s="43">
        <v>159</v>
      </c>
      <c r="H174" s="20">
        <v>356159</v>
      </c>
      <c r="I174" s="270">
        <v>64740</v>
      </c>
      <c r="J174" s="20">
        <v>6948</v>
      </c>
      <c r="K174" s="20">
        <v>3788</v>
      </c>
      <c r="L174" s="20">
        <v>83232</v>
      </c>
      <c r="M174" s="20">
        <v>1.29</v>
      </c>
      <c r="N174" s="20">
        <v>17.100000000000001</v>
      </c>
      <c r="O174" s="20">
        <v>0.11</v>
      </c>
      <c r="P174" s="20">
        <v>4841</v>
      </c>
      <c r="Q174" s="20">
        <v>2.2599999999999998</v>
      </c>
      <c r="R174" s="21">
        <v>0.3</v>
      </c>
      <c r="S174" s="22">
        <v>0.23</v>
      </c>
      <c r="T174" s="23">
        <v>1</v>
      </c>
      <c r="U174" s="23">
        <v>2</v>
      </c>
      <c r="V174" s="23">
        <v>3</v>
      </c>
      <c r="W174" s="23">
        <v>1</v>
      </c>
      <c r="X174" s="23">
        <v>4</v>
      </c>
      <c r="Y174" s="23">
        <v>2</v>
      </c>
      <c r="Z174" s="23">
        <v>3</v>
      </c>
      <c r="AA174" s="9">
        <v>1</v>
      </c>
      <c r="AB174" s="9">
        <v>1</v>
      </c>
      <c r="AC174" s="9">
        <v>2</v>
      </c>
      <c r="AD174" s="9">
        <v>3</v>
      </c>
      <c r="AE174" s="9">
        <v>3</v>
      </c>
      <c r="AF174" s="23">
        <v>1</v>
      </c>
      <c r="AG174" s="23">
        <v>2</v>
      </c>
      <c r="AH174" s="23">
        <v>4</v>
      </c>
      <c r="AI174" s="23">
        <v>3</v>
      </c>
      <c r="AL174" s="20"/>
    </row>
    <row r="175" spans="1:38" ht="15.75" customHeight="1" x14ac:dyDescent="0.2">
      <c r="A175" s="6" t="s">
        <v>712</v>
      </c>
      <c r="B175" s="6">
        <v>2016</v>
      </c>
      <c r="C175" s="6" t="s">
        <v>537</v>
      </c>
      <c r="D175" s="6" t="s">
        <v>537</v>
      </c>
      <c r="E175" s="43">
        <v>3.85</v>
      </c>
      <c r="F175" s="43">
        <v>30483</v>
      </c>
      <c r="G175" s="43">
        <v>157</v>
      </c>
      <c r="H175" s="20">
        <v>150620</v>
      </c>
      <c r="I175" s="270">
        <v>27837</v>
      </c>
      <c r="J175" s="20">
        <v>3694</v>
      </c>
      <c r="K175" s="20">
        <v>2371</v>
      </c>
      <c r="L175" s="20">
        <v>34197</v>
      </c>
      <c r="M175" s="20">
        <v>1.23</v>
      </c>
      <c r="N175" s="20">
        <v>11.7</v>
      </c>
      <c r="O175" s="20">
        <v>0.13</v>
      </c>
      <c r="P175" s="20">
        <v>2644</v>
      </c>
      <c r="Q175" s="20">
        <v>1.68</v>
      </c>
      <c r="R175" s="21">
        <v>0.28000000000000003</v>
      </c>
      <c r="S175" s="22">
        <v>0.19</v>
      </c>
      <c r="T175" s="23">
        <v>3</v>
      </c>
      <c r="U175" s="23">
        <v>4</v>
      </c>
      <c r="V175" s="23">
        <v>4</v>
      </c>
      <c r="W175" s="23">
        <v>2</v>
      </c>
      <c r="X175" s="23">
        <v>3</v>
      </c>
      <c r="Y175" s="23">
        <v>1</v>
      </c>
      <c r="Z175" s="23">
        <v>3</v>
      </c>
      <c r="AA175" s="9">
        <v>0</v>
      </c>
      <c r="AB175" s="9">
        <v>2</v>
      </c>
      <c r="AC175" s="9">
        <v>0</v>
      </c>
      <c r="AD175" s="9">
        <v>1</v>
      </c>
      <c r="AE175" s="9">
        <v>3</v>
      </c>
      <c r="AF175" s="23">
        <v>0</v>
      </c>
      <c r="AG175" s="23">
        <v>2</v>
      </c>
      <c r="AH175" s="23">
        <v>0</v>
      </c>
      <c r="AI175" s="23">
        <v>3</v>
      </c>
      <c r="AL175" s="20"/>
    </row>
    <row r="176" spans="1:38" ht="15.75" customHeight="1" x14ac:dyDescent="0.2">
      <c r="A176" s="6" t="s">
        <v>713</v>
      </c>
      <c r="B176" s="6">
        <v>2010</v>
      </c>
      <c r="C176" s="6" t="s">
        <v>526</v>
      </c>
      <c r="D176" s="6" t="s">
        <v>526</v>
      </c>
      <c r="E176" s="43">
        <v>3.92</v>
      </c>
      <c r="F176" s="43">
        <v>6977</v>
      </c>
      <c r="G176" s="43">
        <v>156</v>
      </c>
      <c r="H176" s="20">
        <v>176304</v>
      </c>
      <c r="I176" s="270">
        <v>32031</v>
      </c>
      <c r="J176" s="20">
        <v>4207</v>
      </c>
      <c r="K176" s="20">
        <v>2034</v>
      </c>
      <c r="L176" s="20">
        <v>38961</v>
      </c>
      <c r="M176" s="20">
        <v>1.22</v>
      </c>
      <c r="N176" s="20">
        <v>15.7</v>
      </c>
      <c r="O176" s="20">
        <v>0.13</v>
      </c>
      <c r="P176" s="20">
        <v>2989</v>
      </c>
      <c r="Q176" s="20">
        <v>2.19</v>
      </c>
      <c r="R176" s="21">
        <v>0.31</v>
      </c>
      <c r="S176" s="22">
        <v>0.19</v>
      </c>
      <c r="T176" s="23">
        <v>2</v>
      </c>
      <c r="U176" s="23">
        <v>3</v>
      </c>
      <c r="V176" s="23">
        <v>4</v>
      </c>
      <c r="W176" s="23">
        <v>2</v>
      </c>
      <c r="X176" s="23">
        <v>4</v>
      </c>
      <c r="Y176" s="23">
        <v>1</v>
      </c>
      <c r="Z176" s="23">
        <v>3</v>
      </c>
      <c r="AA176" s="9">
        <v>1</v>
      </c>
      <c r="AB176" s="9">
        <v>0</v>
      </c>
      <c r="AC176" s="9">
        <v>2</v>
      </c>
      <c r="AD176" s="9">
        <v>1</v>
      </c>
      <c r="AE176" s="9">
        <v>2</v>
      </c>
      <c r="AF176" s="23">
        <v>1</v>
      </c>
      <c r="AG176" s="23">
        <v>2</v>
      </c>
      <c r="AH176" s="23">
        <v>4</v>
      </c>
      <c r="AI176" s="23">
        <v>4</v>
      </c>
      <c r="AL176" s="20"/>
    </row>
    <row r="177" spans="1:54" ht="15.75" customHeight="1" x14ac:dyDescent="0.2">
      <c r="A177" s="6" t="s">
        <v>714</v>
      </c>
      <c r="B177" s="6">
        <v>2003</v>
      </c>
      <c r="C177" s="6" t="s">
        <v>60</v>
      </c>
      <c r="D177" s="6" t="s">
        <v>60</v>
      </c>
      <c r="E177" s="43">
        <v>3.8</v>
      </c>
      <c r="F177" s="43">
        <v>13279</v>
      </c>
      <c r="G177" s="43">
        <v>154</v>
      </c>
      <c r="H177" s="20">
        <v>88835</v>
      </c>
      <c r="I177" s="270">
        <v>16205</v>
      </c>
      <c r="J177" s="20">
        <v>2649</v>
      </c>
      <c r="K177" s="20">
        <v>1830</v>
      </c>
      <c r="L177" s="20">
        <v>20431</v>
      </c>
      <c r="M177" s="20">
        <v>1.26</v>
      </c>
      <c r="N177" s="20">
        <v>8.9</v>
      </c>
      <c r="O177" s="20">
        <v>0.16</v>
      </c>
      <c r="P177" s="20">
        <v>1745</v>
      </c>
      <c r="Q177" s="20">
        <v>1.47</v>
      </c>
      <c r="R177" s="21">
        <v>0.32</v>
      </c>
      <c r="S177" s="22">
        <v>0.22</v>
      </c>
      <c r="T177" s="23">
        <v>3</v>
      </c>
      <c r="U177" s="23">
        <v>4</v>
      </c>
      <c r="V177" s="23">
        <v>4</v>
      </c>
      <c r="W177" s="23">
        <v>2</v>
      </c>
      <c r="X177" s="23">
        <v>4</v>
      </c>
      <c r="Y177" s="23">
        <v>1</v>
      </c>
      <c r="Z177" s="23">
        <v>3</v>
      </c>
      <c r="AA177" s="9">
        <v>2</v>
      </c>
      <c r="AB177" s="9">
        <v>1</v>
      </c>
      <c r="AC177" s="9">
        <v>4</v>
      </c>
      <c r="AD177" s="9">
        <v>3</v>
      </c>
      <c r="AE177" s="9">
        <v>1</v>
      </c>
      <c r="AF177" s="23">
        <v>2</v>
      </c>
      <c r="AG177" s="23">
        <v>3</v>
      </c>
      <c r="AH177" s="23">
        <v>2</v>
      </c>
      <c r="AI177" s="23">
        <v>4</v>
      </c>
      <c r="AL177" s="20"/>
    </row>
    <row r="178" spans="1:54" ht="15.75" customHeight="1" x14ac:dyDescent="0.2">
      <c r="A178" s="34" t="s">
        <v>52</v>
      </c>
      <c r="B178" s="34">
        <v>1887</v>
      </c>
      <c r="C178" s="34" t="s">
        <v>14</v>
      </c>
      <c r="D178" s="34" t="s">
        <v>14</v>
      </c>
      <c r="E178" s="42">
        <v>3.88</v>
      </c>
      <c r="F178" s="42">
        <v>65078</v>
      </c>
      <c r="G178" s="42">
        <v>154</v>
      </c>
      <c r="H178" s="281">
        <v>63197</v>
      </c>
      <c r="I178" s="289">
        <v>11535</v>
      </c>
      <c r="J178" s="281">
        <v>2500</v>
      </c>
      <c r="K178" s="281">
        <v>486</v>
      </c>
      <c r="L178" s="281">
        <v>14424</v>
      </c>
      <c r="M178" s="281">
        <v>1.25</v>
      </c>
      <c r="N178" s="281">
        <v>23.7</v>
      </c>
      <c r="O178" s="281">
        <v>0.22</v>
      </c>
      <c r="P178" s="281">
        <v>1856</v>
      </c>
      <c r="Q178" s="281">
        <v>2.42</v>
      </c>
      <c r="R178" s="290">
        <v>0.28999999999999998</v>
      </c>
      <c r="S178" s="291">
        <v>0.23</v>
      </c>
      <c r="T178" s="36">
        <v>2</v>
      </c>
      <c r="U178" s="36">
        <v>3</v>
      </c>
      <c r="V178" s="36">
        <v>3</v>
      </c>
      <c r="W178" s="36">
        <v>2</v>
      </c>
      <c r="X178" s="36">
        <v>3</v>
      </c>
      <c r="Y178" s="36">
        <v>2</v>
      </c>
      <c r="Z178" s="36">
        <v>3</v>
      </c>
      <c r="AA178" s="35">
        <v>2</v>
      </c>
      <c r="AB178" s="35">
        <v>1</v>
      </c>
      <c r="AC178" s="35">
        <v>2</v>
      </c>
      <c r="AD178" s="35">
        <v>3</v>
      </c>
      <c r="AE178" s="35">
        <v>2</v>
      </c>
      <c r="AF178" s="36">
        <v>1</v>
      </c>
      <c r="AG178" s="36">
        <v>3</v>
      </c>
      <c r="AH178" s="36">
        <v>3</v>
      </c>
      <c r="AI178" s="36">
        <v>2</v>
      </c>
      <c r="AJ178" s="34"/>
      <c r="AK178" s="34"/>
      <c r="AL178" s="281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</row>
    <row r="179" spans="1:54" ht="15.75" customHeight="1" x14ac:dyDescent="0.2">
      <c r="A179" s="282" t="s">
        <v>26</v>
      </c>
      <c r="B179" s="282">
        <v>1957</v>
      </c>
      <c r="C179" s="282" t="s">
        <v>23</v>
      </c>
      <c r="D179" s="282" t="s">
        <v>23</v>
      </c>
      <c r="E179" s="283">
        <v>3.87</v>
      </c>
      <c r="F179" s="283">
        <v>1544</v>
      </c>
      <c r="G179" s="283">
        <v>152</v>
      </c>
      <c r="H179" s="284">
        <v>60020</v>
      </c>
      <c r="I179" s="284">
        <v>10908</v>
      </c>
      <c r="J179" s="284">
        <v>2669</v>
      </c>
      <c r="K179" s="284">
        <v>770</v>
      </c>
      <c r="L179" s="284">
        <v>15105</v>
      </c>
      <c r="M179" s="284">
        <v>1.38</v>
      </c>
      <c r="N179" s="284">
        <v>14.2</v>
      </c>
      <c r="O179" s="284">
        <v>0.25</v>
      </c>
      <c r="P179" s="284">
        <v>1914</v>
      </c>
      <c r="Q179" s="284">
        <v>1.72</v>
      </c>
      <c r="R179" s="285">
        <v>0.3</v>
      </c>
      <c r="S179" s="286">
        <v>0.22</v>
      </c>
      <c r="T179" s="287">
        <v>3</v>
      </c>
      <c r="U179" s="287">
        <v>4</v>
      </c>
      <c r="V179" s="287">
        <v>4</v>
      </c>
      <c r="W179" s="287">
        <v>2</v>
      </c>
      <c r="X179" s="287">
        <v>3</v>
      </c>
      <c r="Y179" s="287">
        <v>1</v>
      </c>
      <c r="Z179" s="287">
        <v>2</v>
      </c>
      <c r="AA179" s="288">
        <v>4</v>
      </c>
      <c r="AB179" s="288">
        <v>2</v>
      </c>
      <c r="AC179" s="288">
        <v>1</v>
      </c>
      <c r="AD179" s="288">
        <v>4</v>
      </c>
      <c r="AE179" s="288">
        <v>1</v>
      </c>
      <c r="AF179" s="287">
        <v>2</v>
      </c>
      <c r="AG179" s="287">
        <v>3</v>
      </c>
      <c r="AH179" s="287">
        <v>3</v>
      </c>
      <c r="AI179" s="287">
        <v>3</v>
      </c>
      <c r="AJ179" s="282"/>
      <c r="AK179" s="282"/>
      <c r="AL179" s="284"/>
      <c r="AM179" s="282"/>
      <c r="AN179" s="282"/>
      <c r="AO179" s="282"/>
      <c r="AP179" s="282"/>
      <c r="AQ179" s="282"/>
      <c r="AR179" s="282"/>
      <c r="AS179" s="282"/>
      <c r="AT179" s="282"/>
      <c r="AU179" s="282"/>
      <c r="AV179" s="282"/>
      <c r="AW179" s="282"/>
      <c r="AX179" s="282"/>
      <c r="AY179" s="282"/>
      <c r="AZ179" s="282"/>
      <c r="BA179" s="282"/>
      <c r="BB179" s="282"/>
    </row>
    <row r="180" spans="1:54" ht="15.75" customHeight="1" x14ac:dyDescent="0.2">
      <c r="A180" s="6" t="s">
        <v>715</v>
      </c>
      <c r="B180" s="6">
        <v>2008</v>
      </c>
      <c r="C180" s="6" t="s">
        <v>531</v>
      </c>
      <c r="D180" s="6" t="s">
        <v>531</v>
      </c>
      <c r="E180" s="43">
        <v>3.9</v>
      </c>
      <c r="F180" s="43">
        <v>23417</v>
      </c>
      <c r="G180" s="43">
        <v>151</v>
      </c>
      <c r="H180" s="20">
        <v>297727</v>
      </c>
      <c r="I180" s="270">
        <v>57799</v>
      </c>
      <c r="J180" s="20">
        <v>7005</v>
      </c>
      <c r="K180" s="20">
        <v>4322</v>
      </c>
      <c r="L180" s="20">
        <v>70537</v>
      </c>
      <c r="M180" s="20">
        <v>1.22</v>
      </c>
      <c r="N180" s="20">
        <v>13.4</v>
      </c>
      <c r="O180" s="20">
        <v>0.12</v>
      </c>
      <c r="P180" s="20">
        <v>5127</v>
      </c>
      <c r="Q180" s="20">
        <v>1.77</v>
      </c>
      <c r="R180" s="21">
        <v>0.28000000000000003</v>
      </c>
      <c r="S180" s="22">
        <v>0.17</v>
      </c>
      <c r="T180" s="23">
        <v>2</v>
      </c>
      <c r="U180" s="23">
        <v>3</v>
      </c>
      <c r="V180" s="23">
        <v>4</v>
      </c>
      <c r="W180" s="23">
        <v>2</v>
      </c>
      <c r="X180" s="23">
        <v>3</v>
      </c>
      <c r="Y180" s="23">
        <v>1</v>
      </c>
      <c r="Z180" s="23">
        <v>4</v>
      </c>
      <c r="AA180" s="9">
        <v>0</v>
      </c>
      <c r="AB180" s="9">
        <v>1</v>
      </c>
      <c r="AC180" s="9">
        <v>2</v>
      </c>
      <c r="AD180" s="9">
        <v>0</v>
      </c>
      <c r="AE180" s="9">
        <v>3</v>
      </c>
      <c r="AF180" s="23">
        <v>1</v>
      </c>
      <c r="AG180" s="23">
        <v>2</v>
      </c>
      <c r="AH180" s="23">
        <v>0</v>
      </c>
      <c r="AI180" s="23">
        <v>3</v>
      </c>
      <c r="AL180" s="20"/>
    </row>
    <row r="181" spans="1:54" ht="15.75" customHeight="1" x14ac:dyDescent="0.2">
      <c r="A181" s="6" t="s">
        <v>716</v>
      </c>
      <c r="B181" s="6">
        <v>2001</v>
      </c>
      <c r="C181" s="6" t="s">
        <v>496</v>
      </c>
      <c r="D181" s="6" t="s">
        <v>496</v>
      </c>
      <c r="E181" s="43">
        <v>3.62</v>
      </c>
      <c r="F181" s="43">
        <v>12487</v>
      </c>
      <c r="G181" s="43">
        <v>151</v>
      </c>
      <c r="H181" s="20">
        <v>203026</v>
      </c>
      <c r="I181" s="270">
        <v>38302</v>
      </c>
      <c r="J181" s="20">
        <v>5221</v>
      </c>
      <c r="K181" s="20">
        <v>2798</v>
      </c>
      <c r="L181" s="20">
        <v>46867</v>
      </c>
      <c r="M181" s="20">
        <v>1.22</v>
      </c>
      <c r="N181" s="20">
        <v>13.7</v>
      </c>
      <c r="O181" s="20">
        <v>0.14000000000000001</v>
      </c>
      <c r="P181" s="20">
        <v>3872</v>
      </c>
      <c r="Q181" s="20">
        <v>1.82</v>
      </c>
      <c r="R181" s="21">
        <v>0.3</v>
      </c>
      <c r="S181" s="22">
        <v>0.16</v>
      </c>
      <c r="T181" s="23">
        <v>2</v>
      </c>
      <c r="U181" s="23">
        <v>3</v>
      </c>
      <c r="V181" s="23">
        <v>3</v>
      </c>
      <c r="W181" s="23">
        <v>1</v>
      </c>
      <c r="X181" s="23">
        <v>4</v>
      </c>
      <c r="Y181" s="23">
        <v>2</v>
      </c>
      <c r="Z181" s="23">
        <v>3</v>
      </c>
      <c r="AA181" s="9">
        <v>0</v>
      </c>
      <c r="AB181" s="9">
        <v>0</v>
      </c>
      <c r="AC181" s="9">
        <v>2</v>
      </c>
      <c r="AD181" s="9">
        <v>1</v>
      </c>
      <c r="AE181" s="9">
        <v>4</v>
      </c>
      <c r="AF181" s="23">
        <v>0</v>
      </c>
      <c r="AG181" s="23">
        <v>2</v>
      </c>
      <c r="AH181" s="23">
        <v>3</v>
      </c>
      <c r="AI181" s="23">
        <v>3</v>
      </c>
      <c r="AL181" s="20"/>
    </row>
    <row r="182" spans="1:54" ht="15.75" customHeight="1" x14ac:dyDescent="0.2">
      <c r="A182" s="6" t="s">
        <v>717</v>
      </c>
      <c r="B182" s="6">
        <v>1850</v>
      </c>
      <c r="C182" s="6" t="s">
        <v>545</v>
      </c>
      <c r="D182" s="6" t="s">
        <v>545</v>
      </c>
      <c r="E182" s="43">
        <v>3.35</v>
      </c>
      <c r="F182" s="43">
        <v>104</v>
      </c>
      <c r="G182" s="43">
        <v>149</v>
      </c>
      <c r="H182" s="20">
        <v>129062</v>
      </c>
      <c r="I182" s="270">
        <v>23452</v>
      </c>
      <c r="J182" s="20">
        <v>4503</v>
      </c>
      <c r="K182" s="20">
        <v>845</v>
      </c>
      <c r="L182" s="20">
        <v>30611</v>
      </c>
      <c r="M182" s="20">
        <v>1.31</v>
      </c>
      <c r="N182" s="20">
        <v>27.8</v>
      </c>
      <c r="O182" s="20">
        <v>0.19</v>
      </c>
      <c r="P182" s="20">
        <v>3099</v>
      </c>
      <c r="Q182" s="20">
        <v>2.67</v>
      </c>
      <c r="R182" s="21">
        <v>0.34</v>
      </c>
      <c r="S182" s="22">
        <v>0.22</v>
      </c>
      <c r="T182" s="23">
        <v>3</v>
      </c>
      <c r="U182" s="23">
        <v>4</v>
      </c>
      <c r="V182" s="23">
        <v>4</v>
      </c>
      <c r="W182" s="23">
        <v>3</v>
      </c>
      <c r="X182" s="23">
        <v>4</v>
      </c>
      <c r="Y182" s="23">
        <v>2</v>
      </c>
      <c r="Z182" s="23">
        <v>4</v>
      </c>
      <c r="AA182" s="9">
        <v>1</v>
      </c>
      <c r="AB182" s="9">
        <v>0</v>
      </c>
      <c r="AC182" s="9">
        <v>3</v>
      </c>
      <c r="AD182" s="9">
        <v>2</v>
      </c>
      <c r="AE182" s="9">
        <v>1</v>
      </c>
      <c r="AF182" s="23">
        <v>1</v>
      </c>
      <c r="AG182" s="23">
        <v>3</v>
      </c>
      <c r="AH182" s="23">
        <v>4</v>
      </c>
      <c r="AI182" s="23">
        <v>4</v>
      </c>
      <c r="AL182" s="20"/>
    </row>
    <row r="183" spans="1:54" ht="15.75" customHeight="1" x14ac:dyDescent="0.2">
      <c r="A183" s="6" t="s">
        <v>718</v>
      </c>
      <c r="B183" s="6">
        <v>1972</v>
      </c>
      <c r="C183" s="6" t="s">
        <v>406</v>
      </c>
      <c r="D183" s="6" t="s">
        <v>406</v>
      </c>
      <c r="E183" s="43">
        <v>3.52</v>
      </c>
      <c r="F183" s="43">
        <v>14520</v>
      </c>
      <c r="G183" s="43">
        <v>146</v>
      </c>
      <c r="H183" s="20">
        <v>214532</v>
      </c>
      <c r="I183" s="270">
        <v>40822</v>
      </c>
      <c r="J183" s="20">
        <v>4388</v>
      </c>
      <c r="K183" s="20">
        <v>3136</v>
      </c>
      <c r="L183" s="20">
        <v>51078</v>
      </c>
      <c r="M183" s="20">
        <v>1.25</v>
      </c>
      <c r="N183" s="20">
        <v>13</v>
      </c>
      <c r="O183" s="20">
        <v>0.11</v>
      </c>
      <c r="P183" s="20">
        <v>3106</v>
      </c>
      <c r="Q183" s="20">
        <v>2.0299999999999998</v>
      </c>
      <c r="R183" s="21">
        <v>0.28999999999999998</v>
      </c>
      <c r="S183" s="22">
        <v>0.22</v>
      </c>
      <c r="T183" s="23">
        <v>2</v>
      </c>
      <c r="U183" s="23">
        <v>3</v>
      </c>
      <c r="V183" s="23">
        <v>4</v>
      </c>
      <c r="W183" s="23">
        <v>2</v>
      </c>
      <c r="X183" s="23">
        <v>4</v>
      </c>
      <c r="Y183" s="23">
        <v>3</v>
      </c>
      <c r="Z183" s="23">
        <v>4</v>
      </c>
      <c r="AA183" s="9">
        <v>1</v>
      </c>
      <c r="AB183" s="9">
        <v>2</v>
      </c>
      <c r="AC183" s="9">
        <v>1</v>
      </c>
      <c r="AD183" s="9">
        <v>0</v>
      </c>
      <c r="AE183" s="9">
        <v>3</v>
      </c>
      <c r="AF183" s="23">
        <v>1</v>
      </c>
      <c r="AG183" s="23">
        <v>2</v>
      </c>
      <c r="AH183" s="23">
        <v>4</v>
      </c>
      <c r="AI183" s="23">
        <v>4</v>
      </c>
      <c r="AL183" s="20"/>
    </row>
    <row r="184" spans="1:54" ht="15.75" customHeight="1" x14ac:dyDescent="0.2">
      <c r="A184" s="6" t="s">
        <v>719</v>
      </c>
      <c r="B184" s="6">
        <v>2001</v>
      </c>
      <c r="C184" s="6" t="s">
        <v>396</v>
      </c>
      <c r="D184" s="6" t="s">
        <v>396</v>
      </c>
      <c r="E184" s="43">
        <v>4.13</v>
      </c>
      <c r="F184" s="43">
        <v>1324</v>
      </c>
      <c r="G184" s="43">
        <v>145</v>
      </c>
      <c r="H184" s="20">
        <v>105038</v>
      </c>
      <c r="I184" s="270">
        <v>19833</v>
      </c>
      <c r="J184" s="20">
        <v>4080</v>
      </c>
      <c r="K184" s="20">
        <v>1201</v>
      </c>
      <c r="L184" s="20">
        <v>24127</v>
      </c>
      <c r="M184" s="20">
        <v>1.22</v>
      </c>
      <c r="N184" s="20">
        <v>16.5</v>
      </c>
      <c r="O184" s="20">
        <v>0.21</v>
      </c>
      <c r="P184" s="20">
        <v>2984</v>
      </c>
      <c r="Q184" s="20">
        <v>1.95</v>
      </c>
      <c r="R184" s="21">
        <v>0.26</v>
      </c>
      <c r="S184" s="22">
        <v>0.18</v>
      </c>
      <c r="T184" s="23">
        <v>2</v>
      </c>
      <c r="U184" s="23">
        <v>3</v>
      </c>
      <c r="V184" s="23">
        <v>4</v>
      </c>
      <c r="W184" s="23">
        <v>2</v>
      </c>
      <c r="X184" s="23">
        <v>4</v>
      </c>
      <c r="Y184" s="23">
        <v>3</v>
      </c>
      <c r="Z184" s="23">
        <v>2</v>
      </c>
      <c r="AA184" s="9">
        <v>1</v>
      </c>
      <c r="AB184" s="9">
        <v>0</v>
      </c>
      <c r="AC184" s="9">
        <v>0</v>
      </c>
      <c r="AD184" s="9">
        <v>2</v>
      </c>
      <c r="AE184" s="9">
        <v>1</v>
      </c>
      <c r="AF184" s="23">
        <v>1</v>
      </c>
      <c r="AG184" s="23">
        <v>2</v>
      </c>
      <c r="AH184" s="23">
        <v>0</v>
      </c>
      <c r="AI184" s="23">
        <v>3</v>
      </c>
      <c r="AL184" s="20"/>
    </row>
    <row r="185" spans="1:54" ht="15.75" customHeight="1" x14ac:dyDescent="0.2">
      <c r="A185" s="6" t="s">
        <v>720</v>
      </c>
      <c r="B185" s="6">
        <v>2015</v>
      </c>
      <c r="C185" s="6" t="s">
        <v>476</v>
      </c>
      <c r="D185" s="6" t="s">
        <v>476</v>
      </c>
      <c r="E185" s="43">
        <v>3.83</v>
      </c>
      <c r="F185" s="43">
        <v>45082</v>
      </c>
      <c r="G185" s="43">
        <v>144</v>
      </c>
      <c r="H185" s="20">
        <v>71724</v>
      </c>
      <c r="I185" s="270">
        <v>13478</v>
      </c>
      <c r="J185" s="20">
        <v>3253</v>
      </c>
      <c r="K185" s="20">
        <v>1032</v>
      </c>
      <c r="L185" s="20">
        <v>17263</v>
      </c>
      <c r="M185" s="20">
        <v>1.28</v>
      </c>
      <c r="N185" s="20">
        <v>13.1</v>
      </c>
      <c r="O185" s="20">
        <v>0.24</v>
      </c>
      <c r="P185" s="20">
        <v>2339</v>
      </c>
      <c r="Q185" s="20">
        <v>1.72</v>
      </c>
      <c r="R185" s="21">
        <v>0.28000000000000003</v>
      </c>
      <c r="S185" s="22">
        <v>0.19</v>
      </c>
      <c r="T185" s="23">
        <v>3</v>
      </c>
      <c r="U185" s="23">
        <v>2</v>
      </c>
      <c r="V185" s="23">
        <v>3</v>
      </c>
      <c r="W185" s="23">
        <v>2</v>
      </c>
      <c r="X185" s="23">
        <v>4</v>
      </c>
      <c r="Y185" s="23">
        <v>1</v>
      </c>
      <c r="Z185" s="23">
        <v>3</v>
      </c>
      <c r="AA185" s="9">
        <v>0</v>
      </c>
      <c r="AB185" s="9">
        <v>1</v>
      </c>
      <c r="AC185" s="9">
        <v>0</v>
      </c>
      <c r="AD185" s="9">
        <v>1</v>
      </c>
      <c r="AE185" s="9">
        <v>4</v>
      </c>
      <c r="AF185" s="23">
        <v>1</v>
      </c>
      <c r="AG185" s="23">
        <v>2</v>
      </c>
      <c r="AH185" s="23">
        <v>1</v>
      </c>
      <c r="AI185" s="23">
        <v>3</v>
      </c>
      <c r="AL185" s="20"/>
    </row>
    <row r="186" spans="1:54" ht="15.75" customHeight="1" x14ac:dyDescent="0.2">
      <c r="A186" s="6" t="s">
        <v>721</v>
      </c>
      <c r="B186" s="6">
        <v>1861</v>
      </c>
      <c r="C186" s="6" t="s">
        <v>402</v>
      </c>
      <c r="D186" s="6" t="s">
        <v>402</v>
      </c>
      <c r="E186" s="43">
        <v>3.66</v>
      </c>
      <c r="F186" s="43">
        <v>1474</v>
      </c>
      <c r="G186" s="43">
        <v>142</v>
      </c>
      <c r="H186" s="20">
        <v>498507</v>
      </c>
      <c r="I186" s="270">
        <v>92908</v>
      </c>
      <c r="J186" s="20">
        <v>7817</v>
      </c>
      <c r="K186" s="20">
        <v>3749</v>
      </c>
      <c r="L186" s="20">
        <v>114840</v>
      </c>
      <c r="M186" s="20">
        <v>1.24</v>
      </c>
      <c r="N186" s="20">
        <v>24.8</v>
      </c>
      <c r="O186" s="20">
        <v>0.08</v>
      </c>
      <c r="P186" s="20">
        <v>5580</v>
      </c>
      <c r="Q186" s="20">
        <v>2.57</v>
      </c>
      <c r="R186" s="21">
        <v>0.33</v>
      </c>
      <c r="S186" s="22">
        <v>0.24</v>
      </c>
      <c r="T186" s="23">
        <v>2</v>
      </c>
      <c r="U186" s="23">
        <v>3</v>
      </c>
      <c r="V186" s="23">
        <v>3</v>
      </c>
      <c r="W186" s="23">
        <v>1</v>
      </c>
      <c r="X186" s="23">
        <v>3</v>
      </c>
      <c r="Y186" s="23">
        <v>4</v>
      </c>
      <c r="Z186" s="23">
        <v>3</v>
      </c>
      <c r="AA186" s="9">
        <v>0</v>
      </c>
      <c r="AB186" s="9">
        <v>2</v>
      </c>
      <c r="AC186" s="9">
        <v>1</v>
      </c>
      <c r="AD186" s="9">
        <v>0</v>
      </c>
      <c r="AE186" s="9">
        <v>4</v>
      </c>
      <c r="AF186" s="23">
        <v>1</v>
      </c>
      <c r="AG186" s="23">
        <v>2</v>
      </c>
      <c r="AH186" s="23">
        <v>3</v>
      </c>
      <c r="AI186" s="23">
        <v>2</v>
      </c>
      <c r="AL186" s="20"/>
    </row>
    <row r="187" spans="1:54" ht="15.75" customHeight="1" x14ac:dyDescent="0.2">
      <c r="A187" s="6" t="s">
        <v>722</v>
      </c>
      <c r="B187" s="6">
        <v>1860</v>
      </c>
      <c r="C187" s="6" t="s">
        <v>479</v>
      </c>
      <c r="D187" s="6" t="s">
        <v>479</v>
      </c>
      <c r="E187" s="43">
        <v>3.45</v>
      </c>
      <c r="F187" s="43">
        <v>2563</v>
      </c>
      <c r="G187" s="43">
        <v>141</v>
      </c>
      <c r="H187" s="20">
        <v>207362</v>
      </c>
      <c r="I187" s="270">
        <v>39355</v>
      </c>
      <c r="J187" s="20">
        <v>4254</v>
      </c>
      <c r="K187" s="20">
        <v>3594</v>
      </c>
      <c r="L187" s="20">
        <v>51695</v>
      </c>
      <c r="M187" s="20">
        <v>1.31</v>
      </c>
      <c r="N187" s="20">
        <v>11</v>
      </c>
      <c r="O187" s="20">
        <v>0.11</v>
      </c>
      <c r="P187" s="20">
        <v>2952</v>
      </c>
      <c r="Q187" s="20">
        <v>1.74</v>
      </c>
      <c r="R187" s="21">
        <v>0.28000000000000003</v>
      </c>
      <c r="S187" s="22">
        <v>0.28000000000000003</v>
      </c>
      <c r="T187" s="23">
        <v>2</v>
      </c>
      <c r="U187" s="23">
        <v>3</v>
      </c>
      <c r="V187" s="23">
        <v>4</v>
      </c>
      <c r="W187" s="23">
        <v>2</v>
      </c>
      <c r="X187" s="23">
        <v>4</v>
      </c>
      <c r="Y187" s="23">
        <v>1</v>
      </c>
      <c r="Z187" s="23">
        <v>3</v>
      </c>
      <c r="AA187" s="9">
        <v>2</v>
      </c>
      <c r="AB187" s="9">
        <v>3</v>
      </c>
      <c r="AC187" s="9">
        <v>2</v>
      </c>
      <c r="AD187" s="9">
        <v>4</v>
      </c>
      <c r="AE187" s="9">
        <v>3</v>
      </c>
      <c r="AF187" s="23">
        <v>1</v>
      </c>
      <c r="AG187" s="23">
        <v>2</v>
      </c>
      <c r="AH187" s="23">
        <v>1</v>
      </c>
      <c r="AI187" s="23">
        <v>3</v>
      </c>
      <c r="AL187" s="20"/>
    </row>
    <row r="188" spans="1:54" ht="15.75" customHeight="1" x14ac:dyDescent="0.2">
      <c r="A188" s="6" t="s">
        <v>723</v>
      </c>
      <c r="B188" s="6">
        <v>1962</v>
      </c>
      <c r="C188" s="6" t="s">
        <v>435</v>
      </c>
      <c r="D188" s="6" t="s">
        <v>435</v>
      </c>
      <c r="E188" s="43">
        <v>3.8</v>
      </c>
      <c r="F188" s="43">
        <v>1559</v>
      </c>
      <c r="G188" s="43">
        <v>140</v>
      </c>
      <c r="H188" s="20">
        <v>183134</v>
      </c>
      <c r="I188" s="270">
        <v>31341</v>
      </c>
      <c r="J188" s="20">
        <v>5209</v>
      </c>
      <c r="K188" s="20">
        <v>2539</v>
      </c>
      <c r="L188" s="20">
        <v>42986</v>
      </c>
      <c r="M188" s="20">
        <v>1.37</v>
      </c>
      <c r="N188" s="20">
        <v>12.3</v>
      </c>
      <c r="O188" s="20">
        <v>0.17</v>
      </c>
      <c r="P188" s="20">
        <v>3861</v>
      </c>
      <c r="Q188" s="20">
        <v>1.64</v>
      </c>
      <c r="R188" s="21">
        <v>0.27</v>
      </c>
      <c r="S188" s="22">
        <v>0.27</v>
      </c>
      <c r="T188" s="23">
        <v>3</v>
      </c>
      <c r="U188" s="23">
        <v>4</v>
      </c>
      <c r="V188" s="23">
        <v>4</v>
      </c>
      <c r="W188" s="23">
        <v>2</v>
      </c>
      <c r="X188" s="23">
        <v>3</v>
      </c>
      <c r="Y188" s="23">
        <v>3</v>
      </c>
      <c r="Z188" s="23">
        <v>2</v>
      </c>
      <c r="AA188" s="9">
        <v>0</v>
      </c>
      <c r="AB188" s="9">
        <v>1</v>
      </c>
      <c r="AC188" s="9">
        <v>0</v>
      </c>
      <c r="AD188" s="9">
        <v>1</v>
      </c>
      <c r="AE188" s="9">
        <v>2</v>
      </c>
      <c r="AF188" s="23">
        <v>1</v>
      </c>
      <c r="AG188" s="23">
        <v>2</v>
      </c>
      <c r="AH188" s="23">
        <v>1</v>
      </c>
      <c r="AI188" s="23">
        <v>3</v>
      </c>
      <c r="AL188" s="20"/>
    </row>
    <row r="189" spans="1:54" ht="15.75" customHeight="1" x14ac:dyDescent="0.2">
      <c r="A189" s="6" t="s">
        <v>724</v>
      </c>
      <c r="B189" s="6">
        <v>2000</v>
      </c>
      <c r="C189" s="6" t="s">
        <v>384</v>
      </c>
      <c r="D189" s="6" t="s">
        <v>384</v>
      </c>
      <c r="E189" s="43">
        <v>3.96</v>
      </c>
      <c r="F189" s="43">
        <v>1148</v>
      </c>
      <c r="G189" s="43">
        <v>138</v>
      </c>
      <c r="H189" s="20">
        <v>160420</v>
      </c>
      <c r="I189" s="270">
        <v>31489</v>
      </c>
      <c r="J189" s="20">
        <v>3761</v>
      </c>
      <c r="K189" s="20">
        <v>1963</v>
      </c>
      <c r="L189" s="20">
        <v>36639</v>
      </c>
      <c r="M189" s="20">
        <v>1.1599999999999999</v>
      </c>
      <c r="N189" s="20">
        <v>16</v>
      </c>
      <c r="O189" s="20">
        <v>0.12</v>
      </c>
      <c r="P189" s="20">
        <v>2637</v>
      </c>
      <c r="Q189" s="20">
        <v>1.84</v>
      </c>
      <c r="R189" s="21">
        <v>0.3</v>
      </c>
      <c r="S189" s="22">
        <v>0.3</v>
      </c>
      <c r="T189" s="23">
        <v>2</v>
      </c>
      <c r="U189" s="23">
        <v>3</v>
      </c>
      <c r="V189" s="23">
        <v>4</v>
      </c>
      <c r="W189" s="23">
        <v>2</v>
      </c>
      <c r="X189" s="23">
        <v>4</v>
      </c>
      <c r="Y189" s="23">
        <v>1</v>
      </c>
      <c r="Z189" s="23">
        <v>3</v>
      </c>
      <c r="AA189" s="9">
        <v>0</v>
      </c>
      <c r="AB189" s="9">
        <v>1</v>
      </c>
      <c r="AC189" s="9">
        <v>0</v>
      </c>
      <c r="AD189" s="9">
        <v>1</v>
      </c>
      <c r="AE189" s="9">
        <v>4</v>
      </c>
      <c r="AF189" s="23">
        <v>1</v>
      </c>
      <c r="AG189" s="23">
        <v>2</v>
      </c>
      <c r="AH189" s="23">
        <v>0</v>
      </c>
      <c r="AI189" s="23">
        <v>3</v>
      </c>
      <c r="AL189" s="20"/>
    </row>
    <row r="190" spans="1:54" ht="15.75" customHeight="1" x14ac:dyDescent="0.2">
      <c r="A190" s="6" t="s">
        <v>725</v>
      </c>
      <c r="B190" s="6">
        <v>1996</v>
      </c>
      <c r="C190" s="6" t="s">
        <v>522</v>
      </c>
      <c r="D190" s="6" t="s">
        <v>522</v>
      </c>
      <c r="E190" s="43">
        <v>4.59</v>
      </c>
      <c r="F190" s="43">
        <v>17591</v>
      </c>
      <c r="G190" s="43">
        <v>138</v>
      </c>
      <c r="H190" s="20">
        <v>144972</v>
      </c>
      <c r="I190" s="270">
        <v>28651</v>
      </c>
      <c r="J190" s="20">
        <v>3486</v>
      </c>
      <c r="K190" s="20">
        <v>2185</v>
      </c>
      <c r="L190" s="20">
        <v>35689</v>
      </c>
      <c r="M190" s="20">
        <v>1.25</v>
      </c>
      <c r="N190" s="20">
        <v>13.1</v>
      </c>
      <c r="O190" s="20">
        <v>0.12</v>
      </c>
      <c r="P190" s="20">
        <v>2429</v>
      </c>
      <c r="Q190" s="20">
        <v>1.92</v>
      </c>
      <c r="R190" s="21">
        <v>0.27</v>
      </c>
      <c r="S190" s="22">
        <v>0.27</v>
      </c>
      <c r="T190" s="23">
        <v>3</v>
      </c>
      <c r="U190" s="23">
        <v>4</v>
      </c>
      <c r="V190" s="23">
        <v>4</v>
      </c>
      <c r="W190" s="23">
        <v>3</v>
      </c>
      <c r="X190" s="23">
        <v>4</v>
      </c>
      <c r="Y190" s="23">
        <v>2</v>
      </c>
      <c r="Z190" s="23">
        <v>4</v>
      </c>
      <c r="AA190" s="9">
        <v>0</v>
      </c>
      <c r="AB190" s="9">
        <v>2</v>
      </c>
      <c r="AC190" s="9">
        <v>1</v>
      </c>
      <c r="AD190" s="9">
        <v>0</v>
      </c>
      <c r="AE190" s="9">
        <v>4</v>
      </c>
      <c r="AF190" s="23">
        <v>1</v>
      </c>
      <c r="AG190" s="23">
        <v>3</v>
      </c>
      <c r="AH190" s="23">
        <v>1</v>
      </c>
      <c r="AI190" s="23">
        <v>4</v>
      </c>
      <c r="AL190" s="20"/>
    </row>
    <row r="191" spans="1:54" ht="15.75" customHeight="1" x14ac:dyDescent="0.2">
      <c r="A191" s="31" t="s">
        <v>45</v>
      </c>
      <c r="B191" s="31">
        <v>1896</v>
      </c>
      <c r="C191" s="31" t="s">
        <v>46</v>
      </c>
      <c r="D191" s="6" t="s">
        <v>46</v>
      </c>
      <c r="E191" s="43">
        <v>3.71</v>
      </c>
      <c r="F191" s="43">
        <v>510</v>
      </c>
      <c r="G191" s="43">
        <v>137</v>
      </c>
      <c r="H191" s="20">
        <v>93421</v>
      </c>
      <c r="I191" s="270">
        <v>18649</v>
      </c>
      <c r="J191" s="20">
        <v>1954</v>
      </c>
      <c r="K191" s="20">
        <v>841</v>
      </c>
      <c r="L191" s="20">
        <v>22157</v>
      </c>
      <c r="M191" s="20">
        <v>1.19</v>
      </c>
      <c r="N191" s="20">
        <v>22.2</v>
      </c>
      <c r="O191" s="20">
        <v>0.11</v>
      </c>
      <c r="P191" s="20">
        <v>1421</v>
      </c>
      <c r="Q191" s="20">
        <v>2.54</v>
      </c>
      <c r="R191" s="21">
        <v>0.33</v>
      </c>
      <c r="S191" s="22">
        <v>0.24</v>
      </c>
      <c r="T191" s="33">
        <v>2</v>
      </c>
      <c r="U191" s="33">
        <v>3</v>
      </c>
      <c r="V191" s="33">
        <v>4</v>
      </c>
      <c r="W191" s="33">
        <v>2</v>
      </c>
      <c r="X191" s="33">
        <v>3</v>
      </c>
      <c r="Y191" s="33">
        <v>1</v>
      </c>
      <c r="Z191" s="33">
        <v>3</v>
      </c>
      <c r="AA191" s="32">
        <v>0</v>
      </c>
      <c r="AB191" s="32">
        <v>4</v>
      </c>
      <c r="AC191" s="32">
        <v>1</v>
      </c>
      <c r="AD191" s="32">
        <v>0</v>
      </c>
      <c r="AE191" s="32">
        <v>2</v>
      </c>
      <c r="AF191" s="33">
        <v>1</v>
      </c>
      <c r="AG191" s="33">
        <v>3</v>
      </c>
      <c r="AH191" s="33">
        <v>4</v>
      </c>
      <c r="AI191" s="33">
        <v>3</v>
      </c>
      <c r="AJ191" s="31"/>
      <c r="AK191" s="31"/>
      <c r="AL191" s="280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</row>
    <row r="192" spans="1:54" ht="15.75" customHeight="1" x14ac:dyDescent="0.2">
      <c r="A192" s="6" t="s">
        <v>726</v>
      </c>
      <c r="B192" s="6">
        <v>1719</v>
      </c>
      <c r="C192" s="6" t="s">
        <v>390</v>
      </c>
      <c r="D192" s="6" t="s">
        <v>390</v>
      </c>
      <c r="E192" s="43">
        <v>3.29</v>
      </c>
      <c r="F192" s="43">
        <v>181</v>
      </c>
      <c r="G192" s="43">
        <v>136</v>
      </c>
      <c r="H192" s="20">
        <v>148470</v>
      </c>
      <c r="I192" s="270">
        <v>29562</v>
      </c>
      <c r="J192" s="20">
        <v>2761</v>
      </c>
      <c r="K192" s="20">
        <v>404</v>
      </c>
      <c r="L192" s="20">
        <v>35941</v>
      </c>
      <c r="M192" s="20">
        <v>1.22</v>
      </c>
      <c r="N192" s="20">
        <v>73.2</v>
      </c>
      <c r="O192" s="20">
        <v>0.09</v>
      </c>
      <c r="P192" s="20">
        <v>1339</v>
      </c>
      <c r="Q192" s="20">
        <v>7.16</v>
      </c>
      <c r="R192" s="21">
        <v>0.52</v>
      </c>
      <c r="S192" s="22">
        <v>0.36</v>
      </c>
      <c r="T192" s="23">
        <v>2</v>
      </c>
      <c r="U192" s="23">
        <v>3</v>
      </c>
      <c r="V192" s="23">
        <v>4</v>
      </c>
      <c r="W192" s="23">
        <v>2</v>
      </c>
      <c r="X192" s="23">
        <v>3</v>
      </c>
      <c r="Y192" s="23">
        <v>3</v>
      </c>
      <c r="Z192" s="23">
        <v>4</v>
      </c>
      <c r="AA192" s="9">
        <v>1</v>
      </c>
      <c r="AB192" s="9">
        <v>2</v>
      </c>
      <c r="AC192" s="9">
        <v>0</v>
      </c>
      <c r="AD192" s="9">
        <v>1</v>
      </c>
      <c r="AE192" s="9">
        <v>2</v>
      </c>
      <c r="AF192" s="23">
        <v>1</v>
      </c>
      <c r="AG192" s="23">
        <v>2</v>
      </c>
      <c r="AH192" s="23">
        <v>0</v>
      </c>
      <c r="AI192" s="23">
        <v>3</v>
      </c>
      <c r="AL192" s="20"/>
    </row>
    <row r="193" spans="1:54" ht="15.75" customHeight="1" x14ac:dyDescent="0.2">
      <c r="A193" s="6" t="s">
        <v>727</v>
      </c>
      <c r="B193" s="6">
        <v>1972</v>
      </c>
      <c r="C193" s="6" t="s">
        <v>534</v>
      </c>
      <c r="D193" s="6" t="s">
        <v>534</v>
      </c>
      <c r="E193" s="43">
        <v>4.13</v>
      </c>
      <c r="F193" s="43">
        <v>118473</v>
      </c>
      <c r="G193" s="43">
        <v>135</v>
      </c>
      <c r="H193" s="20">
        <v>348080</v>
      </c>
      <c r="I193" s="270">
        <v>66821</v>
      </c>
      <c r="J193" s="20">
        <v>5653</v>
      </c>
      <c r="K193" s="20">
        <v>4524</v>
      </c>
      <c r="L193" s="20">
        <v>85260</v>
      </c>
      <c r="M193" s="20">
        <v>1.28</v>
      </c>
      <c r="N193" s="20">
        <v>14.8</v>
      </c>
      <c r="O193" s="20">
        <v>0.09</v>
      </c>
      <c r="P193" s="20">
        <v>4005</v>
      </c>
      <c r="Q193" s="20">
        <v>1.79</v>
      </c>
      <c r="R193" s="21">
        <v>0.32</v>
      </c>
      <c r="S193" s="22">
        <v>0.32</v>
      </c>
      <c r="T193" s="23">
        <v>3</v>
      </c>
      <c r="U193" s="23">
        <v>4</v>
      </c>
      <c r="V193" s="23">
        <v>4</v>
      </c>
      <c r="W193" s="23">
        <v>3</v>
      </c>
      <c r="X193" s="23">
        <v>4</v>
      </c>
      <c r="Y193" s="23">
        <v>2</v>
      </c>
      <c r="Z193" s="23">
        <v>3</v>
      </c>
      <c r="AA193" s="9">
        <v>1</v>
      </c>
      <c r="AB193" s="9">
        <v>2</v>
      </c>
      <c r="AC193" s="9">
        <v>1</v>
      </c>
      <c r="AD193" s="9">
        <v>0</v>
      </c>
      <c r="AE193" s="9">
        <v>2</v>
      </c>
      <c r="AF193" s="23">
        <v>1</v>
      </c>
      <c r="AG193" s="23">
        <v>4</v>
      </c>
      <c r="AH193" s="23">
        <v>2</v>
      </c>
      <c r="AI193" s="23">
        <v>4</v>
      </c>
      <c r="AL193" s="20"/>
    </row>
    <row r="194" spans="1:54" ht="15.75" customHeight="1" x14ac:dyDescent="0.2">
      <c r="A194" s="6" t="s">
        <v>728</v>
      </c>
      <c r="B194" s="6">
        <v>1972</v>
      </c>
      <c r="C194" s="6" t="s">
        <v>423</v>
      </c>
      <c r="D194" s="6" t="s">
        <v>423</v>
      </c>
      <c r="E194" s="43">
        <v>4.07</v>
      </c>
      <c r="F194" s="43">
        <v>359381</v>
      </c>
      <c r="G194" s="43">
        <v>134</v>
      </c>
      <c r="H194" s="20">
        <v>286423</v>
      </c>
      <c r="I194" s="270">
        <v>54072</v>
      </c>
      <c r="J194" s="20">
        <v>6552</v>
      </c>
      <c r="K194" s="20">
        <v>4964</v>
      </c>
      <c r="L194" s="20">
        <v>68471</v>
      </c>
      <c r="M194" s="20">
        <v>1.27</v>
      </c>
      <c r="N194" s="20">
        <v>10.9</v>
      </c>
      <c r="O194" s="20">
        <v>0.12</v>
      </c>
      <c r="P194" s="20">
        <v>4304</v>
      </c>
      <c r="Q194" s="20">
        <v>1.67</v>
      </c>
      <c r="R194" s="21">
        <v>0.26</v>
      </c>
      <c r="S194" s="22">
        <v>0.26</v>
      </c>
      <c r="T194" s="23">
        <v>2</v>
      </c>
      <c r="U194" s="23">
        <v>1</v>
      </c>
      <c r="V194" s="23">
        <v>3</v>
      </c>
      <c r="W194" s="23">
        <v>1</v>
      </c>
      <c r="X194" s="23">
        <v>4</v>
      </c>
      <c r="Y194" s="23">
        <v>1</v>
      </c>
      <c r="Z194" s="23">
        <v>3</v>
      </c>
      <c r="AA194" s="9">
        <v>1</v>
      </c>
      <c r="AB194" s="9">
        <v>0</v>
      </c>
      <c r="AC194" s="9">
        <v>0</v>
      </c>
      <c r="AD194" s="9">
        <v>4</v>
      </c>
      <c r="AE194" s="9">
        <v>2</v>
      </c>
      <c r="AF194" s="23">
        <v>0</v>
      </c>
      <c r="AG194" s="23">
        <v>1</v>
      </c>
      <c r="AH194" s="23">
        <v>0</v>
      </c>
      <c r="AI194" s="23">
        <v>2</v>
      </c>
      <c r="AL194" s="20"/>
    </row>
    <row r="195" spans="1:54" ht="15.75" customHeight="1" x14ac:dyDescent="0.2">
      <c r="A195" s="6" t="s">
        <v>729</v>
      </c>
      <c r="B195" s="6">
        <v>1996</v>
      </c>
      <c r="C195" s="6" t="s">
        <v>522</v>
      </c>
      <c r="D195" s="6" t="s">
        <v>522</v>
      </c>
      <c r="E195" s="43">
        <v>4.47</v>
      </c>
      <c r="F195" s="43">
        <v>17699</v>
      </c>
      <c r="G195" s="43">
        <v>133</v>
      </c>
      <c r="H195" s="20">
        <v>110277</v>
      </c>
      <c r="I195" s="270">
        <v>21376</v>
      </c>
      <c r="J195" s="20">
        <v>3109</v>
      </c>
      <c r="K195" s="20">
        <v>1319</v>
      </c>
      <c r="L195" s="20">
        <v>26481</v>
      </c>
      <c r="M195" s="20">
        <v>1.24</v>
      </c>
      <c r="N195" s="20">
        <v>16.2</v>
      </c>
      <c r="O195" s="20">
        <v>0.15</v>
      </c>
      <c r="P195" s="20">
        <v>2209</v>
      </c>
      <c r="Q195" s="20">
        <v>2.14</v>
      </c>
      <c r="R195" s="21">
        <v>0.27</v>
      </c>
      <c r="S195" s="22">
        <v>0.27</v>
      </c>
      <c r="T195" s="23">
        <v>2</v>
      </c>
      <c r="U195" s="23">
        <v>3</v>
      </c>
      <c r="V195" s="23">
        <v>4</v>
      </c>
      <c r="W195" s="23">
        <v>1</v>
      </c>
      <c r="X195" s="23">
        <v>3</v>
      </c>
      <c r="Y195" s="23">
        <v>2</v>
      </c>
      <c r="Z195" s="23">
        <v>3</v>
      </c>
      <c r="AA195" s="9">
        <v>0</v>
      </c>
      <c r="AB195" s="9">
        <v>1</v>
      </c>
      <c r="AC195" s="9">
        <v>0</v>
      </c>
      <c r="AD195" s="9">
        <v>1</v>
      </c>
      <c r="AE195" s="9">
        <v>3</v>
      </c>
      <c r="AF195" s="23">
        <v>0</v>
      </c>
      <c r="AG195" s="23">
        <v>2</v>
      </c>
      <c r="AH195" s="23">
        <v>0</v>
      </c>
      <c r="AI195" s="23">
        <v>2</v>
      </c>
      <c r="AL195" s="20"/>
    </row>
    <row r="196" spans="1:54" ht="15.75" customHeight="1" x14ac:dyDescent="0.2">
      <c r="A196" s="31" t="s">
        <v>47</v>
      </c>
      <c r="B196" s="31">
        <v>2003</v>
      </c>
      <c r="C196" s="31" t="s">
        <v>48</v>
      </c>
      <c r="D196" s="6" t="s">
        <v>48</v>
      </c>
      <c r="E196" s="43">
        <v>3.62</v>
      </c>
      <c r="F196" s="43">
        <v>28863</v>
      </c>
      <c r="G196" s="43">
        <v>132</v>
      </c>
      <c r="H196" s="20">
        <v>39770</v>
      </c>
      <c r="I196" s="270">
        <v>7580</v>
      </c>
      <c r="J196" s="20">
        <v>1576</v>
      </c>
      <c r="K196" s="20">
        <v>545</v>
      </c>
      <c r="L196" s="20">
        <v>9717</v>
      </c>
      <c r="M196" s="20">
        <v>1.28</v>
      </c>
      <c r="N196" s="20">
        <v>13.9</v>
      </c>
      <c r="O196" s="20">
        <v>0.21</v>
      </c>
      <c r="P196" s="20">
        <v>1127</v>
      </c>
      <c r="Q196" s="20">
        <v>1.94</v>
      </c>
      <c r="R196" s="21">
        <v>0.28999999999999998</v>
      </c>
      <c r="S196" s="22">
        <v>0.28999999999999998</v>
      </c>
      <c r="T196" s="33">
        <v>2</v>
      </c>
      <c r="U196" s="33">
        <v>3</v>
      </c>
      <c r="V196" s="33">
        <v>4</v>
      </c>
      <c r="W196" s="33">
        <v>2</v>
      </c>
      <c r="X196" s="33">
        <v>3</v>
      </c>
      <c r="Y196" s="33">
        <v>3</v>
      </c>
      <c r="Z196" s="33">
        <v>2</v>
      </c>
      <c r="AA196" s="32">
        <v>1</v>
      </c>
      <c r="AB196" s="32">
        <v>4</v>
      </c>
      <c r="AC196" s="32">
        <v>0</v>
      </c>
      <c r="AD196" s="32">
        <v>1</v>
      </c>
      <c r="AE196" s="32">
        <v>2</v>
      </c>
      <c r="AF196" s="33">
        <v>2</v>
      </c>
      <c r="AG196" s="33">
        <v>3</v>
      </c>
      <c r="AH196" s="33">
        <v>4</v>
      </c>
      <c r="AI196" s="33">
        <v>4</v>
      </c>
      <c r="AJ196" s="31"/>
      <c r="AK196" s="31"/>
      <c r="AL196" s="280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</row>
    <row r="197" spans="1:54" ht="15.75" customHeight="1" x14ac:dyDescent="0.2">
      <c r="A197" s="6" t="s">
        <v>730</v>
      </c>
      <c r="B197" s="6">
        <v>1926</v>
      </c>
      <c r="C197" s="6" t="s">
        <v>543</v>
      </c>
      <c r="D197" s="6" t="s">
        <v>543</v>
      </c>
      <c r="E197" s="43">
        <v>3.61</v>
      </c>
      <c r="F197" s="43">
        <v>3255</v>
      </c>
      <c r="G197" s="43">
        <v>132</v>
      </c>
      <c r="H197" s="20">
        <v>124448</v>
      </c>
      <c r="I197" s="270">
        <v>23484</v>
      </c>
      <c r="J197" s="20">
        <v>3787</v>
      </c>
      <c r="K197" s="20">
        <v>1381</v>
      </c>
      <c r="L197" s="20">
        <v>28809</v>
      </c>
      <c r="M197" s="20">
        <v>1.23</v>
      </c>
      <c r="N197" s="20">
        <v>17</v>
      </c>
      <c r="O197" s="20">
        <v>0.16</v>
      </c>
      <c r="P197" s="20">
        <v>2725</v>
      </c>
      <c r="Q197" s="20">
        <v>2.0499999999999998</v>
      </c>
      <c r="R197" s="21">
        <v>0.28999999999999998</v>
      </c>
      <c r="S197" s="22">
        <v>0.17</v>
      </c>
      <c r="T197" s="23">
        <v>2</v>
      </c>
      <c r="U197" s="23">
        <v>3</v>
      </c>
      <c r="V197" s="23">
        <v>3</v>
      </c>
      <c r="W197" s="23">
        <v>1</v>
      </c>
      <c r="X197" s="23">
        <v>4</v>
      </c>
      <c r="Y197" s="23">
        <v>2</v>
      </c>
      <c r="Z197" s="23">
        <v>4</v>
      </c>
      <c r="AA197" s="9">
        <v>0</v>
      </c>
      <c r="AB197" s="9">
        <v>0</v>
      </c>
      <c r="AC197" s="9">
        <v>2</v>
      </c>
      <c r="AD197" s="9">
        <v>0</v>
      </c>
      <c r="AE197" s="9">
        <v>4</v>
      </c>
      <c r="AF197" s="23">
        <v>0</v>
      </c>
      <c r="AG197" s="23">
        <v>1</v>
      </c>
      <c r="AH197" s="23">
        <v>3</v>
      </c>
      <c r="AI197" s="23">
        <v>2</v>
      </c>
      <c r="AL197" s="20"/>
    </row>
    <row r="198" spans="1:54" ht="15.75" customHeight="1" x14ac:dyDescent="0.2">
      <c r="A198" s="6" t="s">
        <v>731</v>
      </c>
      <c r="B198" s="6">
        <v>2012</v>
      </c>
      <c r="C198" s="6" t="s">
        <v>435</v>
      </c>
      <c r="D198" s="6" t="s">
        <v>435</v>
      </c>
      <c r="E198" s="43">
        <v>4.21</v>
      </c>
      <c r="F198" s="43">
        <v>174</v>
      </c>
      <c r="G198" s="43">
        <v>131</v>
      </c>
      <c r="H198" s="20">
        <v>73757</v>
      </c>
      <c r="I198" s="270">
        <v>12673</v>
      </c>
      <c r="J198" s="20">
        <v>2997</v>
      </c>
      <c r="K198" s="20">
        <v>1019</v>
      </c>
      <c r="L198" s="20">
        <v>17642</v>
      </c>
      <c r="M198" s="20">
        <v>1.39</v>
      </c>
      <c r="N198" s="20">
        <v>12.4</v>
      </c>
      <c r="O198" s="20">
        <v>0.24</v>
      </c>
      <c r="P198" s="20">
        <v>2246</v>
      </c>
      <c r="Q198" s="20">
        <v>1.62</v>
      </c>
      <c r="R198" s="21">
        <v>0.24</v>
      </c>
      <c r="S198" s="22">
        <v>0.24</v>
      </c>
      <c r="T198" s="23">
        <v>3</v>
      </c>
      <c r="U198" s="23">
        <v>4</v>
      </c>
      <c r="V198" s="23">
        <v>4</v>
      </c>
      <c r="W198" s="23">
        <v>3</v>
      </c>
      <c r="X198" s="23">
        <v>4</v>
      </c>
      <c r="Y198" s="23">
        <v>2</v>
      </c>
      <c r="Z198" s="23">
        <v>3</v>
      </c>
      <c r="AA198" s="9">
        <v>2</v>
      </c>
      <c r="AB198" s="9">
        <v>4</v>
      </c>
      <c r="AC198" s="9">
        <v>0</v>
      </c>
      <c r="AD198" s="9">
        <v>3</v>
      </c>
      <c r="AE198" s="9">
        <v>1</v>
      </c>
      <c r="AF198" s="23">
        <v>2</v>
      </c>
      <c r="AG198" s="23">
        <v>3</v>
      </c>
      <c r="AH198" s="23">
        <v>1</v>
      </c>
      <c r="AI198" s="23">
        <v>4</v>
      </c>
      <c r="AL198" s="20"/>
    </row>
    <row r="199" spans="1:54" ht="15.75" customHeight="1" x14ac:dyDescent="0.2">
      <c r="A199" s="6" t="s">
        <v>732</v>
      </c>
      <c r="B199" s="6">
        <v>1996</v>
      </c>
      <c r="C199" s="6" t="s">
        <v>522</v>
      </c>
      <c r="D199" s="6" t="s">
        <v>522</v>
      </c>
      <c r="E199" s="43">
        <v>4.53</v>
      </c>
      <c r="F199" s="43">
        <v>16433</v>
      </c>
      <c r="G199" s="43">
        <v>131</v>
      </c>
      <c r="H199" s="20">
        <v>116182</v>
      </c>
      <c r="I199" s="270">
        <v>22704</v>
      </c>
      <c r="J199" s="20">
        <v>3202</v>
      </c>
      <c r="K199" s="20">
        <v>1619</v>
      </c>
      <c r="L199" s="20">
        <v>28314</v>
      </c>
      <c r="M199" s="20">
        <v>1.25</v>
      </c>
      <c r="N199" s="20">
        <v>14</v>
      </c>
      <c r="O199" s="20">
        <v>0.14000000000000001</v>
      </c>
      <c r="P199" s="20">
        <v>2261</v>
      </c>
      <c r="Q199" s="20">
        <v>1.96</v>
      </c>
      <c r="R199" s="21">
        <v>0.27</v>
      </c>
      <c r="S199" s="22">
        <v>0.27</v>
      </c>
      <c r="T199" s="23">
        <v>2</v>
      </c>
      <c r="U199" s="23">
        <v>3</v>
      </c>
      <c r="V199" s="23">
        <v>4</v>
      </c>
      <c r="W199" s="23">
        <v>2</v>
      </c>
      <c r="X199" s="23">
        <v>3</v>
      </c>
      <c r="Y199" s="23">
        <v>4</v>
      </c>
      <c r="Z199" s="23">
        <v>3</v>
      </c>
      <c r="AA199" s="9">
        <v>0</v>
      </c>
      <c r="AB199" s="9">
        <v>1</v>
      </c>
      <c r="AC199" s="9">
        <v>0</v>
      </c>
      <c r="AD199" s="9">
        <v>0</v>
      </c>
      <c r="AE199" s="9">
        <v>3</v>
      </c>
      <c r="AF199" s="23">
        <v>1</v>
      </c>
      <c r="AG199" s="23">
        <v>2</v>
      </c>
      <c r="AH199" s="23">
        <v>0</v>
      </c>
      <c r="AI199" s="23">
        <v>3</v>
      </c>
      <c r="AL199" s="20"/>
    </row>
    <row r="200" spans="1:54" ht="15.75" customHeight="1" x14ac:dyDescent="0.2">
      <c r="A200" s="6" t="s">
        <v>733</v>
      </c>
      <c r="B200" s="6">
        <v>2015</v>
      </c>
      <c r="C200" s="6" t="s">
        <v>464</v>
      </c>
      <c r="D200" s="6" t="s">
        <v>464</v>
      </c>
      <c r="E200" s="43">
        <v>3.92</v>
      </c>
      <c r="F200" s="43">
        <v>79027</v>
      </c>
      <c r="G200" s="43">
        <v>131</v>
      </c>
      <c r="H200" s="20">
        <v>152986</v>
      </c>
      <c r="I200" s="270">
        <v>31431</v>
      </c>
      <c r="J200" s="20">
        <v>2777</v>
      </c>
      <c r="K200" s="20">
        <v>3198</v>
      </c>
      <c r="L200" s="20">
        <v>36381</v>
      </c>
      <c r="M200" s="20">
        <v>1.1599999999999999</v>
      </c>
      <c r="N200" s="20">
        <v>9.8000000000000007</v>
      </c>
      <c r="O200" s="20">
        <v>0.09</v>
      </c>
      <c r="P200" s="20">
        <v>1915</v>
      </c>
      <c r="Q200" s="20">
        <v>1.52</v>
      </c>
      <c r="R200" s="21">
        <v>0.27</v>
      </c>
      <c r="S200" s="22">
        <v>0.27</v>
      </c>
      <c r="T200" s="23">
        <v>2</v>
      </c>
      <c r="U200" s="23">
        <v>3</v>
      </c>
      <c r="V200" s="23">
        <v>4</v>
      </c>
      <c r="W200" s="23">
        <v>1</v>
      </c>
      <c r="X200" s="23">
        <v>4</v>
      </c>
      <c r="Y200" s="23">
        <v>3</v>
      </c>
      <c r="Z200" s="23">
        <v>4</v>
      </c>
      <c r="AA200" s="9">
        <v>1</v>
      </c>
      <c r="AB200" s="9">
        <v>0</v>
      </c>
      <c r="AC200" s="9">
        <v>3</v>
      </c>
      <c r="AD200" s="9">
        <v>0</v>
      </c>
      <c r="AE200" s="9">
        <v>1</v>
      </c>
      <c r="AF200" s="23">
        <v>1</v>
      </c>
      <c r="AG200" s="23">
        <v>2</v>
      </c>
      <c r="AH200" s="23">
        <v>4</v>
      </c>
      <c r="AI200" s="23">
        <v>4</v>
      </c>
      <c r="AL200" s="20"/>
    </row>
    <row r="201" spans="1:54" ht="15.75" customHeight="1" x14ac:dyDescent="0.2">
      <c r="A201" s="6" t="s">
        <v>734</v>
      </c>
      <c r="B201" s="6">
        <v>2012</v>
      </c>
      <c r="C201" s="6" t="s">
        <v>446</v>
      </c>
      <c r="D201" s="6" t="s">
        <v>446</v>
      </c>
      <c r="E201" s="43">
        <v>3.4</v>
      </c>
      <c r="F201" s="43">
        <v>6539</v>
      </c>
      <c r="G201" s="43">
        <v>126</v>
      </c>
      <c r="H201" s="20">
        <v>172056</v>
      </c>
      <c r="I201" s="270">
        <v>32462</v>
      </c>
      <c r="J201" s="20">
        <v>3919</v>
      </c>
      <c r="K201" s="20">
        <v>3331</v>
      </c>
      <c r="L201" s="20">
        <v>41200</v>
      </c>
      <c r="M201" s="20">
        <v>1.27</v>
      </c>
      <c r="N201" s="20">
        <v>9.6999999999999993</v>
      </c>
      <c r="O201" s="20">
        <v>0.12</v>
      </c>
      <c r="P201" s="20">
        <v>2725</v>
      </c>
      <c r="Q201" s="20">
        <v>1.5</v>
      </c>
      <c r="R201" s="21">
        <v>0.28000000000000003</v>
      </c>
      <c r="S201" s="22">
        <v>0.28000000000000003</v>
      </c>
      <c r="T201" s="23">
        <v>3</v>
      </c>
      <c r="U201" s="23">
        <v>4</v>
      </c>
      <c r="V201" s="23">
        <v>4</v>
      </c>
      <c r="W201" s="23">
        <v>2</v>
      </c>
      <c r="X201" s="23">
        <v>4</v>
      </c>
      <c r="Y201" s="23">
        <v>3</v>
      </c>
      <c r="Z201" s="23">
        <v>4</v>
      </c>
      <c r="AA201" s="9">
        <v>0</v>
      </c>
      <c r="AB201" s="9">
        <v>3</v>
      </c>
      <c r="AC201" s="9">
        <v>2</v>
      </c>
      <c r="AD201" s="9">
        <v>1</v>
      </c>
      <c r="AE201" s="9">
        <v>4</v>
      </c>
      <c r="AF201" s="23">
        <v>1</v>
      </c>
      <c r="AG201" s="23">
        <v>3</v>
      </c>
      <c r="AH201" s="23">
        <v>4</v>
      </c>
      <c r="AI201" s="23">
        <v>4</v>
      </c>
      <c r="AL201" s="20"/>
    </row>
    <row r="202" spans="1:54" ht="15.75" customHeight="1" x14ac:dyDescent="0.2">
      <c r="A202" s="6" t="s">
        <v>735</v>
      </c>
      <c r="B202" s="6">
        <v>1912</v>
      </c>
      <c r="C202" s="6" t="s">
        <v>358</v>
      </c>
      <c r="D202" s="6" t="s">
        <v>358</v>
      </c>
      <c r="E202" s="43">
        <v>3.67</v>
      </c>
      <c r="F202" s="43">
        <v>882</v>
      </c>
      <c r="G202" s="43">
        <v>123</v>
      </c>
      <c r="H202" s="20">
        <v>147146</v>
      </c>
      <c r="I202" s="270">
        <v>26473</v>
      </c>
      <c r="J202" s="20">
        <v>3797</v>
      </c>
      <c r="K202" s="20">
        <v>1690</v>
      </c>
      <c r="L202" s="20">
        <v>32707</v>
      </c>
      <c r="M202" s="20">
        <v>1.24</v>
      </c>
      <c r="N202" s="20">
        <v>15.7</v>
      </c>
      <c r="O202" s="20">
        <v>0.14000000000000001</v>
      </c>
      <c r="P202" s="20">
        <v>2848</v>
      </c>
      <c r="Q202" s="20">
        <v>1.91</v>
      </c>
      <c r="R202" s="21">
        <v>0.32</v>
      </c>
      <c r="S202" s="22">
        <v>0.32</v>
      </c>
      <c r="T202" s="23">
        <v>2</v>
      </c>
      <c r="U202" s="23">
        <v>3</v>
      </c>
      <c r="V202" s="23">
        <v>4</v>
      </c>
      <c r="W202" s="23">
        <v>1</v>
      </c>
      <c r="X202" s="23">
        <v>4</v>
      </c>
      <c r="Y202" s="23">
        <v>2</v>
      </c>
      <c r="Z202" s="23">
        <v>3</v>
      </c>
      <c r="AA202" s="9">
        <v>0</v>
      </c>
      <c r="AB202" s="9">
        <v>1</v>
      </c>
      <c r="AC202" s="9">
        <v>1</v>
      </c>
      <c r="AD202" s="9">
        <v>0</v>
      </c>
      <c r="AE202" s="9">
        <v>4</v>
      </c>
      <c r="AF202" s="23">
        <v>0</v>
      </c>
      <c r="AG202" s="23">
        <v>2</v>
      </c>
      <c r="AH202" s="23">
        <v>3</v>
      </c>
      <c r="AI202" s="23">
        <v>3</v>
      </c>
      <c r="AL202" s="20"/>
    </row>
    <row r="203" spans="1:54" ht="15.75" customHeight="1" x14ac:dyDescent="0.2">
      <c r="A203" s="6" t="s">
        <v>736</v>
      </c>
      <c r="B203" s="6">
        <v>1996</v>
      </c>
      <c r="C203" s="6" t="s">
        <v>522</v>
      </c>
      <c r="D203" s="6" t="s">
        <v>522</v>
      </c>
      <c r="E203" s="43">
        <v>4.5199999999999996</v>
      </c>
      <c r="F203" s="43">
        <v>18104</v>
      </c>
      <c r="G203" s="43">
        <v>120</v>
      </c>
      <c r="H203" s="20">
        <v>110823</v>
      </c>
      <c r="I203" s="270">
        <v>21589</v>
      </c>
      <c r="J203" s="20">
        <v>3128</v>
      </c>
      <c r="K203" s="20">
        <v>1475</v>
      </c>
      <c r="L203" s="20">
        <v>27024</v>
      </c>
      <c r="M203" s="20">
        <v>1.25</v>
      </c>
      <c r="N203" s="20">
        <v>14.6</v>
      </c>
      <c r="O203" s="20">
        <v>0.15</v>
      </c>
      <c r="P203" s="20">
        <v>2198</v>
      </c>
      <c r="Q203" s="20">
        <v>2.04</v>
      </c>
      <c r="R203" s="21">
        <v>0.27</v>
      </c>
      <c r="S203" s="22">
        <v>0.27</v>
      </c>
      <c r="T203" s="23">
        <v>2</v>
      </c>
      <c r="U203" s="23">
        <v>3</v>
      </c>
      <c r="V203" s="23">
        <v>4</v>
      </c>
      <c r="W203" s="23">
        <v>1</v>
      </c>
      <c r="X203" s="23">
        <v>4</v>
      </c>
      <c r="Y203" s="23">
        <v>2</v>
      </c>
      <c r="Z203" s="23">
        <v>3</v>
      </c>
      <c r="AA203" s="9">
        <v>0</v>
      </c>
      <c r="AB203" s="9">
        <v>2</v>
      </c>
      <c r="AC203" s="9">
        <v>1</v>
      </c>
      <c r="AD203" s="9">
        <v>0</v>
      </c>
      <c r="AE203" s="9">
        <v>4</v>
      </c>
      <c r="AF203" s="23">
        <v>1</v>
      </c>
      <c r="AG203" s="23">
        <v>2</v>
      </c>
      <c r="AH203" s="23">
        <v>0</v>
      </c>
      <c r="AI203" s="23">
        <v>3</v>
      </c>
      <c r="AL203" s="20"/>
    </row>
    <row r="204" spans="1:54" ht="15.75" customHeight="1" x14ac:dyDescent="0.2">
      <c r="A204" s="6" t="s">
        <v>737</v>
      </c>
      <c r="B204" s="6">
        <v>1977</v>
      </c>
      <c r="C204" s="6" t="s">
        <v>525</v>
      </c>
      <c r="D204" s="6" t="s">
        <v>525</v>
      </c>
      <c r="E204" s="43">
        <v>3.9</v>
      </c>
      <c r="F204" s="43">
        <v>9747</v>
      </c>
      <c r="G204" s="43">
        <v>118</v>
      </c>
      <c r="H204" s="20">
        <v>213551</v>
      </c>
      <c r="I204" s="270">
        <v>38878</v>
      </c>
      <c r="J204" s="20">
        <v>6157</v>
      </c>
      <c r="K204" s="20">
        <v>2268</v>
      </c>
      <c r="L204" s="20">
        <v>49387</v>
      </c>
      <c r="M204" s="20">
        <v>1.27</v>
      </c>
      <c r="N204" s="20">
        <v>17.100000000000001</v>
      </c>
      <c r="O204" s="20">
        <v>0.16</v>
      </c>
      <c r="P204" s="20">
        <v>4293</v>
      </c>
      <c r="Q204" s="20">
        <v>2.0699999999999998</v>
      </c>
      <c r="R204" s="21">
        <v>0.28999999999999998</v>
      </c>
      <c r="S204" s="22">
        <v>0.28999999999999998</v>
      </c>
      <c r="T204" s="23">
        <v>3</v>
      </c>
      <c r="U204" s="23">
        <v>4</v>
      </c>
      <c r="V204" s="23">
        <v>4</v>
      </c>
      <c r="W204" s="23">
        <v>3</v>
      </c>
      <c r="X204" s="23">
        <v>2</v>
      </c>
      <c r="Y204" s="23">
        <v>1</v>
      </c>
      <c r="Z204" s="23">
        <v>4</v>
      </c>
      <c r="AA204" s="9">
        <v>1</v>
      </c>
      <c r="AB204" s="9">
        <v>0</v>
      </c>
      <c r="AC204" s="9">
        <v>2</v>
      </c>
      <c r="AD204" s="9">
        <v>3</v>
      </c>
      <c r="AE204" s="9">
        <v>4</v>
      </c>
      <c r="AF204" s="23">
        <v>1</v>
      </c>
      <c r="AG204" s="23">
        <v>3</v>
      </c>
      <c r="AH204" s="23">
        <v>0</v>
      </c>
      <c r="AI204" s="23">
        <v>4</v>
      </c>
      <c r="AL204" s="20"/>
    </row>
    <row r="205" spans="1:54" ht="15.75" customHeight="1" x14ac:dyDescent="0.2">
      <c r="A205" s="6" t="s">
        <v>738</v>
      </c>
      <c r="B205" s="6">
        <v>2007</v>
      </c>
      <c r="C205" s="6" t="s">
        <v>527</v>
      </c>
      <c r="D205" s="6" t="s">
        <v>527</v>
      </c>
      <c r="E205" s="43">
        <v>3.69</v>
      </c>
      <c r="F205" s="43">
        <v>7624</v>
      </c>
      <c r="G205" s="43">
        <v>114</v>
      </c>
      <c r="H205" s="20">
        <v>179969</v>
      </c>
      <c r="I205" s="270">
        <v>33377</v>
      </c>
      <c r="J205" s="20">
        <v>5585</v>
      </c>
      <c r="K205" s="20">
        <v>2433</v>
      </c>
      <c r="L205" s="20">
        <v>41048</v>
      </c>
      <c r="M205" s="20">
        <v>1.23</v>
      </c>
      <c r="N205" s="20">
        <v>13.7</v>
      </c>
      <c r="O205" s="20">
        <v>0.17</v>
      </c>
      <c r="P205" s="20">
        <v>3904</v>
      </c>
      <c r="Q205" s="20">
        <v>1.58</v>
      </c>
      <c r="R205" s="21">
        <v>0.26</v>
      </c>
      <c r="S205" s="22">
        <v>0.26</v>
      </c>
      <c r="T205" s="23">
        <v>2</v>
      </c>
      <c r="U205" s="23">
        <v>3</v>
      </c>
      <c r="V205" s="23">
        <v>4</v>
      </c>
      <c r="W205" s="23">
        <v>2</v>
      </c>
      <c r="X205" s="23">
        <v>4</v>
      </c>
      <c r="Y205" s="23">
        <v>3</v>
      </c>
      <c r="Z205" s="23">
        <v>4</v>
      </c>
      <c r="AA205" s="9">
        <v>1</v>
      </c>
      <c r="AB205" s="9">
        <v>2</v>
      </c>
      <c r="AC205" s="9">
        <v>1</v>
      </c>
      <c r="AD205" s="9">
        <v>3</v>
      </c>
      <c r="AE205" s="9">
        <v>2</v>
      </c>
      <c r="AF205" s="23">
        <v>1</v>
      </c>
      <c r="AG205" s="23">
        <v>2</v>
      </c>
      <c r="AH205" s="23">
        <v>3</v>
      </c>
      <c r="AI205" s="23">
        <v>4</v>
      </c>
      <c r="AL205" s="20"/>
    </row>
    <row r="206" spans="1:54" ht="15.75" customHeight="1" x14ac:dyDescent="0.2">
      <c r="A206" s="6" t="s">
        <v>739</v>
      </c>
      <c r="B206" s="6">
        <v>1991</v>
      </c>
      <c r="C206" s="6" t="s">
        <v>458</v>
      </c>
      <c r="D206" s="6" t="s">
        <v>458</v>
      </c>
      <c r="E206" s="43">
        <v>3.59</v>
      </c>
      <c r="F206" s="43">
        <v>6818</v>
      </c>
      <c r="G206" s="43">
        <v>113</v>
      </c>
      <c r="H206" s="20">
        <v>240286</v>
      </c>
      <c r="I206" s="270">
        <v>45390</v>
      </c>
      <c r="J206" s="20">
        <v>4740</v>
      </c>
      <c r="K206" s="20">
        <v>5296</v>
      </c>
      <c r="L206" s="20">
        <v>57107</v>
      </c>
      <c r="M206" s="20">
        <v>1.26</v>
      </c>
      <c r="N206" s="20">
        <v>8.6</v>
      </c>
      <c r="O206" s="20">
        <v>0.1</v>
      </c>
      <c r="P206" s="20">
        <v>3428</v>
      </c>
      <c r="Q206" s="20">
        <v>1.41</v>
      </c>
      <c r="R206" s="21">
        <v>0.27</v>
      </c>
      <c r="S206" s="22">
        <v>0.27</v>
      </c>
      <c r="T206" s="23">
        <v>2</v>
      </c>
      <c r="U206" s="23">
        <v>3</v>
      </c>
      <c r="V206" s="23">
        <v>4</v>
      </c>
      <c r="W206" s="23">
        <v>1</v>
      </c>
      <c r="X206" s="23">
        <v>4</v>
      </c>
      <c r="Y206" s="23">
        <v>2</v>
      </c>
      <c r="Z206" s="23">
        <v>3</v>
      </c>
      <c r="AA206" s="9">
        <v>0</v>
      </c>
      <c r="AB206" s="9">
        <v>1</v>
      </c>
      <c r="AC206" s="9">
        <v>2</v>
      </c>
      <c r="AD206" s="9">
        <v>0</v>
      </c>
      <c r="AE206" s="9">
        <v>4</v>
      </c>
      <c r="AF206" s="23">
        <v>0</v>
      </c>
      <c r="AG206" s="23">
        <v>2</v>
      </c>
      <c r="AH206" s="23">
        <v>1</v>
      </c>
      <c r="AI206" s="23">
        <v>3</v>
      </c>
      <c r="AL206" s="20"/>
    </row>
    <row r="207" spans="1:54" ht="15.75" customHeight="1" x14ac:dyDescent="0.2">
      <c r="A207" s="6" t="s">
        <v>740</v>
      </c>
      <c r="B207" s="6">
        <v>2005</v>
      </c>
      <c r="C207" s="6" t="s">
        <v>469</v>
      </c>
      <c r="D207" s="6" t="s">
        <v>469</v>
      </c>
      <c r="E207" s="43">
        <v>3.84</v>
      </c>
      <c r="F207" s="43">
        <v>2391</v>
      </c>
      <c r="G207" s="43">
        <v>110</v>
      </c>
      <c r="H207" s="20">
        <v>217261</v>
      </c>
      <c r="I207" s="270">
        <v>41212</v>
      </c>
      <c r="J207" s="20">
        <v>4277</v>
      </c>
      <c r="K207" s="20">
        <v>2450</v>
      </c>
      <c r="L207" s="20">
        <v>51450</v>
      </c>
      <c r="M207" s="20">
        <v>1.25</v>
      </c>
      <c r="N207" s="20">
        <v>16.8</v>
      </c>
      <c r="O207" s="20">
        <v>0.1</v>
      </c>
      <c r="P207" s="20">
        <v>3011</v>
      </c>
      <c r="Q207" s="20">
        <v>2.38</v>
      </c>
      <c r="R207" s="21">
        <v>0.26</v>
      </c>
      <c r="S207" s="22">
        <v>0.26</v>
      </c>
      <c r="T207" s="23">
        <v>2</v>
      </c>
      <c r="U207" s="23">
        <v>3</v>
      </c>
      <c r="V207" s="23">
        <v>3</v>
      </c>
      <c r="W207" s="23">
        <v>1</v>
      </c>
      <c r="X207" s="23">
        <v>4</v>
      </c>
      <c r="Y207" s="23">
        <v>2</v>
      </c>
      <c r="Z207" s="23">
        <v>3</v>
      </c>
      <c r="AA207" s="9">
        <v>1</v>
      </c>
      <c r="AB207" s="9">
        <v>3</v>
      </c>
      <c r="AC207" s="9">
        <v>2</v>
      </c>
      <c r="AD207" s="9">
        <v>3</v>
      </c>
      <c r="AE207" s="9">
        <v>2</v>
      </c>
      <c r="AF207" s="23">
        <v>1</v>
      </c>
      <c r="AG207" s="23">
        <v>2</v>
      </c>
      <c r="AH207" s="23">
        <v>4</v>
      </c>
      <c r="AI207" s="23">
        <v>3</v>
      </c>
      <c r="AL207" s="20"/>
    </row>
    <row r="208" spans="1:54" ht="15.75" customHeight="1" x14ac:dyDescent="0.2">
      <c r="A208" s="6" t="s">
        <v>741</v>
      </c>
      <c r="B208" s="6">
        <v>1998</v>
      </c>
      <c r="C208" s="6" t="s">
        <v>426</v>
      </c>
      <c r="D208" s="6" t="s">
        <v>426</v>
      </c>
      <c r="E208" s="43">
        <v>3.75</v>
      </c>
      <c r="F208" s="43">
        <v>1244</v>
      </c>
      <c r="G208" s="43">
        <v>109</v>
      </c>
      <c r="H208" s="20">
        <v>86648</v>
      </c>
      <c r="I208" s="270">
        <v>16327</v>
      </c>
      <c r="J208" s="20">
        <v>2653</v>
      </c>
      <c r="K208" s="20">
        <v>1506</v>
      </c>
      <c r="L208" s="20">
        <v>20805</v>
      </c>
      <c r="M208" s="20">
        <v>1.27</v>
      </c>
      <c r="N208" s="20">
        <v>10.8</v>
      </c>
      <c r="O208" s="20">
        <v>0.16</v>
      </c>
      <c r="P208" s="20">
        <v>1825</v>
      </c>
      <c r="Q208" s="20">
        <v>1.68</v>
      </c>
      <c r="R208" s="21">
        <v>0.25</v>
      </c>
      <c r="S208" s="22">
        <v>0.25</v>
      </c>
      <c r="T208" s="23">
        <v>2</v>
      </c>
      <c r="U208" s="23">
        <v>3</v>
      </c>
      <c r="V208" s="23">
        <v>4</v>
      </c>
      <c r="W208" s="23">
        <v>1</v>
      </c>
      <c r="X208" s="23">
        <v>3</v>
      </c>
      <c r="Y208" s="23">
        <v>2</v>
      </c>
      <c r="Z208" s="23">
        <v>3</v>
      </c>
      <c r="AA208" s="9">
        <v>0</v>
      </c>
      <c r="AB208" s="9">
        <v>4</v>
      </c>
      <c r="AC208" s="9">
        <v>0</v>
      </c>
      <c r="AD208" s="9">
        <v>1</v>
      </c>
      <c r="AE208" s="9">
        <v>2</v>
      </c>
      <c r="AF208" s="23">
        <v>1</v>
      </c>
      <c r="AG208" s="23">
        <v>2</v>
      </c>
      <c r="AH208" s="23">
        <v>0</v>
      </c>
      <c r="AI208" s="23">
        <v>3</v>
      </c>
      <c r="AL208" s="20"/>
    </row>
    <row r="209" spans="1:54" ht="15.75" customHeight="1" x14ac:dyDescent="0.2">
      <c r="A209" s="6" t="s">
        <v>742</v>
      </c>
      <c r="B209" s="6">
        <v>1995</v>
      </c>
      <c r="C209" s="6" t="s">
        <v>368</v>
      </c>
      <c r="D209" s="6" t="s">
        <v>368</v>
      </c>
      <c r="E209" s="43">
        <v>3.55</v>
      </c>
      <c r="F209" s="43">
        <v>1404</v>
      </c>
      <c r="G209" s="43">
        <v>108</v>
      </c>
      <c r="H209" s="20">
        <v>137782</v>
      </c>
      <c r="I209" s="270">
        <v>24991</v>
      </c>
      <c r="J209" s="20">
        <v>3166</v>
      </c>
      <c r="K209" s="20">
        <v>1855</v>
      </c>
      <c r="L209" s="20">
        <v>30228</v>
      </c>
      <c r="M209" s="20">
        <v>1.21</v>
      </c>
      <c r="N209" s="20">
        <v>13.5</v>
      </c>
      <c r="O209" s="20">
        <v>0.13</v>
      </c>
      <c r="P209" s="20">
        <v>2342</v>
      </c>
      <c r="Q209" s="20">
        <v>1.73</v>
      </c>
      <c r="R209" s="21">
        <v>0.39</v>
      </c>
      <c r="S209" s="22">
        <v>0.39</v>
      </c>
      <c r="T209" s="23">
        <v>3</v>
      </c>
      <c r="U209" s="23">
        <v>4</v>
      </c>
      <c r="V209" s="23">
        <v>4</v>
      </c>
      <c r="W209" s="23">
        <v>4</v>
      </c>
      <c r="X209" s="23">
        <v>3</v>
      </c>
      <c r="Y209" s="23">
        <v>2</v>
      </c>
      <c r="Z209" s="23">
        <v>4</v>
      </c>
      <c r="AA209" s="9">
        <v>1</v>
      </c>
      <c r="AB209" s="9">
        <v>2</v>
      </c>
      <c r="AC209" s="9">
        <v>1</v>
      </c>
      <c r="AD209" s="9">
        <v>0</v>
      </c>
      <c r="AE209" s="9">
        <v>1</v>
      </c>
      <c r="AF209" s="23">
        <v>2</v>
      </c>
      <c r="AG209" s="23">
        <v>3</v>
      </c>
      <c r="AH209" s="23">
        <v>2</v>
      </c>
      <c r="AI209" s="23">
        <v>4</v>
      </c>
      <c r="AL209" s="20"/>
    </row>
    <row r="210" spans="1:54" ht="15.75" customHeight="1" x14ac:dyDescent="0.2">
      <c r="A210" s="6" t="s">
        <v>743</v>
      </c>
      <c r="B210" s="6">
        <v>1843</v>
      </c>
      <c r="C210" s="6" t="s">
        <v>398</v>
      </c>
      <c r="D210" s="6" t="s">
        <v>398</v>
      </c>
      <c r="E210" s="43">
        <v>3.57</v>
      </c>
      <c r="F210" s="43">
        <v>5385</v>
      </c>
      <c r="G210" s="43">
        <v>107</v>
      </c>
      <c r="H210" s="20">
        <v>74049</v>
      </c>
      <c r="I210" s="270">
        <v>13633</v>
      </c>
      <c r="J210" s="20">
        <v>2724</v>
      </c>
      <c r="K210" s="20">
        <v>688</v>
      </c>
      <c r="L210" s="20">
        <v>17373</v>
      </c>
      <c r="M210" s="20">
        <v>1.27</v>
      </c>
      <c r="N210" s="20">
        <v>19.8</v>
      </c>
      <c r="O210" s="20">
        <v>0.2</v>
      </c>
      <c r="P210" s="20">
        <v>2016</v>
      </c>
      <c r="Q210" s="20">
        <v>2.2000000000000002</v>
      </c>
      <c r="R210" s="21">
        <v>0.3</v>
      </c>
      <c r="S210" s="22">
        <v>0.18</v>
      </c>
      <c r="T210" s="23">
        <v>2</v>
      </c>
      <c r="U210" s="23">
        <v>3</v>
      </c>
      <c r="V210" s="23">
        <v>3</v>
      </c>
      <c r="W210" s="23">
        <v>2</v>
      </c>
      <c r="X210" s="23">
        <v>3</v>
      </c>
      <c r="Y210" s="23">
        <v>4</v>
      </c>
      <c r="Z210" s="23">
        <v>3</v>
      </c>
      <c r="AA210" s="9">
        <v>1</v>
      </c>
      <c r="AB210" s="9">
        <v>4</v>
      </c>
      <c r="AC210" s="9">
        <v>0</v>
      </c>
      <c r="AD210" s="9">
        <v>1</v>
      </c>
      <c r="AE210" s="9">
        <v>1</v>
      </c>
      <c r="AF210" s="23">
        <v>2</v>
      </c>
      <c r="AG210" s="23">
        <v>2</v>
      </c>
      <c r="AH210" s="23">
        <v>0</v>
      </c>
      <c r="AI210" s="23">
        <v>3</v>
      </c>
      <c r="AL210" s="20"/>
    </row>
    <row r="211" spans="1:54" ht="15.75" customHeight="1" x14ac:dyDescent="0.2">
      <c r="A211" s="6" t="s">
        <v>744</v>
      </c>
      <c r="B211" s="6">
        <v>1859</v>
      </c>
      <c r="C211" s="6" t="s">
        <v>410</v>
      </c>
      <c r="D211" s="6" t="s">
        <v>410</v>
      </c>
      <c r="E211" s="43">
        <v>3.4</v>
      </c>
      <c r="F211" s="43">
        <v>4841</v>
      </c>
      <c r="G211" s="43">
        <v>102</v>
      </c>
      <c r="H211" s="20">
        <v>153927</v>
      </c>
      <c r="I211" s="270">
        <v>27498</v>
      </c>
      <c r="J211" s="20">
        <v>4982</v>
      </c>
      <c r="K211" s="20">
        <v>804</v>
      </c>
      <c r="L211" s="20">
        <v>33679</v>
      </c>
      <c r="M211" s="20">
        <v>1.22</v>
      </c>
      <c r="N211" s="20">
        <v>34.200000000000003</v>
      </c>
      <c r="O211" s="20">
        <v>0.18</v>
      </c>
      <c r="P211" s="20">
        <v>3704</v>
      </c>
      <c r="Q211" s="20">
        <v>2.79</v>
      </c>
      <c r="R211" s="21">
        <v>0.38</v>
      </c>
      <c r="S211" s="22">
        <v>0.25</v>
      </c>
      <c r="T211" s="23">
        <v>2</v>
      </c>
      <c r="U211" s="23">
        <v>3</v>
      </c>
      <c r="V211" s="23">
        <v>3</v>
      </c>
      <c r="W211" s="23">
        <v>1</v>
      </c>
      <c r="X211" s="23">
        <v>4</v>
      </c>
      <c r="Y211" s="23">
        <v>2</v>
      </c>
      <c r="Z211" s="23">
        <v>3</v>
      </c>
      <c r="AA211" s="9">
        <v>0</v>
      </c>
      <c r="AB211" s="9">
        <v>1</v>
      </c>
      <c r="AC211" s="9">
        <v>2</v>
      </c>
      <c r="AD211" s="9">
        <v>0</v>
      </c>
      <c r="AE211" s="9">
        <v>3</v>
      </c>
      <c r="AF211" s="23">
        <v>0</v>
      </c>
      <c r="AG211" s="23">
        <v>1</v>
      </c>
      <c r="AH211" s="23">
        <v>0</v>
      </c>
      <c r="AI211" s="23">
        <v>2</v>
      </c>
      <c r="AL211" s="20"/>
    </row>
    <row r="212" spans="1:54" ht="15.75" customHeight="1" x14ac:dyDescent="0.2">
      <c r="A212" s="6" t="s">
        <v>745</v>
      </c>
      <c r="B212" s="6">
        <v>2009</v>
      </c>
      <c r="C212" s="6" t="s">
        <v>506</v>
      </c>
      <c r="D212" s="6" t="s">
        <v>506</v>
      </c>
      <c r="E212" s="43">
        <v>3.4</v>
      </c>
      <c r="F212" s="43">
        <v>857</v>
      </c>
      <c r="G212" s="43">
        <v>100</v>
      </c>
      <c r="H212" s="20">
        <v>260407</v>
      </c>
      <c r="I212" s="270">
        <v>50550</v>
      </c>
      <c r="J212" s="20">
        <v>4882</v>
      </c>
      <c r="K212" s="20">
        <v>4143</v>
      </c>
      <c r="L212" s="20">
        <v>61962</v>
      </c>
      <c r="M212" s="20">
        <v>1.23</v>
      </c>
      <c r="N212" s="20">
        <v>12.2</v>
      </c>
      <c r="O212" s="20">
        <v>0.1</v>
      </c>
      <c r="P212" s="20">
        <v>3407</v>
      </c>
      <c r="Q212" s="20">
        <v>1.62</v>
      </c>
      <c r="R212" s="21">
        <v>0.28999999999999998</v>
      </c>
      <c r="S212" s="22">
        <v>0.21</v>
      </c>
      <c r="T212" s="23">
        <v>3</v>
      </c>
      <c r="U212" s="23">
        <v>4</v>
      </c>
      <c r="V212" s="23">
        <v>4</v>
      </c>
      <c r="W212" s="23">
        <v>3</v>
      </c>
      <c r="X212" s="23">
        <v>4</v>
      </c>
      <c r="Y212" s="23">
        <v>2</v>
      </c>
      <c r="Z212" s="23">
        <v>3</v>
      </c>
      <c r="AA212" s="9">
        <v>1</v>
      </c>
      <c r="AB212" s="9">
        <v>3</v>
      </c>
      <c r="AC212" s="9">
        <v>2</v>
      </c>
      <c r="AD212" s="9">
        <v>0</v>
      </c>
      <c r="AE212" s="9">
        <v>2</v>
      </c>
      <c r="AF212" s="23">
        <v>1</v>
      </c>
      <c r="AG212" s="23">
        <v>3</v>
      </c>
      <c r="AH212" s="23">
        <v>2</v>
      </c>
      <c r="AI212" s="23">
        <v>4</v>
      </c>
      <c r="AL212" s="20"/>
    </row>
    <row r="213" spans="1:54" ht="15.75" customHeight="1" x14ac:dyDescent="0.2">
      <c r="A213" s="6" t="s">
        <v>746</v>
      </c>
      <c r="B213" s="6">
        <v>2012</v>
      </c>
      <c r="C213" s="6" t="s">
        <v>417</v>
      </c>
      <c r="D213" s="6" t="s">
        <v>417</v>
      </c>
      <c r="E213" s="43">
        <v>3.48</v>
      </c>
      <c r="F213" s="43">
        <v>239</v>
      </c>
      <c r="G213" s="43">
        <v>100</v>
      </c>
      <c r="H213" s="20">
        <v>62742</v>
      </c>
      <c r="I213" s="270">
        <v>12246</v>
      </c>
      <c r="J213" s="20">
        <v>2055</v>
      </c>
      <c r="K213" s="20">
        <v>1170</v>
      </c>
      <c r="L213" s="20">
        <v>14616</v>
      </c>
      <c r="M213" s="20">
        <v>1.19</v>
      </c>
      <c r="N213" s="20">
        <v>10.5</v>
      </c>
      <c r="O213" s="20">
        <v>0.17</v>
      </c>
      <c r="P213" s="20">
        <v>1471</v>
      </c>
      <c r="Q213" s="20">
        <v>1.75</v>
      </c>
      <c r="R213" s="21">
        <v>0.3</v>
      </c>
      <c r="S213" s="22">
        <v>0.19</v>
      </c>
      <c r="T213" s="23">
        <v>3</v>
      </c>
      <c r="U213" s="23">
        <v>4</v>
      </c>
      <c r="V213" s="23">
        <v>4</v>
      </c>
      <c r="W213" s="23">
        <v>2</v>
      </c>
      <c r="X213" s="23">
        <v>3</v>
      </c>
      <c r="Y213" s="23">
        <v>1</v>
      </c>
      <c r="Z213" s="23">
        <v>4</v>
      </c>
      <c r="AA213" s="9">
        <v>0</v>
      </c>
      <c r="AB213" s="9">
        <v>2</v>
      </c>
      <c r="AC213" s="9">
        <v>3</v>
      </c>
      <c r="AD213" s="9">
        <v>0</v>
      </c>
      <c r="AE213" s="9">
        <v>4</v>
      </c>
      <c r="AF213" s="23">
        <v>1</v>
      </c>
      <c r="AG213" s="23">
        <v>2</v>
      </c>
      <c r="AH213" s="23">
        <v>3</v>
      </c>
      <c r="AI213" s="23">
        <v>3</v>
      </c>
      <c r="AL213" s="20"/>
    </row>
    <row r="214" spans="1:54" ht="15.75" customHeight="1" x14ac:dyDescent="0.2">
      <c r="A214" s="6" t="s">
        <v>747</v>
      </c>
      <c r="B214" s="6">
        <v>1997</v>
      </c>
      <c r="C214" s="6" t="s">
        <v>494</v>
      </c>
      <c r="D214" s="6" t="s">
        <v>494</v>
      </c>
      <c r="E214" s="43">
        <v>3.85</v>
      </c>
      <c r="F214" s="43">
        <v>181</v>
      </c>
      <c r="G214" s="43">
        <v>100</v>
      </c>
      <c r="H214" s="20">
        <v>71991</v>
      </c>
      <c r="I214" s="270">
        <v>13404</v>
      </c>
      <c r="J214" s="20">
        <v>3003</v>
      </c>
      <c r="K214" s="20">
        <v>802</v>
      </c>
      <c r="L214" s="20">
        <v>16467</v>
      </c>
      <c r="M214" s="20">
        <v>1.23</v>
      </c>
      <c r="N214" s="20">
        <v>16.7</v>
      </c>
      <c r="O214" s="20">
        <v>0.22</v>
      </c>
      <c r="P214" s="20">
        <v>2288</v>
      </c>
      <c r="Q214" s="20">
        <v>2.0099999999999998</v>
      </c>
      <c r="R214" s="21">
        <v>0.31</v>
      </c>
      <c r="S214" s="22">
        <v>0.2</v>
      </c>
      <c r="T214" s="23">
        <v>3</v>
      </c>
      <c r="U214" s="23">
        <v>4</v>
      </c>
      <c r="V214" s="23">
        <v>4</v>
      </c>
      <c r="W214" s="23">
        <v>3</v>
      </c>
      <c r="X214" s="23">
        <v>4</v>
      </c>
      <c r="Y214" s="23">
        <v>2</v>
      </c>
      <c r="Z214" s="23">
        <v>3</v>
      </c>
      <c r="AA214" s="9">
        <v>4</v>
      </c>
      <c r="AB214" s="9">
        <v>2</v>
      </c>
      <c r="AC214" s="9">
        <v>3</v>
      </c>
      <c r="AD214" s="9">
        <v>2</v>
      </c>
      <c r="AE214" s="9">
        <v>1</v>
      </c>
      <c r="AF214" s="23">
        <v>2</v>
      </c>
      <c r="AG214" s="23">
        <v>3</v>
      </c>
      <c r="AH214" s="23">
        <v>3</v>
      </c>
      <c r="AI214" s="23">
        <v>4</v>
      </c>
      <c r="AL214" s="20"/>
    </row>
    <row r="215" spans="1:54" ht="15.75" customHeight="1" x14ac:dyDescent="0.2">
      <c r="A215" s="28" t="s">
        <v>32</v>
      </c>
      <c r="B215" s="28">
        <v>2012</v>
      </c>
      <c r="C215" s="28" t="s">
        <v>33</v>
      </c>
      <c r="D215" s="6" t="s">
        <v>33</v>
      </c>
      <c r="E215" s="43">
        <v>4.04</v>
      </c>
      <c r="F215" s="43">
        <v>1070</v>
      </c>
      <c r="G215" s="43">
        <v>100</v>
      </c>
      <c r="H215" s="20">
        <v>308194</v>
      </c>
      <c r="I215" s="270">
        <v>57930</v>
      </c>
      <c r="J215" s="20">
        <v>5316</v>
      </c>
      <c r="K215" s="20">
        <v>5179</v>
      </c>
      <c r="L215" s="20">
        <v>70484</v>
      </c>
      <c r="M215" s="20">
        <v>1.22</v>
      </c>
      <c r="N215" s="20">
        <v>11.2</v>
      </c>
      <c r="O215" s="20">
        <v>0.09</v>
      </c>
      <c r="P215" s="20">
        <v>3676</v>
      </c>
      <c r="Q215" s="20">
        <v>1.71</v>
      </c>
      <c r="R215" s="21">
        <v>0.28999999999999998</v>
      </c>
      <c r="S215" s="22">
        <v>0.17</v>
      </c>
      <c r="T215" s="30">
        <v>2</v>
      </c>
      <c r="U215" s="30">
        <v>3</v>
      </c>
      <c r="V215" s="30">
        <v>4</v>
      </c>
      <c r="W215" s="30">
        <v>2</v>
      </c>
      <c r="X215" s="30">
        <v>3</v>
      </c>
      <c r="Y215" s="30">
        <v>1</v>
      </c>
      <c r="Z215" s="30">
        <v>3</v>
      </c>
      <c r="AA215" s="29">
        <v>2</v>
      </c>
      <c r="AB215" s="29">
        <v>1</v>
      </c>
      <c r="AC215" s="29">
        <v>4</v>
      </c>
      <c r="AD215" s="29">
        <v>0</v>
      </c>
      <c r="AE215" s="29">
        <v>1</v>
      </c>
      <c r="AF215" s="30">
        <v>2</v>
      </c>
      <c r="AG215" s="30">
        <v>3</v>
      </c>
      <c r="AH215" s="30">
        <v>4</v>
      </c>
      <c r="AI215" s="30">
        <v>3</v>
      </c>
      <c r="AJ215" s="28"/>
      <c r="AK215" s="28"/>
      <c r="AL215" s="292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</row>
    <row r="216" spans="1:54" ht="15.75" customHeight="1" x14ac:dyDescent="0.2">
      <c r="A216" s="6" t="s">
        <v>748</v>
      </c>
      <c r="B216" s="6">
        <v>2013</v>
      </c>
      <c r="C216" s="6" t="s">
        <v>383</v>
      </c>
      <c r="D216" s="6" t="s">
        <v>383</v>
      </c>
      <c r="E216" s="43">
        <v>4.2699999999999996</v>
      </c>
      <c r="F216" s="43">
        <v>45</v>
      </c>
      <c r="G216" s="43">
        <v>100</v>
      </c>
      <c r="H216" s="20">
        <v>313603</v>
      </c>
      <c r="I216" s="270">
        <v>59628</v>
      </c>
      <c r="J216" s="20">
        <v>4956</v>
      </c>
      <c r="K216" s="20">
        <v>5628</v>
      </c>
      <c r="L216" s="20">
        <v>72171</v>
      </c>
      <c r="M216" s="20">
        <v>1.21</v>
      </c>
      <c r="N216" s="20">
        <v>10.6</v>
      </c>
      <c r="O216" s="20">
        <v>0.08</v>
      </c>
      <c r="P216" s="20">
        <v>3430</v>
      </c>
      <c r="Q216" s="20">
        <v>1.59</v>
      </c>
      <c r="R216" s="21">
        <v>0.35</v>
      </c>
      <c r="S216" s="22">
        <v>0.17</v>
      </c>
      <c r="T216" s="23">
        <v>2</v>
      </c>
      <c r="U216" s="23">
        <v>3</v>
      </c>
      <c r="V216" s="23">
        <v>4</v>
      </c>
      <c r="W216" s="23">
        <v>2</v>
      </c>
      <c r="X216" s="23">
        <v>4</v>
      </c>
      <c r="Y216" s="23">
        <v>1</v>
      </c>
      <c r="Z216" s="23">
        <v>3</v>
      </c>
      <c r="AA216" s="9">
        <v>1</v>
      </c>
      <c r="AB216" s="9">
        <v>2</v>
      </c>
      <c r="AC216" s="9">
        <v>2</v>
      </c>
      <c r="AD216" s="9">
        <v>3</v>
      </c>
      <c r="AE216" s="9">
        <v>4</v>
      </c>
      <c r="AF216" s="23">
        <v>1</v>
      </c>
      <c r="AG216" s="23">
        <v>2</v>
      </c>
      <c r="AH216" s="23">
        <v>3</v>
      </c>
      <c r="AI216" s="23">
        <v>3</v>
      </c>
      <c r="AL216" s="20"/>
    </row>
    <row r="217" spans="1:54" ht="15.75" customHeight="1" x14ac:dyDescent="0.2">
      <c r="A217" s="6" t="s">
        <v>749</v>
      </c>
      <c r="B217" s="6">
        <v>2011</v>
      </c>
      <c r="C217" s="6" t="s">
        <v>530</v>
      </c>
      <c r="D217" s="6" t="s">
        <v>530</v>
      </c>
      <c r="E217" s="43">
        <v>3.69</v>
      </c>
      <c r="F217" s="43">
        <v>393</v>
      </c>
      <c r="G217" s="43">
        <v>100</v>
      </c>
      <c r="H217" s="20">
        <v>132202</v>
      </c>
      <c r="I217" s="270">
        <v>24761</v>
      </c>
      <c r="J217" s="20">
        <v>3680</v>
      </c>
      <c r="K217" s="20">
        <v>1830</v>
      </c>
      <c r="L217" s="20">
        <v>30760</v>
      </c>
      <c r="M217" s="20">
        <v>1.24</v>
      </c>
      <c r="N217" s="20">
        <v>13.5</v>
      </c>
      <c r="O217" s="20">
        <v>0.15</v>
      </c>
      <c r="P217" s="20">
        <v>2631</v>
      </c>
      <c r="Q217" s="20">
        <v>1.92</v>
      </c>
      <c r="R217" s="21">
        <v>0.28000000000000003</v>
      </c>
      <c r="S217" s="22">
        <v>0.2</v>
      </c>
      <c r="T217" s="23">
        <v>3</v>
      </c>
      <c r="U217" s="23">
        <v>4</v>
      </c>
      <c r="V217" s="23">
        <v>4</v>
      </c>
      <c r="W217" s="23">
        <v>2</v>
      </c>
      <c r="X217" s="23">
        <v>4</v>
      </c>
      <c r="Y217" s="23">
        <v>1</v>
      </c>
      <c r="Z217" s="23">
        <v>3</v>
      </c>
      <c r="AA217" s="9">
        <v>0</v>
      </c>
      <c r="AB217" s="9">
        <v>2</v>
      </c>
      <c r="AC217" s="9">
        <v>0</v>
      </c>
      <c r="AD217" s="9">
        <v>1</v>
      </c>
      <c r="AE217" s="9">
        <v>3</v>
      </c>
      <c r="AF217" s="23">
        <v>1</v>
      </c>
      <c r="AG217" s="23">
        <v>2</v>
      </c>
      <c r="AH217" s="23">
        <v>0</v>
      </c>
      <c r="AI217" s="23">
        <v>3</v>
      </c>
      <c r="AL217" s="20"/>
    </row>
    <row r="218" spans="1:54" ht="15.75" customHeight="1" x14ac:dyDescent="0.2">
      <c r="A218" s="6" t="s">
        <v>750</v>
      </c>
      <c r="B218" s="6">
        <v>2016</v>
      </c>
      <c r="C218" s="6" t="s">
        <v>497</v>
      </c>
      <c r="D218" s="6" t="s">
        <v>497</v>
      </c>
      <c r="E218" s="43">
        <v>3.83</v>
      </c>
      <c r="F218" s="43">
        <v>75</v>
      </c>
      <c r="G218" s="43">
        <v>100</v>
      </c>
      <c r="H218" s="20">
        <v>228992</v>
      </c>
      <c r="I218" s="270">
        <v>42817</v>
      </c>
      <c r="J218" s="20">
        <v>4726</v>
      </c>
      <c r="K218" s="20">
        <v>2860</v>
      </c>
      <c r="L218" s="20">
        <v>52815</v>
      </c>
      <c r="M218" s="20">
        <v>1.23</v>
      </c>
      <c r="N218" s="20">
        <v>15</v>
      </c>
      <c r="O218" s="20">
        <v>0.11</v>
      </c>
      <c r="P218" s="20">
        <v>3448</v>
      </c>
      <c r="Q218" s="20">
        <v>2.2799999999999998</v>
      </c>
      <c r="R218" s="21">
        <v>0.35</v>
      </c>
      <c r="S218" s="22">
        <v>0.22</v>
      </c>
      <c r="T218" s="23">
        <v>3</v>
      </c>
      <c r="U218" s="23">
        <v>4</v>
      </c>
      <c r="V218" s="23">
        <v>4</v>
      </c>
      <c r="W218" s="23">
        <v>2</v>
      </c>
      <c r="X218" s="23">
        <v>3</v>
      </c>
      <c r="Y218" s="23">
        <v>1</v>
      </c>
      <c r="Z218" s="23">
        <v>3</v>
      </c>
      <c r="AA218" s="9">
        <v>0</v>
      </c>
      <c r="AB218" s="9">
        <v>2</v>
      </c>
      <c r="AC218" s="9">
        <v>3</v>
      </c>
      <c r="AD218" s="9">
        <v>0</v>
      </c>
      <c r="AE218" s="9">
        <v>1</v>
      </c>
      <c r="AF218" s="23">
        <v>2</v>
      </c>
      <c r="AG218" s="23">
        <v>2</v>
      </c>
      <c r="AH218" s="23">
        <v>4</v>
      </c>
      <c r="AI218" s="23">
        <v>3</v>
      </c>
      <c r="AL218" s="20"/>
    </row>
    <row r="219" spans="1:54" ht="15.75" customHeight="1" x14ac:dyDescent="0.2">
      <c r="A219" s="6" t="s">
        <v>751</v>
      </c>
      <c r="B219" s="6">
        <v>2000</v>
      </c>
      <c r="C219" s="6" t="s">
        <v>450</v>
      </c>
      <c r="D219" s="6" t="s">
        <v>450</v>
      </c>
      <c r="E219" s="43">
        <v>4.01</v>
      </c>
      <c r="F219" s="43">
        <v>1119</v>
      </c>
      <c r="G219" s="43">
        <v>100</v>
      </c>
      <c r="H219" s="20">
        <v>506663</v>
      </c>
      <c r="I219" s="270">
        <v>94867</v>
      </c>
      <c r="J219" s="20">
        <v>10415</v>
      </c>
      <c r="K219" s="20">
        <v>5361</v>
      </c>
      <c r="L219" s="20">
        <v>111740</v>
      </c>
      <c r="M219" s="20">
        <v>1.18</v>
      </c>
      <c r="N219" s="20">
        <v>17.7</v>
      </c>
      <c r="O219" s="20">
        <v>0.11</v>
      </c>
      <c r="P219" s="20">
        <v>7143</v>
      </c>
      <c r="Q219" s="20">
        <v>2.13</v>
      </c>
      <c r="R219" s="21">
        <v>0.26</v>
      </c>
      <c r="S219" s="22">
        <v>0.13</v>
      </c>
      <c r="T219" s="23">
        <v>1</v>
      </c>
      <c r="U219" s="23">
        <v>2</v>
      </c>
      <c r="V219" s="23">
        <v>3</v>
      </c>
      <c r="W219" s="23">
        <v>2</v>
      </c>
      <c r="X219" s="23">
        <v>3</v>
      </c>
      <c r="Y219" s="23">
        <v>4</v>
      </c>
      <c r="Z219" s="23">
        <v>4</v>
      </c>
      <c r="AA219" s="9">
        <v>1</v>
      </c>
      <c r="AB219" s="9">
        <v>0</v>
      </c>
      <c r="AC219" s="9">
        <v>1</v>
      </c>
      <c r="AD219" s="9">
        <v>2</v>
      </c>
      <c r="AE219" s="9">
        <v>1</v>
      </c>
      <c r="AF219" s="23">
        <v>1</v>
      </c>
      <c r="AG219" s="23">
        <v>2</v>
      </c>
      <c r="AH219" s="23">
        <v>0</v>
      </c>
      <c r="AI219" s="23">
        <v>3</v>
      </c>
      <c r="AL219" s="20"/>
    </row>
    <row r="220" spans="1:54" ht="15.75" customHeight="1" x14ac:dyDescent="0.2">
      <c r="A220" s="6" t="s">
        <v>752</v>
      </c>
      <c r="B220" s="6">
        <v>2016</v>
      </c>
      <c r="C220" s="6" t="s">
        <v>485</v>
      </c>
      <c r="D220" s="6" t="s">
        <v>485</v>
      </c>
      <c r="E220" s="43">
        <v>3.3</v>
      </c>
      <c r="F220" s="43">
        <v>46</v>
      </c>
      <c r="G220" s="43">
        <v>100</v>
      </c>
      <c r="H220" s="20">
        <v>47179</v>
      </c>
      <c r="I220" s="270">
        <v>8392</v>
      </c>
      <c r="J220" s="20">
        <v>2002</v>
      </c>
      <c r="K220" s="20">
        <v>779</v>
      </c>
      <c r="L220" s="20">
        <v>10746</v>
      </c>
      <c r="M220" s="20">
        <v>1.28</v>
      </c>
      <c r="N220" s="20">
        <v>10.8</v>
      </c>
      <c r="O220" s="20">
        <v>0.24</v>
      </c>
      <c r="P220" s="20">
        <v>1527</v>
      </c>
      <c r="Q220" s="20">
        <v>1.55</v>
      </c>
      <c r="R220" s="21">
        <v>0.28000000000000003</v>
      </c>
      <c r="S220" s="22">
        <v>0.18</v>
      </c>
      <c r="T220" s="23">
        <v>3</v>
      </c>
      <c r="U220" s="23">
        <v>4</v>
      </c>
      <c r="V220" s="23">
        <v>4</v>
      </c>
      <c r="W220" s="23">
        <v>2</v>
      </c>
      <c r="X220" s="23">
        <v>3</v>
      </c>
      <c r="Y220" s="23">
        <v>4</v>
      </c>
      <c r="Z220" s="23">
        <v>2</v>
      </c>
      <c r="AA220" s="9">
        <v>0</v>
      </c>
      <c r="AB220" s="9">
        <v>3</v>
      </c>
      <c r="AC220" s="9">
        <v>0</v>
      </c>
      <c r="AD220" s="9">
        <v>1</v>
      </c>
      <c r="AE220" s="9">
        <v>2</v>
      </c>
      <c r="AF220" s="23">
        <v>1</v>
      </c>
      <c r="AG220" s="23">
        <v>2</v>
      </c>
      <c r="AH220" s="23">
        <v>0</v>
      </c>
      <c r="AI220" s="23">
        <v>3</v>
      </c>
      <c r="AL220" s="20"/>
    </row>
    <row r="221" spans="1:54" ht="15.75" customHeight="1" x14ac:dyDescent="0.2">
      <c r="A221" s="6" t="s">
        <v>753</v>
      </c>
      <c r="B221" s="6">
        <v>2013</v>
      </c>
      <c r="C221" s="6" t="s">
        <v>492</v>
      </c>
      <c r="D221" s="6" t="s">
        <v>492</v>
      </c>
      <c r="E221" s="43">
        <v>4.41</v>
      </c>
      <c r="F221" s="43">
        <v>39</v>
      </c>
      <c r="G221" s="43">
        <v>100</v>
      </c>
      <c r="H221" s="20">
        <v>249962</v>
      </c>
      <c r="I221" s="270">
        <v>45604</v>
      </c>
      <c r="J221" s="20">
        <v>4916</v>
      </c>
      <c r="K221" s="20">
        <v>3514</v>
      </c>
      <c r="L221" s="20">
        <v>54052</v>
      </c>
      <c r="M221" s="20">
        <v>1.19</v>
      </c>
      <c r="N221" s="20">
        <v>13</v>
      </c>
      <c r="O221" s="20">
        <v>0.11</v>
      </c>
      <c r="P221" s="20">
        <v>3580</v>
      </c>
      <c r="Q221" s="20">
        <v>1.75</v>
      </c>
      <c r="R221" s="21">
        <v>0.28999999999999998</v>
      </c>
      <c r="S221" s="22">
        <v>0.17</v>
      </c>
      <c r="T221" s="23">
        <v>2</v>
      </c>
      <c r="U221" s="23">
        <v>3</v>
      </c>
      <c r="V221" s="23">
        <v>3</v>
      </c>
      <c r="W221" s="23">
        <v>2</v>
      </c>
      <c r="X221" s="23">
        <v>4</v>
      </c>
      <c r="Y221" s="23">
        <v>1</v>
      </c>
      <c r="Z221" s="23">
        <v>4</v>
      </c>
      <c r="AA221" s="9">
        <v>0</v>
      </c>
      <c r="AB221" s="9">
        <v>2</v>
      </c>
      <c r="AC221" s="9">
        <v>0</v>
      </c>
      <c r="AD221" s="9">
        <v>1</v>
      </c>
      <c r="AE221" s="9">
        <v>3</v>
      </c>
      <c r="AF221" s="23">
        <v>1</v>
      </c>
      <c r="AG221" s="23">
        <v>3</v>
      </c>
      <c r="AH221" s="23">
        <v>0</v>
      </c>
      <c r="AI221" s="23">
        <v>4</v>
      </c>
      <c r="AL221" s="20"/>
    </row>
    <row r="222" spans="1:54" ht="15.75" customHeight="1" x14ac:dyDescent="0.2">
      <c r="A222" s="6" t="s">
        <v>754</v>
      </c>
      <c r="B222" s="6">
        <v>2012</v>
      </c>
      <c r="C222" s="6" t="s">
        <v>445</v>
      </c>
      <c r="D222" s="6" t="s">
        <v>445</v>
      </c>
      <c r="E222" s="43">
        <v>4.42</v>
      </c>
      <c r="F222" s="43">
        <v>97</v>
      </c>
      <c r="G222" s="43">
        <v>100</v>
      </c>
      <c r="H222" s="20">
        <v>76036</v>
      </c>
      <c r="I222" s="270">
        <v>13930</v>
      </c>
      <c r="J222" s="20">
        <v>3026</v>
      </c>
      <c r="K222" s="20">
        <v>822</v>
      </c>
      <c r="L222" s="20">
        <v>18104</v>
      </c>
      <c r="M222" s="20">
        <v>1.3</v>
      </c>
      <c r="N222" s="20">
        <v>16.899999999999999</v>
      </c>
      <c r="O222" s="20">
        <v>0.22</v>
      </c>
      <c r="P222" s="20">
        <v>2284</v>
      </c>
      <c r="Q222" s="20">
        <v>2.19</v>
      </c>
      <c r="R222" s="21">
        <v>0.28000000000000003</v>
      </c>
      <c r="S222" s="22">
        <v>0.17</v>
      </c>
      <c r="T222" s="23">
        <v>3</v>
      </c>
      <c r="U222" s="23">
        <v>4</v>
      </c>
      <c r="V222" s="23">
        <v>4</v>
      </c>
      <c r="W222" s="23">
        <v>3</v>
      </c>
      <c r="X222" s="23">
        <v>4</v>
      </c>
      <c r="Y222" s="23">
        <v>2</v>
      </c>
      <c r="Z222" s="23">
        <v>3</v>
      </c>
      <c r="AA222" s="9">
        <v>1</v>
      </c>
      <c r="AB222" s="9">
        <v>2</v>
      </c>
      <c r="AC222" s="9">
        <v>1</v>
      </c>
      <c r="AD222" s="9">
        <v>2</v>
      </c>
      <c r="AE222" s="9">
        <v>4</v>
      </c>
      <c r="AF222" s="23">
        <v>2</v>
      </c>
      <c r="AG222" s="23">
        <v>3</v>
      </c>
      <c r="AH222" s="23">
        <v>1</v>
      </c>
      <c r="AI222" s="23">
        <v>4</v>
      </c>
      <c r="AL222" s="20"/>
    </row>
    <row r="223" spans="1:54" ht="15.75" customHeight="1" x14ac:dyDescent="0.2">
      <c r="A223" s="6" t="s">
        <v>755</v>
      </c>
      <c r="B223" s="6">
        <v>1956</v>
      </c>
      <c r="C223" s="6" t="s">
        <v>454</v>
      </c>
      <c r="D223" s="6" t="s">
        <v>454</v>
      </c>
      <c r="E223" s="43">
        <v>3.63</v>
      </c>
      <c r="F223" s="43">
        <v>565</v>
      </c>
      <c r="G223" s="43">
        <v>100</v>
      </c>
      <c r="H223" s="20">
        <v>205329</v>
      </c>
      <c r="I223" s="270">
        <v>38677</v>
      </c>
      <c r="J223" s="20">
        <v>5358</v>
      </c>
      <c r="K223" s="20">
        <v>1623</v>
      </c>
      <c r="L223" s="20">
        <v>47028</v>
      </c>
      <c r="M223" s="20">
        <v>1.22</v>
      </c>
      <c r="N223" s="20">
        <v>23.8</v>
      </c>
      <c r="O223" s="20">
        <v>0.14000000000000001</v>
      </c>
      <c r="P223" s="20">
        <v>4047</v>
      </c>
      <c r="Q223" s="20">
        <v>2.29</v>
      </c>
      <c r="R223" s="21">
        <v>0.32</v>
      </c>
      <c r="S223" s="22">
        <v>0.19</v>
      </c>
      <c r="T223" s="23">
        <v>2</v>
      </c>
      <c r="U223" s="23">
        <v>3</v>
      </c>
      <c r="V223" s="23">
        <v>4</v>
      </c>
      <c r="W223" s="23">
        <v>2</v>
      </c>
      <c r="X223" s="23">
        <v>3</v>
      </c>
      <c r="Y223" s="23">
        <v>4</v>
      </c>
      <c r="Z223" s="23">
        <v>3</v>
      </c>
      <c r="AA223" s="9">
        <v>1</v>
      </c>
      <c r="AB223" s="9">
        <v>1</v>
      </c>
      <c r="AC223" s="9">
        <v>1</v>
      </c>
      <c r="AD223" s="9">
        <v>2</v>
      </c>
      <c r="AE223" s="9">
        <v>3</v>
      </c>
      <c r="AF223" s="23">
        <v>1</v>
      </c>
      <c r="AG223" s="23">
        <v>2</v>
      </c>
      <c r="AH223" s="23">
        <v>2</v>
      </c>
      <c r="AI223" s="23">
        <v>4</v>
      </c>
      <c r="AL223" s="20"/>
    </row>
    <row r="224" spans="1:54" ht="15.75" customHeight="1" x14ac:dyDescent="0.2">
      <c r="A224" s="6" t="s">
        <v>756</v>
      </c>
      <c r="B224" s="6">
        <v>2020</v>
      </c>
      <c r="C224" s="6" t="s">
        <v>396</v>
      </c>
      <c r="D224" s="6" t="s">
        <v>396</v>
      </c>
      <c r="E224" s="43">
        <v>2.66</v>
      </c>
      <c r="F224" s="43">
        <v>13676</v>
      </c>
      <c r="G224" s="43">
        <v>100</v>
      </c>
      <c r="H224" s="20">
        <v>78655</v>
      </c>
      <c r="I224" s="270">
        <v>14005</v>
      </c>
      <c r="J224" s="20">
        <v>2876</v>
      </c>
      <c r="K224" s="20">
        <v>1357</v>
      </c>
      <c r="L224" s="20">
        <v>17734</v>
      </c>
      <c r="M224" s="20">
        <v>1.27</v>
      </c>
      <c r="N224" s="20">
        <v>10.3</v>
      </c>
      <c r="O224" s="20">
        <v>0.21</v>
      </c>
      <c r="P224" s="20">
        <v>2059</v>
      </c>
      <c r="Q224" s="20">
        <v>1.59</v>
      </c>
      <c r="R224" s="21">
        <v>0.24</v>
      </c>
      <c r="S224" s="22">
        <v>0.16</v>
      </c>
      <c r="T224" s="23">
        <v>2</v>
      </c>
      <c r="U224" s="23">
        <v>3</v>
      </c>
      <c r="V224" s="23">
        <v>4</v>
      </c>
      <c r="W224" s="23">
        <v>1</v>
      </c>
      <c r="X224" s="23">
        <v>4</v>
      </c>
      <c r="Y224" s="23">
        <v>2</v>
      </c>
      <c r="Z224" s="23">
        <v>3</v>
      </c>
      <c r="AA224" s="9">
        <v>0</v>
      </c>
      <c r="AB224" s="9">
        <v>1</v>
      </c>
      <c r="AC224" s="9">
        <v>1</v>
      </c>
      <c r="AD224" s="9">
        <v>2</v>
      </c>
      <c r="AE224" s="9">
        <v>3</v>
      </c>
      <c r="AF224" s="23">
        <v>0</v>
      </c>
      <c r="AG224" s="23">
        <v>2</v>
      </c>
      <c r="AH224" s="23">
        <v>3</v>
      </c>
      <c r="AI224" s="23">
        <v>3</v>
      </c>
      <c r="AL224" s="20"/>
    </row>
    <row r="225" spans="1:54" ht="15.75" customHeight="1" x14ac:dyDescent="0.2">
      <c r="A225" s="282" t="s">
        <v>27</v>
      </c>
      <c r="B225" s="282">
        <v>1980</v>
      </c>
      <c r="C225" s="282" t="s">
        <v>28</v>
      </c>
      <c r="D225" s="282" t="s">
        <v>28</v>
      </c>
      <c r="E225" s="283">
        <v>4.2</v>
      </c>
      <c r="F225" s="283">
        <v>299647</v>
      </c>
      <c r="G225" s="283">
        <v>100</v>
      </c>
      <c r="H225" s="284">
        <v>294477</v>
      </c>
      <c r="I225" s="284">
        <v>53069</v>
      </c>
      <c r="J225" s="284">
        <v>6219</v>
      </c>
      <c r="K225" s="284">
        <v>4400</v>
      </c>
      <c r="L225" s="284">
        <v>69068</v>
      </c>
      <c r="M225" s="284">
        <v>1.3</v>
      </c>
      <c r="N225" s="284">
        <v>12.1</v>
      </c>
      <c r="O225" s="284">
        <v>0.12</v>
      </c>
      <c r="P225" s="284">
        <v>4421</v>
      </c>
      <c r="Q225" s="284">
        <v>1.84</v>
      </c>
      <c r="R225" s="285">
        <v>0.28999999999999998</v>
      </c>
      <c r="S225" s="286">
        <v>0.18</v>
      </c>
      <c r="T225" s="287">
        <v>2</v>
      </c>
      <c r="U225" s="287">
        <v>3</v>
      </c>
      <c r="V225" s="287">
        <v>4</v>
      </c>
      <c r="W225" s="287">
        <v>2</v>
      </c>
      <c r="X225" s="287">
        <v>4</v>
      </c>
      <c r="Y225" s="287">
        <v>1</v>
      </c>
      <c r="Z225" s="287">
        <v>2</v>
      </c>
      <c r="AA225" s="288">
        <v>4</v>
      </c>
      <c r="AB225" s="288">
        <v>3</v>
      </c>
      <c r="AC225" s="288">
        <v>1</v>
      </c>
      <c r="AD225" s="288">
        <v>4</v>
      </c>
      <c r="AE225" s="288">
        <v>1</v>
      </c>
      <c r="AF225" s="287">
        <v>2</v>
      </c>
      <c r="AG225" s="287">
        <v>2</v>
      </c>
      <c r="AH225" s="287">
        <v>1</v>
      </c>
      <c r="AI225" s="287">
        <v>3</v>
      </c>
      <c r="AJ225" s="282"/>
      <c r="AK225" s="282"/>
      <c r="AL225" s="284"/>
      <c r="AM225" s="282"/>
      <c r="AN225" s="282"/>
      <c r="AO225" s="282"/>
      <c r="AP225" s="282"/>
      <c r="AQ225" s="282"/>
      <c r="AR225" s="282"/>
      <c r="AS225" s="282"/>
      <c r="AT225" s="282"/>
      <c r="AU225" s="282"/>
      <c r="AV225" s="282"/>
      <c r="AW225" s="282"/>
      <c r="AX225" s="282"/>
      <c r="AY225" s="282"/>
      <c r="AZ225" s="282"/>
      <c r="BA225" s="282"/>
      <c r="BB225" s="282"/>
    </row>
    <row r="226" spans="1:54" ht="15.75" customHeight="1" x14ac:dyDescent="0.2">
      <c r="A226" s="6" t="s">
        <v>757</v>
      </c>
      <c r="B226" s="6">
        <v>2021</v>
      </c>
      <c r="C226" s="6" t="s">
        <v>482</v>
      </c>
      <c r="D226" s="6" t="s">
        <v>482</v>
      </c>
      <c r="E226" s="43">
        <v>3.84</v>
      </c>
      <c r="F226" s="43">
        <v>28043</v>
      </c>
      <c r="G226" s="43">
        <v>100</v>
      </c>
      <c r="H226" s="20">
        <v>97709</v>
      </c>
      <c r="I226" s="270">
        <v>17480</v>
      </c>
      <c r="J226" s="20">
        <v>4257</v>
      </c>
      <c r="K226" s="20">
        <v>1728</v>
      </c>
      <c r="L226" s="20">
        <v>22475</v>
      </c>
      <c r="M226" s="20">
        <v>1.29</v>
      </c>
      <c r="N226" s="20">
        <v>10.1</v>
      </c>
      <c r="O226" s="20">
        <v>0.24</v>
      </c>
      <c r="P226" s="20">
        <v>3134</v>
      </c>
      <c r="Q226" s="20">
        <v>1.49</v>
      </c>
      <c r="R226" s="21">
        <v>0.25</v>
      </c>
      <c r="S226" s="22">
        <v>0.13</v>
      </c>
      <c r="T226" s="23">
        <v>2</v>
      </c>
      <c r="U226" s="23">
        <v>3</v>
      </c>
      <c r="V226" s="23">
        <v>4</v>
      </c>
      <c r="W226" s="23">
        <v>2</v>
      </c>
      <c r="X226" s="23">
        <v>4</v>
      </c>
      <c r="Y226" s="23">
        <v>1</v>
      </c>
      <c r="Z226" s="23">
        <v>3</v>
      </c>
      <c r="AA226" s="9">
        <v>0</v>
      </c>
      <c r="AB226" s="9">
        <v>1</v>
      </c>
      <c r="AC226" s="9">
        <v>1</v>
      </c>
      <c r="AD226" s="9">
        <v>2</v>
      </c>
      <c r="AE226" s="9">
        <v>3</v>
      </c>
      <c r="AF226" s="23">
        <v>0</v>
      </c>
      <c r="AG226" s="23">
        <v>2</v>
      </c>
      <c r="AH226" s="23">
        <v>4</v>
      </c>
      <c r="AI226" s="23">
        <v>3</v>
      </c>
      <c r="AL226" s="20"/>
    </row>
    <row r="227" spans="1:54" ht="15.75" customHeight="1" x14ac:dyDescent="0.2">
      <c r="A227" s="6" t="s">
        <v>758</v>
      </c>
      <c r="B227" s="6">
        <v>1991</v>
      </c>
      <c r="C227" s="6" t="s">
        <v>393</v>
      </c>
      <c r="D227" s="6" t="s">
        <v>393</v>
      </c>
      <c r="E227" s="43">
        <v>3.57</v>
      </c>
      <c r="F227" s="43">
        <v>23</v>
      </c>
      <c r="G227" s="43">
        <v>99</v>
      </c>
      <c r="H227" s="20">
        <v>248097</v>
      </c>
      <c r="I227" s="270">
        <v>45044</v>
      </c>
      <c r="J227" s="20">
        <v>6583</v>
      </c>
      <c r="K227" s="20">
        <v>3073</v>
      </c>
      <c r="L227" s="20">
        <v>57477</v>
      </c>
      <c r="M227" s="20">
        <v>1.28</v>
      </c>
      <c r="N227" s="20">
        <v>14.7</v>
      </c>
      <c r="O227" s="20">
        <v>0.15</v>
      </c>
      <c r="P227" s="20">
        <v>4638</v>
      </c>
      <c r="Q227" s="20">
        <v>2.04</v>
      </c>
      <c r="R227" s="21">
        <v>0.25</v>
      </c>
      <c r="S227" s="22">
        <v>0.16</v>
      </c>
      <c r="T227" s="23">
        <v>3</v>
      </c>
      <c r="U227" s="23">
        <v>4</v>
      </c>
      <c r="V227" s="23">
        <v>4</v>
      </c>
      <c r="W227" s="23">
        <v>3</v>
      </c>
      <c r="X227" s="23">
        <v>4</v>
      </c>
      <c r="Y227" s="23">
        <v>2</v>
      </c>
      <c r="Z227" s="23">
        <v>3</v>
      </c>
      <c r="AA227" s="9">
        <v>1</v>
      </c>
      <c r="AB227" s="9">
        <v>4</v>
      </c>
      <c r="AC227" s="9">
        <v>2</v>
      </c>
      <c r="AD227" s="9">
        <v>3</v>
      </c>
      <c r="AE227" s="9">
        <v>2</v>
      </c>
      <c r="AF227" s="23">
        <v>2</v>
      </c>
      <c r="AG227" s="23">
        <v>3</v>
      </c>
      <c r="AH227" s="23">
        <v>2</v>
      </c>
      <c r="AI227" s="23">
        <v>4</v>
      </c>
      <c r="AL227" s="20"/>
    </row>
    <row r="228" spans="1:54" ht="15.75" customHeight="1" x14ac:dyDescent="0.2">
      <c r="A228" s="6" t="s">
        <v>759</v>
      </c>
      <c r="B228" s="6">
        <v>1998</v>
      </c>
      <c r="C228" s="6" t="s">
        <v>517</v>
      </c>
      <c r="D228" s="6" t="s">
        <v>517</v>
      </c>
      <c r="E228" s="43">
        <v>3.99</v>
      </c>
      <c r="F228" s="43">
        <v>1193</v>
      </c>
      <c r="G228" s="43">
        <v>99</v>
      </c>
      <c r="H228" s="20">
        <v>165416</v>
      </c>
      <c r="I228" s="270">
        <v>29969</v>
      </c>
      <c r="J228" s="20">
        <v>4793</v>
      </c>
      <c r="K228" s="20">
        <v>2020</v>
      </c>
      <c r="L228" s="20">
        <v>37846</v>
      </c>
      <c r="M228" s="20">
        <v>1.26</v>
      </c>
      <c r="N228" s="20">
        <v>14.8</v>
      </c>
      <c r="O228" s="20">
        <v>0.16</v>
      </c>
      <c r="P228" s="20">
        <v>3286</v>
      </c>
      <c r="Q228" s="20">
        <v>1.87</v>
      </c>
      <c r="R228" s="21">
        <v>0.3</v>
      </c>
      <c r="S228" s="22">
        <v>0.16</v>
      </c>
      <c r="T228" s="23">
        <v>2</v>
      </c>
      <c r="U228" s="23">
        <v>3</v>
      </c>
      <c r="V228" s="23">
        <v>4</v>
      </c>
      <c r="W228" s="23">
        <v>2</v>
      </c>
      <c r="X228" s="23">
        <v>4</v>
      </c>
      <c r="Y228" s="23">
        <v>3</v>
      </c>
      <c r="Z228" s="23">
        <v>4</v>
      </c>
      <c r="AA228" s="9">
        <v>1</v>
      </c>
      <c r="AB228" s="9">
        <v>0</v>
      </c>
      <c r="AC228" s="9">
        <v>1</v>
      </c>
      <c r="AD228" s="9">
        <v>2</v>
      </c>
      <c r="AE228" s="9">
        <v>3</v>
      </c>
      <c r="AF228" s="23">
        <v>1</v>
      </c>
      <c r="AG228" s="23">
        <v>2</v>
      </c>
      <c r="AH228" s="23">
        <v>3</v>
      </c>
      <c r="AI228" s="23">
        <v>3</v>
      </c>
      <c r="AL228" s="20"/>
    </row>
    <row r="229" spans="1:54" ht="15.75" customHeight="1" x14ac:dyDescent="0.2">
      <c r="A229" s="6" t="s">
        <v>760</v>
      </c>
      <c r="B229" s="6">
        <v>2005</v>
      </c>
      <c r="C229" s="6" t="s">
        <v>535</v>
      </c>
      <c r="D229" s="6" t="s">
        <v>535</v>
      </c>
      <c r="E229" s="43">
        <v>3.29</v>
      </c>
      <c r="F229" s="43">
        <v>48</v>
      </c>
      <c r="G229" s="43">
        <v>99</v>
      </c>
      <c r="H229" s="20">
        <v>213031</v>
      </c>
      <c r="I229" s="270">
        <v>37892</v>
      </c>
      <c r="J229" s="20">
        <v>5035</v>
      </c>
      <c r="K229" s="20">
        <v>2387</v>
      </c>
      <c r="L229" s="20">
        <v>47518</v>
      </c>
      <c r="M229" s="20">
        <v>1.25</v>
      </c>
      <c r="N229" s="20">
        <v>15.9</v>
      </c>
      <c r="O229" s="20">
        <v>0.13</v>
      </c>
      <c r="P229" s="20">
        <v>3727</v>
      </c>
      <c r="Q229" s="20">
        <v>1.86</v>
      </c>
      <c r="R229" s="21">
        <v>0.3</v>
      </c>
      <c r="S229" s="22">
        <v>0.17</v>
      </c>
      <c r="T229" s="23">
        <v>3</v>
      </c>
      <c r="U229" s="23">
        <v>4</v>
      </c>
      <c r="V229" s="23">
        <v>4</v>
      </c>
      <c r="W229" s="23">
        <v>3</v>
      </c>
      <c r="X229" s="23">
        <v>4</v>
      </c>
      <c r="Y229" s="23">
        <v>2</v>
      </c>
      <c r="Z229" s="23">
        <v>4</v>
      </c>
      <c r="AA229" s="9">
        <v>1</v>
      </c>
      <c r="AB229" s="9">
        <v>3</v>
      </c>
      <c r="AC229" s="9">
        <v>2</v>
      </c>
      <c r="AD229" s="9">
        <v>1</v>
      </c>
      <c r="AE229" s="9">
        <v>2</v>
      </c>
      <c r="AF229" s="23">
        <v>1</v>
      </c>
      <c r="AG229" s="23">
        <v>3</v>
      </c>
      <c r="AH229" s="23">
        <v>4</v>
      </c>
      <c r="AI229" s="23">
        <v>4</v>
      </c>
      <c r="AL229" s="20"/>
    </row>
    <row r="230" spans="1:54" ht="15.75" customHeight="1" x14ac:dyDescent="0.2">
      <c r="A230" s="28" t="s">
        <v>34</v>
      </c>
      <c r="B230" s="28">
        <v>2012</v>
      </c>
      <c r="C230" s="28" t="s">
        <v>35</v>
      </c>
      <c r="D230" s="6" t="s">
        <v>35</v>
      </c>
      <c r="E230" s="43">
        <v>3.8</v>
      </c>
      <c r="F230" s="43">
        <v>1783</v>
      </c>
      <c r="G230" s="43">
        <v>99</v>
      </c>
      <c r="H230" s="20">
        <v>132307</v>
      </c>
      <c r="I230" s="270">
        <v>25904</v>
      </c>
      <c r="J230" s="20">
        <v>3555</v>
      </c>
      <c r="K230" s="20">
        <v>2921</v>
      </c>
      <c r="L230" s="20">
        <v>32135</v>
      </c>
      <c r="M230" s="20">
        <v>1.24</v>
      </c>
      <c r="N230" s="20">
        <v>8.9</v>
      </c>
      <c r="O230" s="20">
        <v>0.14000000000000001</v>
      </c>
      <c r="P230" s="20">
        <v>2477</v>
      </c>
      <c r="Q230" s="20">
        <v>1.59</v>
      </c>
      <c r="R230" s="21">
        <v>0.28000000000000003</v>
      </c>
      <c r="S230" s="22">
        <v>0.16</v>
      </c>
      <c r="T230" s="30">
        <v>2</v>
      </c>
      <c r="U230" s="30">
        <v>3</v>
      </c>
      <c r="V230" s="30">
        <v>3</v>
      </c>
      <c r="W230" s="30">
        <v>2</v>
      </c>
      <c r="X230" s="30">
        <v>3</v>
      </c>
      <c r="Y230" s="30">
        <v>2</v>
      </c>
      <c r="Z230" s="30">
        <v>3</v>
      </c>
      <c r="AA230" s="29">
        <v>1</v>
      </c>
      <c r="AB230" s="29">
        <v>1</v>
      </c>
      <c r="AC230" s="29">
        <v>4</v>
      </c>
      <c r="AD230" s="29">
        <v>0</v>
      </c>
      <c r="AE230" s="29">
        <v>1</v>
      </c>
      <c r="AF230" s="30">
        <v>2</v>
      </c>
      <c r="AG230" s="30">
        <v>2</v>
      </c>
      <c r="AH230" s="30">
        <v>4</v>
      </c>
      <c r="AI230" s="30">
        <v>3</v>
      </c>
      <c r="AJ230" s="28"/>
      <c r="AK230" s="28"/>
      <c r="AL230" s="292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</row>
    <row r="231" spans="1:54" ht="15.75" customHeight="1" x14ac:dyDescent="0.2">
      <c r="A231" s="6" t="s">
        <v>761</v>
      </c>
      <c r="B231" s="6">
        <v>2012</v>
      </c>
      <c r="C231" s="6" t="s">
        <v>354</v>
      </c>
      <c r="D231" s="6" t="s">
        <v>354</v>
      </c>
      <c r="E231" s="43">
        <v>3.39</v>
      </c>
      <c r="F231" s="43">
        <v>44</v>
      </c>
      <c r="G231" s="43">
        <v>99</v>
      </c>
      <c r="H231" s="20">
        <v>229397</v>
      </c>
      <c r="I231" s="270">
        <v>43778</v>
      </c>
      <c r="J231" s="20">
        <v>4498</v>
      </c>
      <c r="K231" s="20">
        <v>4245</v>
      </c>
      <c r="L231" s="20">
        <v>55407</v>
      </c>
      <c r="M231" s="20">
        <v>1.27</v>
      </c>
      <c r="N231" s="20">
        <v>10.3</v>
      </c>
      <c r="O231" s="20">
        <v>0.1</v>
      </c>
      <c r="P231" s="20">
        <v>3103</v>
      </c>
      <c r="Q231" s="20">
        <v>1.73</v>
      </c>
      <c r="R231" s="21">
        <v>0.28999999999999998</v>
      </c>
      <c r="S231" s="22">
        <v>0.19</v>
      </c>
      <c r="T231" s="23">
        <v>2</v>
      </c>
      <c r="U231" s="23">
        <v>3</v>
      </c>
      <c r="V231" s="23">
        <v>4</v>
      </c>
      <c r="W231" s="23">
        <v>2</v>
      </c>
      <c r="X231" s="23">
        <v>4</v>
      </c>
      <c r="Y231" s="23">
        <v>3</v>
      </c>
      <c r="Z231" s="23">
        <v>4</v>
      </c>
      <c r="AA231" s="9">
        <v>1</v>
      </c>
      <c r="AB231" s="9">
        <v>0</v>
      </c>
      <c r="AC231" s="9">
        <v>3</v>
      </c>
      <c r="AD231" s="9">
        <v>1</v>
      </c>
      <c r="AE231" s="9">
        <v>2</v>
      </c>
      <c r="AF231" s="23">
        <v>1</v>
      </c>
      <c r="AG231" s="23">
        <v>2</v>
      </c>
      <c r="AH231" s="23">
        <v>3</v>
      </c>
      <c r="AI231" s="23">
        <v>4</v>
      </c>
      <c r="AL231" s="20"/>
    </row>
    <row r="232" spans="1:54" ht="15.75" customHeight="1" x14ac:dyDescent="0.2">
      <c r="A232" s="6" t="s">
        <v>762</v>
      </c>
      <c r="B232" s="6">
        <v>2005</v>
      </c>
      <c r="C232" s="6" t="s">
        <v>477</v>
      </c>
      <c r="D232" s="6" t="s">
        <v>477</v>
      </c>
      <c r="E232" s="43">
        <v>3.61</v>
      </c>
      <c r="F232" s="43">
        <v>6293</v>
      </c>
      <c r="G232" s="43">
        <v>99</v>
      </c>
      <c r="H232" s="20">
        <v>552146</v>
      </c>
      <c r="I232" s="270">
        <v>103284</v>
      </c>
      <c r="J232" s="20">
        <v>8955</v>
      </c>
      <c r="K232" s="20">
        <v>10526</v>
      </c>
      <c r="L232" s="20">
        <v>130380</v>
      </c>
      <c r="M232" s="20">
        <v>1.26</v>
      </c>
      <c r="N232" s="20">
        <v>9.8000000000000007</v>
      </c>
      <c r="O232" s="20">
        <v>0.09</v>
      </c>
      <c r="P232" s="20">
        <v>6322</v>
      </c>
      <c r="Q232" s="20">
        <v>1.59</v>
      </c>
      <c r="R232" s="21">
        <v>0.28999999999999998</v>
      </c>
      <c r="S232" s="22">
        <v>0.17</v>
      </c>
      <c r="T232" s="23">
        <v>2</v>
      </c>
      <c r="U232" s="23">
        <v>3</v>
      </c>
      <c r="V232" s="23">
        <v>4</v>
      </c>
      <c r="W232" s="23">
        <v>2</v>
      </c>
      <c r="X232" s="23">
        <v>4</v>
      </c>
      <c r="Y232" s="23">
        <v>1</v>
      </c>
      <c r="Z232" s="23">
        <v>3</v>
      </c>
      <c r="AA232" s="9">
        <v>0</v>
      </c>
      <c r="AB232" s="9">
        <v>1</v>
      </c>
      <c r="AC232" s="9">
        <v>2</v>
      </c>
      <c r="AD232" s="9">
        <v>1</v>
      </c>
      <c r="AE232" s="9">
        <v>4</v>
      </c>
      <c r="AF232" s="23">
        <v>0</v>
      </c>
      <c r="AG232" s="23">
        <v>3</v>
      </c>
      <c r="AH232" s="23">
        <v>3</v>
      </c>
      <c r="AI232" s="23">
        <v>4</v>
      </c>
      <c r="AL232" s="20"/>
    </row>
    <row r="233" spans="1:54" ht="15.75" customHeight="1" x14ac:dyDescent="0.2">
      <c r="A233" s="6" t="s">
        <v>763</v>
      </c>
      <c r="B233" s="6">
        <v>1982</v>
      </c>
      <c r="C233" s="6" t="s">
        <v>522</v>
      </c>
      <c r="D233" s="6" t="s">
        <v>522</v>
      </c>
      <c r="E233" s="43">
        <v>3.64</v>
      </c>
      <c r="F233" s="43">
        <v>3026</v>
      </c>
      <c r="G233" s="43">
        <v>99</v>
      </c>
      <c r="H233" s="20">
        <v>152690</v>
      </c>
      <c r="I233" s="270">
        <v>28592</v>
      </c>
      <c r="J233" s="20">
        <v>4334</v>
      </c>
      <c r="K233" s="20">
        <v>1771</v>
      </c>
      <c r="L233" s="20">
        <v>35189</v>
      </c>
      <c r="M233" s="20">
        <v>1.23</v>
      </c>
      <c r="N233" s="20">
        <v>16.100000000000001</v>
      </c>
      <c r="O233" s="20">
        <v>0.15</v>
      </c>
      <c r="P233" s="20">
        <v>3051</v>
      </c>
      <c r="Q233" s="20">
        <v>2.02</v>
      </c>
      <c r="R233" s="21">
        <v>0.27</v>
      </c>
      <c r="S233" s="22">
        <v>0.16</v>
      </c>
      <c r="T233" s="23">
        <v>2</v>
      </c>
      <c r="U233" s="23">
        <v>3</v>
      </c>
      <c r="V233" s="23">
        <v>4</v>
      </c>
      <c r="W233" s="23">
        <v>2</v>
      </c>
      <c r="X233" s="23">
        <v>3</v>
      </c>
      <c r="Y233" s="23">
        <v>2</v>
      </c>
      <c r="Z233" s="23">
        <v>4</v>
      </c>
      <c r="AA233" s="9">
        <v>0</v>
      </c>
      <c r="AB233" s="9">
        <v>1</v>
      </c>
      <c r="AC233" s="9">
        <v>1</v>
      </c>
      <c r="AD233" s="9">
        <v>0</v>
      </c>
      <c r="AE233" s="9">
        <v>2</v>
      </c>
      <c r="AF233" s="23">
        <v>1</v>
      </c>
      <c r="AG233" s="23">
        <v>2</v>
      </c>
      <c r="AH233" s="23">
        <v>4</v>
      </c>
      <c r="AI233" s="23">
        <v>3</v>
      </c>
      <c r="AL233" s="20"/>
    </row>
    <row r="234" spans="1:54" ht="15.75" customHeight="1" x14ac:dyDescent="0.2">
      <c r="A234" s="6" t="s">
        <v>764</v>
      </c>
      <c r="B234" s="6">
        <v>2013</v>
      </c>
      <c r="C234" s="6" t="s">
        <v>450</v>
      </c>
      <c r="D234" s="6" t="s">
        <v>450</v>
      </c>
      <c r="E234" s="43">
        <v>4.16</v>
      </c>
      <c r="F234" s="43">
        <v>2563</v>
      </c>
      <c r="G234" s="43">
        <v>99</v>
      </c>
      <c r="H234" s="20">
        <v>424819</v>
      </c>
      <c r="I234" s="270">
        <v>81218</v>
      </c>
      <c r="J234" s="20">
        <v>8417</v>
      </c>
      <c r="K234" s="20">
        <v>4447</v>
      </c>
      <c r="L234" s="20">
        <v>94223</v>
      </c>
      <c r="M234" s="20">
        <v>1.1599999999999999</v>
      </c>
      <c r="N234" s="20">
        <v>18.3</v>
      </c>
      <c r="O234" s="20">
        <v>0.1</v>
      </c>
      <c r="P234" s="20">
        <v>5658</v>
      </c>
      <c r="Q234" s="20">
        <v>2.19</v>
      </c>
      <c r="R234" s="21">
        <v>0.28000000000000003</v>
      </c>
      <c r="S234" s="22">
        <v>0.15</v>
      </c>
      <c r="T234" s="23">
        <v>1</v>
      </c>
      <c r="U234" s="23">
        <v>2</v>
      </c>
      <c r="V234" s="23">
        <v>3</v>
      </c>
      <c r="W234" s="23">
        <v>2</v>
      </c>
      <c r="X234" s="23">
        <v>3</v>
      </c>
      <c r="Y234" s="23">
        <v>2</v>
      </c>
      <c r="Z234" s="23">
        <v>4</v>
      </c>
      <c r="AA234" s="9">
        <v>1</v>
      </c>
      <c r="AB234" s="9">
        <v>0</v>
      </c>
      <c r="AC234" s="9">
        <v>1</v>
      </c>
      <c r="AD234" s="9">
        <v>2</v>
      </c>
      <c r="AE234" s="9">
        <v>1</v>
      </c>
      <c r="AF234" s="23">
        <v>0</v>
      </c>
      <c r="AG234" s="23">
        <v>2</v>
      </c>
      <c r="AH234" s="23">
        <v>4</v>
      </c>
      <c r="AI234" s="23">
        <v>3</v>
      </c>
      <c r="AL234" s="20"/>
    </row>
    <row r="235" spans="1:54" ht="15.75" customHeight="1" x14ac:dyDescent="0.2">
      <c r="A235" s="6" t="s">
        <v>765</v>
      </c>
      <c r="B235" s="6">
        <v>1898</v>
      </c>
      <c r="C235" s="6" t="s">
        <v>478</v>
      </c>
      <c r="D235" s="6" t="s">
        <v>478</v>
      </c>
      <c r="E235" s="43">
        <v>3.29</v>
      </c>
      <c r="F235" s="43">
        <v>2120</v>
      </c>
      <c r="G235" s="43">
        <v>99</v>
      </c>
      <c r="H235" s="20">
        <v>389134</v>
      </c>
      <c r="I235" s="270">
        <v>71413</v>
      </c>
      <c r="J235" s="20">
        <v>6921</v>
      </c>
      <c r="K235" s="20">
        <v>4235</v>
      </c>
      <c r="L235" s="20">
        <v>91707</v>
      </c>
      <c r="M235" s="20">
        <v>1.28</v>
      </c>
      <c r="N235" s="20">
        <v>16.899999999999999</v>
      </c>
      <c r="O235" s="20">
        <v>0.1</v>
      </c>
      <c r="P235" s="20">
        <v>4961</v>
      </c>
      <c r="Q235" s="20">
        <v>1.96</v>
      </c>
      <c r="R235" s="21">
        <v>0.28000000000000003</v>
      </c>
      <c r="S235" s="22">
        <v>0.18</v>
      </c>
      <c r="T235" s="23">
        <v>2</v>
      </c>
      <c r="U235" s="23">
        <v>3</v>
      </c>
      <c r="V235" s="23">
        <v>3</v>
      </c>
      <c r="W235" s="23">
        <v>2</v>
      </c>
      <c r="X235" s="23">
        <v>3</v>
      </c>
      <c r="Y235" s="23">
        <v>2</v>
      </c>
      <c r="Z235" s="23">
        <v>1</v>
      </c>
      <c r="AA235" s="9">
        <v>1</v>
      </c>
      <c r="AB235" s="9">
        <v>1</v>
      </c>
      <c r="AC235" s="9">
        <v>2</v>
      </c>
      <c r="AD235" s="9">
        <v>0</v>
      </c>
      <c r="AE235" s="9">
        <v>1</v>
      </c>
      <c r="AF235" s="23">
        <v>1</v>
      </c>
      <c r="AG235" s="23">
        <v>2</v>
      </c>
      <c r="AH235" s="23">
        <v>2</v>
      </c>
      <c r="AI235" s="23">
        <v>3</v>
      </c>
      <c r="AL235" s="20"/>
    </row>
    <row r="236" spans="1:54" ht="15.75" customHeight="1" x14ac:dyDescent="0.2">
      <c r="A236" s="6" t="s">
        <v>766</v>
      </c>
      <c r="B236" s="6">
        <v>1991</v>
      </c>
      <c r="C236" s="6" t="s">
        <v>541</v>
      </c>
      <c r="D236" s="6" t="s">
        <v>541</v>
      </c>
      <c r="E236" s="43">
        <v>4.04</v>
      </c>
      <c r="F236" s="43">
        <v>55</v>
      </c>
      <c r="G236" s="43">
        <v>99</v>
      </c>
      <c r="H236" s="20">
        <v>92959</v>
      </c>
      <c r="I236" s="270">
        <v>16074</v>
      </c>
      <c r="J236" s="20">
        <v>3184</v>
      </c>
      <c r="K236" s="20">
        <v>1497</v>
      </c>
      <c r="L236" s="20">
        <v>21421</v>
      </c>
      <c r="M236" s="20">
        <v>1.33</v>
      </c>
      <c r="N236" s="20">
        <v>10.7</v>
      </c>
      <c r="O236" s="20">
        <v>0.2</v>
      </c>
      <c r="P236" s="20">
        <v>2355</v>
      </c>
      <c r="Q236" s="20">
        <v>1.55</v>
      </c>
      <c r="R236" s="21">
        <v>0.26</v>
      </c>
      <c r="S236" s="22">
        <v>0.17</v>
      </c>
      <c r="T236" s="23">
        <v>2</v>
      </c>
      <c r="U236" s="23">
        <v>3</v>
      </c>
      <c r="V236" s="23">
        <v>4</v>
      </c>
      <c r="W236" s="23">
        <v>1</v>
      </c>
      <c r="X236" s="23">
        <v>3</v>
      </c>
      <c r="Y236" s="23">
        <v>2</v>
      </c>
      <c r="Z236" s="23">
        <v>4</v>
      </c>
      <c r="AA236" s="9">
        <v>0</v>
      </c>
      <c r="AB236" s="9">
        <v>1</v>
      </c>
      <c r="AC236" s="9">
        <v>0</v>
      </c>
      <c r="AD236" s="9">
        <v>2</v>
      </c>
      <c r="AE236" s="9">
        <v>4</v>
      </c>
      <c r="AF236" s="23">
        <v>0</v>
      </c>
      <c r="AG236" s="23">
        <v>3</v>
      </c>
      <c r="AH236" s="23">
        <v>0</v>
      </c>
      <c r="AI236" s="23">
        <v>2</v>
      </c>
      <c r="AL236" s="20"/>
    </row>
    <row r="237" spans="1:54" ht="15.75" customHeight="1" x14ac:dyDescent="0.2">
      <c r="A237" s="6" t="s">
        <v>767</v>
      </c>
      <c r="B237" s="6">
        <v>2014</v>
      </c>
      <c r="C237" s="6" t="s">
        <v>480</v>
      </c>
      <c r="D237" s="6" t="s">
        <v>480</v>
      </c>
      <c r="E237" s="43">
        <v>4.01</v>
      </c>
      <c r="F237" s="43">
        <v>6538</v>
      </c>
      <c r="G237" s="43">
        <v>99</v>
      </c>
      <c r="H237" s="20">
        <v>187791</v>
      </c>
      <c r="I237" s="270">
        <v>36593</v>
      </c>
      <c r="J237" s="20">
        <v>3311</v>
      </c>
      <c r="K237" s="20">
        <v>3226</v>
      </c>
      <c r="L237" s="20">
        <v>46471</v>
      </c>
      <c r="M237" s="20">
        <v>1.27</v>
      </c>
      <c r="N237" s="20">
        <v>11.3</v>
      </c>
      <c r="O237" s="20">
        <v>0.09</v>
      </c>
      <c r="P237" s="20">
        <v>2330</v>
      </c>
      <c r="Q237" s="20">
        <v>1.85</v>
      </c>
      <c r="R237" s="21">
        <v>0.27</v>
      </c>
      <c r="S237" s="22">
        <v>0.18</v>
      </c>
      <c r="T237" s="23">
        <v>3</v>
      </c>
      <c r="U237" s="23">
        <v>2</v>
      </c>
      <c r="V237" s="23">
        <v>3</v>
      </c>
      <c r="W237" s="23">
        <v>2</v>
      </c>
      <c r="X237" s="23">
        <v>4</v>
      </c>
      <c r="Y237" s="23">
        <v>1</v>
      </c>
      <c r="Z237" s="23">
        <v>3</v>
      </c>
      <c r="AA237" s="9">
        <v>2</v>
      </c>
      <c r="AB237" s="9">
        <v>1</v>
      </c>
      <c r="AC237" s="9">
        <v>1</v>
      </c>
      <c r="AD237" s="9">
        <v>2</v>
      </c>
      <c r="AE237" s="9">
        <v>1</v>
      </c>
      <c r="AF237" s="23">
        <v>1</v>
      </c>
      <c r="AG237" s="23">
        <v>3</v>
      </c>
      <c r="AH237" s="23">
        <v>4</v>
      </c>
      <c r="AI237" s="23">
        <v>4</v>
      </c>
      <c r="AL237" s="20"/>
    </row>
    <row r="238" spans="1:54" ht="15.75" customHeight="1" x14ac:dyDescent="0.2">
      <c r="A238" s="6" t="s">
        <v>768</v>
      </c>
      <c r="B238" s="6">
        <v>2020</v>
      </c>
      <c r="C238" s="6" t="s">
        <v>490</v>
      </c>
      <c r="D238" s="6" t="s">
        <v>490</v>
      </c>
      <c r="E238" s="43">
        <v>3.98</v>
      </c>
      <c r="F238" s="43">
        <v>39407</v>
      </c>
      <c r="G238" s="43">
        <v>99</v>
      </c>
      <c r="H238" s="20">
        <v>212177</v>
      </c>
      <c r="I238" s="270">
        <v>40605</v>
      </c>
      <c r="J238" s="20">
        <v>4706</v>
      </c>
      <c r="K238" s="20">
        <v>3968</v>
      </c>
      <c r="L238" s="20">
        <v>51716</v>
      </c>
      <c r="M238" s="20">
        <v>1.27</v>
      </c>
      <c r="N238" s="20">
        <v>10.199999999999999</v>
      </c>
      <c r="O238" s="20">
        <v>0.12</v>
      </c>
      <c r="P238" s="20">
        <v>3055</v>
      </c>
      <c r="Q238" s="20">
        <v>1.71</v>
      </c>
      <c r="R238" s="21">
        <v>0.25</v>
      </c>
      <c r="S238" s="22">
        <v>0.16</v>
      </c>
      <c r="T238" s="23">
        <v>3</v>
      </c>
      <c r="U238" s="23">
        <v>4</v>
      </c>
      <c r="V238" s="23">
        <v>4</v>
      </c>
      <c r="W238" s="23">
        <v>3</v>
      </c>
      <c r="X238" s="23">
        <v>4</v>
      </c>
      <c r="Y238" s="23">
        <v>2</v>
      </c>
      <c r="Z238" s="23">
        <v>3</v>
      </c>
      <c r="AA238" s="9">
        <v>1</v>
      </c>
      <c r="AB238" s="9">
        <v>2</v>
      </c>
      <c r="AC238" s="9">
        <v>2</v>
      </c>
      <c r="AD238" s="9">
        <v>1</v>
      </c>
      <c r="AE238" s="9">
        <v>3</v>
      </c>
      <c r="AF238" s="23">
        <v>2</v>
      </c>
      <c r="AG238" s="23">
        <v>3</v>
      </c>
      <c r="AH238" s="23">
        <v>4</v>
      </c>
      <c r="AI238" s="23">
        <v>4</v>
      </c>
      <c r="AL238" s="20"/>
    </row>
    <row r="239" spans="1:54" ht="15.75" customHeight="1" x14ac:dyDescent="0.2">
      <c r="A239" s="6" t="s">
        <v>769</v>
      </c>
      <c r="B239" s="6">
        <v>2022</v>
      </c>
      <c r="C239" s="6" t="s">
        <v>498</v>
      </c>
      <c r="D239" s="6" t="s">
        <v>498</v>
      </c>
      <c r="E239" s="43">
        <v>3.47</v>
      </c>
      <c r="F239" s="43">
        <v>5552</v>
      </c>
      <c r="G239" s="43">
        <v>99</v>
      </c>
      <c r="H239" s="20">
        <v>207978</v>
      </c>
      <c r="I239" s="270">
        <v>38726</v>
      </c>
      <c r="J239" s="20">
        <v>4691</v>
      </c>
      <c r="K239" s="20">
        <v>3502</v>
      </c>
      <c r="L239" s="20">
        <v>49659</v>
      </c>
      <c r="M239" s="20">
        <v>1.28</v>
      </c>
      <c r="N239" s="20">
        <v>11.1</v>
      </c>
      <c r="O239" s="20">
        <v>0.12</v>
      </c>
      <c r="P239" s="20">
        <v>3401</v>
      </c>
      <c r="Q239" s="20">
        <v>1.7</v>
      </c>
      <c r="R239" s="21">
        <v>0.28999999999999998</v>
      </c>
      <c r="S239" s="22">
        <v>0.2</v>
      </c>
      <c r="T239" s="23">
        <v>3</v>
      </c>
      <c r="U239" s="23">
        <v>4</v>
      </c>
      <c r="V239" s="23">
        <v>4</v>
      </c>
      <c r="W239" s="23">
        <v>3</v>
      </c>
      <c r="X239" s="23">
        <v>4</v>
      </c>
      <c r="Y239" s="23">
        <v>2</v>
      </c>
      <c r="Z239" s="23">
        <v>3</v>
      </c>
      <c r="AA239" s="9">
        <v>1</v>
      </c>
      <c r="AB239" s="9">
        <v>3</v>
      </c>
      <c r="AC239" s="9">
        <v>2</v>
      </c>
      <c r="AD239" s="9">
        <v>1</v>
      </c>
      <c r="AE239" s="9">
        <v>3</v>
      </c>
      <c r="AF239" s="23">
        <v>2</v>
      </c>
      <c r="AG239" s="23">
        <v>3</v>
      </c>
      <c r="AH239" s="23">
        <v>4</v>
      </c>
      <c r="AI239" s="23">
        <v>4</v>
      </c>
      <c r="AL239" s="20"/>
    </row>
    <row r="240" spans="1:54" ht="15.75" customHeight="1" x14ac:dyDescent="0.2">
      <c r="A240" s="6" t="s">
        <v>770</v>
      </c>
      <c r="B240" s="6">
        <v>2020</v>
      </c>
      <c r="C240" s="6" t="s">
        <v>459</v>
      </c>
      <c r="D240" s="6" t="s">
        <v>459</v>
      </c>
      <c r="E240" s="43">
        <v>3.73</v>
      </c>
      <c r="F240" s="43">
        <v>2048</v>
      </c>
      <c r="G240" s="43">
        <v>99</v>
      </c>
      <c r="H240" s="20">
        <v>515324</v>
      </c>
      <c r="I240" s="270">
        <v>92691</v>
      </c>
      <c r="J240" s="20">
        <v>8831</v>
      </c>
      <c r="K240" s="20">
        <v>8590</v>
      </c>
      <c r="L240" s="20">
        <v>121151</v>
      </c>
      <c r="M240" s="20">
        <v>1.31</v>
      </c>
      <c r="N240" s="20">
        <v>10.8</v>
      </c>
      <c r="O240" s="20">
        <v>0.1</v>
      </c>
      <c r="P240" s="20">
        <v>6210</v>
      </c>
      <c r="Q240" s="20">
        <v>1.67</v>
      </c>
      <c r="R240" s="21">
        <v>0.3</v>
      </c>
      <c r="S240" s="22">
        <v>0.18</v>
      </c>
      <c r="T240" s="23">
        <v>3</v>
      </c>
      <c r="U240" s="23">
        <v>4</v>
      </c>
      <c r="V240" s="23">
        <v>4</v>
      </c>
      <c r="W240" s="23">
        <v>3</v>
      </c>
      <c r="X240" s="23">
        <v>4</v>
      </c>
      <c r="Y240" s="23">
        <v>2</v>
      </c>
      <c r="Z240" s="23">
        <v>3</v>
      </c>
      <c r="AA240" s="9">
        <v>1</v>
      </c>
      <c r="AB240" s="9">
        <v>3</v>
      </c>
      <c r="AC240" s="9">
        <v>2</v>
      </c>
      <c r="AD240" s="9">
        <v>1</v>
      </c>
      <c r="AE240" s="9">
        <v>4</v>
      </c>
      <c r="AF240" s="23">
        <v>1</v>
      </c>
      <c r="AG240" s="23">
        <v>3</v>
      </c>
      <c r="AH240" s="23">
        <v>4</v>
      </c>
      <c r="AI240" s="23">
        <v>4</v>
      </c>
      <c r="AL240" s="20"/>
    </row>
    <row r="241" spans="1:54" ht="15.75" customHeight="1" x14ac:dyDescent="0.2">
      <c r="A241" s="6" t="s">
        <v>771</v>
      </c>
      <c r="B241" s="6">
        <v>2011</v>
      </c>
      <c r="C241" s="6" t="s">
        <v>491</v>
      </c>
      <c r="D241" s="6" t="s">
        <v>491</v>
      </c>
      <c r="E241" s="43">
        <v>4.07</v>
      </c>
      <c r="F241" s="43">
        <v>22402</v>
      </c>
      <c r="G241" s="43">
        <v>98</v>
      </c>
      <c r="H241" s="20">
        <v>152767</v>
      </c>
      <c r="I241" s="270">
        <v>28206</v>
      </c>
      <c r="J241" s="20">
        <v>3493</v>
      </c>
      <c r="K241" s="20">
        <v>2109</v>
      </c>
      <c r="L241" s="20">
        <v>35245</v>
      </c>
      <c r="M241" s="20">
        <v>1.25</v>
      </c>
      <c r="N241" s="20">
        <v>13.4</v>
      </c>
      <c r="O241" s="20">
        <v>0.12</v>
      </c>
      <c r="P241" s="20">
        <v>2545</v>
      </c>
      <c r="Q241" s="20">
        <v>1.92</v>
      </c>
      <c r="R241" s="21">
        <v>0.3</v>
      </c>
      <c r="S241" s="22">
        <v>0.22</v>
      </c>
      <c r="T241" s="23">
        <v>3</v>
      </c>
      <c r="U241" s="23">
        <v>4</v>
      </c>
      <c r="V241" s="23">
        <v>4</v>
      </c>
      <c r="W241" s="23">
        <v>3</v>
      </c>
      <c r="X241" s="23">
        <v>3</v>
      </c>
      <c r="Y241" s="23">
        <v>2</v>
      </c>
      <c r="Z241" s="23">
        <v>4</v>
      </c>
      <c r="AA241" s="9">
        <v>0</v>
      </c>
      <c r="AB241" s="9">
        <v>1</v>
      </c>
      <c r="AC241" s="9">
        <v>3</v>
      </c>
      <c r="AD241" s="9">
        <v>0</v>
      </c>
      <c r="AE241" s="9">
        <v>4</v>
      </c>
      <c r="AF241" s="23">
        <v>2</v>
      </c>
      <c r="AG241" s="23">
        <v>3</v>
      </c>
      <c r="AH241" s="23">
        <v>2</v>
      </c>
      <c r="AI241" s="23">
        <v>4</v>
      </c>
      <c r="AL241" s="20"/>
    </row>
    <row r="242" spans="1:54" ht="15.75" customHeight="1" x14ac:dyDescent="0.2">
      <c r="A242" s="6" t="s">
        <v>772</v>
      </c>
      <c r="B242" s="6">
        <v>1990</v>
      </c>
      <c r="C242" s="6" t="s">
        <v>501</v>
      </c>
      <c r="D242" s="6" t="s">
        <v>501</v>
      </c>
      <c r="E242" s="43">
        <v>3.72</v>
      </c>
      <c r="F242" s="43">
        <v>4189</v>
      </c>
      <c r="G242" s="43">
        <v>98</v>
      </c>
      <c r="H242" s="20">
        <v>269569</v>
      </c>
      <c r="I242" s="270">
        <v>54263</v>
      </c>
      <c r="J242" s="20">
        <v>3218</v>
      </c>
      <c r="K242" s="20">
        <v>4053</v>
      </c>
      <c r="L242" s="20">
        <v>63988</v>
      </c>
      <c r="M242" s="20">
        <v>1.18</v>
      </c>
      <c r="N242" s="20">
        <v>13.4</v>
      </c>
      <c r="O242" s="20">
        <v>0.06</v>
      </c>
      <c r="P242" s="20">
        <v>2172</v>
      </c>
      <c r="Q242" s="20">
        <v>1.92</v>
      </c>
      <c r="R242" s="21">
        <v>0.28999999999999998</v>
      </c>
      <c r="S242" s="22">
        <v>0.17</v>
      </c>
      <c r="T242" s="23">
        <v>2</v>
      </c>
      <c r="U242" s="23">
        <v>3</v>
      </c>
      <c r="V242" s="23">
        <v>4</v>
      </c>
      <c r="W242" s="23">
        <v>2</v>
      </c>
      <c r="X242" s="23">
        <v>4</v>
      </c>
      <c r="Y242" s="23">
        <v>3</v>
      </c>
      <c r="Z242" s="23">
        <v>4</v>
      </c>
      <c r="AA242" s="9">
        <v>1</v>
      </c>
      <c r="AB242" s="9">
        <v>2</v>
      </c>
      <c r="AC242" s="9">
        <v>2</v>
      </c>
      <c r="AD242" s="9">
        <v>1</v>
      </c>
      <c r="AE242" s="9">
        <v>3</v>
      </c>
      <c r="AF242" s="23">
        <v>1</v>
      </c>
      <c r="AG242" s="23">
        <v>2</v>
      </c>
      <c r="AH242" s="23">
        <v>3</v>
      </c>
      <c r="AI242" s="23">
        <v>4</v>
      </c>
      <c r="AL242" s="20"/>
    </row>
    <row r="243" spans="1:54" ht="15.75" customHeight="1" x14ac:dyDescent="0.2">
      <c r="A243" s="6" t="s">
        <v>773</v>
      </c>
      <c r="B243" s="6">
        <v>1930</v>
      </c>
      <c r="C243" s="6" t="s">
        <v>419</v>
      </c>
      <c r="D243" s="6" t="s">
        <v>419</v>
      </c>
      <c r="E243" s="43">
        <v>3.27</v>
      </c>
      <c r="F243" s="43">
        <v>931</v>
      </c>
      <c r="G243" s="43">
        <v>98</v>
      </c>
      <c r="H243" s="20">
        <v>74560</v>
      </c>
      <c r="I243" s="270">
        <v>14491</v>
      </c>
      <c r="J243" s="20">
        <v>2303</v>
      </c>
      <c r="K243" s="20">
        <v>562</v>
      </c>
      <c r="L243" s="20">
        <v>18504</v>
      </c>
      <c r="M243" s="20">
        <v>1.28</v>
      </c>
      <c r="N243" s="20">
        <v>25.8</v>
      </c>
      <c r="O243" s="20">
        <v>0.16</v>
      </c>
      <c r="P243" s="20">
        <v>1250</v>
      </c>
      <c r="Q243" s="20">
        <v>3.54</v>
      </c>
      <c r="R243" s="21">
        <v>0.32</v>
      </c>
      <c r="S243" s="22">
        <v>0.22</v>
      </c>
      <c r="T243" s="23">
        <v>2</v>
      </c>
      <c r="U243" s="23">
        <v>3</v>
      </c>
      <c r="V243" s="23">
        <v>3</v>
      </c>
      <c r="W243" s="23">
        <v>1</v>
      </c>
      <c r="X243" s="23">
        <v>3</v>
      </c>
      <c r="Y243" s="23">
        <v>2</v>
      </c>
      <c r="Z243" s="23">
        <v>3</v>
      </c>
      <c r="AA243" s="9">
        <v>3</v>
      </c>
      <c r="AB243" s="9">
        <v>1</v>
      </c>
      <c r="AC243" s="9">
        <v>2</v>
      </c>
      <c r="AD243" s="9">
        <v>4</v>
      </c>
      <c r="AE243" s="9">
        <v>0</v>
      </c>
      <c r="AF243" s="23">
        <v>1</v>
      </c>
      <c r="AG243" s="23">
        <v>1</v>
      </c>
      <c r="AH243" s="23">
        <v>3</v>
      </c>
      <c r="AI243" s="23">
        <v>2</v>
      </c>
      <c r="AL243" s="20"/>
    </row>
    <row r="244" spans="1:54" ht="15.75" customHeight="1" x14ac:dyDescent="0.2">
      <c r="A244" s="6" t="s">
        <v>774</v>
      </c>
      <c r="B244" s="6">
        <v>1990</v>
      </c>
      <c r="C244" s="6" t="s">
        <v>450</v>
      </c>
      <c r="D244" s="6" t="s">
        <v>450</v>
      </c>
      <c r="E244" s="43">
        <v>4.05</v>
      </c>
      <c r="F244" s="43">
        <v>2185</v>
      </c>
      <c r="G244" s="43">
        <v>98</v>
      </c>
      <c r="H244" s="20">
        <v>424908</v>
      </c>
      <c r="I244" s="270">
        <v>81230</v>
      </c>
      <c r="J244" s="20">
        <v>8418</v>
      </c>
      <c r="K244" s="20">
        <v>4452</v>
      </c>
      <c r="L244" s="20">
        <v>94236</v>
      </c>
      <c r="M244" s="20">
        <v>1.1599999999999999</v>
      </c>
      <c r="N244" s="20">
        <v>18.2</v>
      </c>
      <c r="O244" s="20">
        <v>0.1</v>
      </c>
      <c r="P244" s="20">
        <v>5658</v>
      </c>
      <c r="Q244" s="20">
        <v>2.19</v>
      </c>
      <c r="R244" s="21">
        <v>0.28000000000000003</v>
      </c>
      <c r="S244" s="22">
        <v>0.16</v>
      </c>
      <c r="T244" s="23">
        <v>1</v>
      </c>
      <c r="U244" s="23">
        <v>2</v>
      </c>
      <c r="V244" s="23">
        <v>3</v>
      </c>
      <c r="W244" s="23">
        <v>1</v>
      </c>
      <c r="X244" s="23">
        <v>4</v>
      </c>
      <c r="Y244" s="23">
        <v>2</v>
      </c>
      <c r="Z244" s="23">
        <v>3</v>
      </c>
      <c r="AA244" s="9">
        <v>1</v>
      </c>
      <c r="AB244" s="9">
        <v>1</v>
      </c>
      <c r="AC244" s="9">
        <v>1</v>
      </c>
      <c r="AD244" s="9">
        <v>2</v>
      </c>
      <c r="AE244" s="9">
        <v>3</v>
      </c>
      <c r="AF244" s="23">
        <v>1</v>
      </c>
      <c r="AG244" s="23">
        <v>2</v>
      </c>
      <c r="AH244" s="23">
        <v>3</v>
      </c>
      <c r="AI244" s="23">
        <v>3</v>
      </c>
      <c r="AL244" s="20"/>
    </row>
    <row r="245" spans="1:54" ht="15.75" customHeight="1" x14ac:dyDescent="0.2">
      <c r="A245" s="6" t="s">
        <v>775</v>
      </c>
      <c r="B245" s="6">
        <v>1993</v>
      </c>
      <c r="C245" s="6" t="s">
        <v>481</v>
      </c>
      <c r="D245" s="6" t="s">
        <v>481</v>
      </c>
      <c r="E245" s="43">
        <v>3.82</v>
      </c>
      <c r="F245" s="43">
        <v>919</v>
      </c>
      <c r="G245" s="43">
        <v>98</v>
      </c>
      <c r="H245" s="20">
        <v>714152</v>
      </c>
      <c r="I245" s="270">
        <v>126901</v>
      </c>
      <c r="J245" s="20">
        <v>10498</v>
      </c>
      <c r="K245" s="20">
        <v>11242</v>
      </c>
      <c r="L245" s="20">
        <v>163660</v>
      </c>
      <c r="M245" s="20">
        <v>1.29</v>
      </c>
      <c r="N245" s="20">
        <v>11.3</v>
      </c>
      <c r="O245" s="20">
        <v>0.08</v>
      </c>
      <c r="P245" s="20">
        <v>7228</v>
      </c>
      <c r="Q245" s="20">
        <v>1.64</v>
      </c>
      <c r="R245" s="21">
        <v>0.26</v>
      </c>
      <c r="S245" s="22">
        <v>0.16</v>
      </c>
      <c r="T245" s="23">
        <v>3</v>
      </c>
      <c r="U245" s="23">
        <v>4</v>
      </c>
      <c r="V245" s="23">
        <v>4</v>
      </c>
      <c r="W245" s="23">
        <v>3</v>
      </c>
      <c r="X245" s="23">
        <v>4</v>
      </c>
      <c r="Y245" s="23">
        <v>2</v>
      </c>
      <c r="Z245" s="23">
        <v>3</v>
      </c>
      <c r="AA245" s="9">
        <v>1</v>
      </c>
      <c r="AB245" s="9">
        <v>2</v>
      </c>
      <c r="AC245" s="9">
        <v>1</v>
      </c>
      <c r="AD245" s="9">
        <v>3</v>
      </c>
      <c r="AE245" s="9">
        <v>2</v>
      </c>
      <c r="AF245" s="23">
        <v>1</v>
      </c>
      <c r="AG245" s="23">
        <v>3</v>
      </c>
      <c r="AH245" s="23">
        <v>4</v>
      </c>
      <c r="AI245" s="23">
        <v>4</v>
      </c>
      <c r="AL245" s="20"/>
    </row>
    <row r="246" spans="1:54" ht="15.75" customHeight="1" x14ac:dyDescent="0.2">
      <c r="A246" s="6" t="s">
        <v>776</v>
      </c>
      <c r="B246" s="6">
        <v>1990</v>
      </c>
      <c r="C246" s="6" t="s">
        <v>451</v>
      </c>
      <c r="D246" s="6" t="s">
        <v>451</v>
      </c>
      <c r="E246" s="43">
        <v>3.51</v>
      </c>
      <c r="F246" s="43">
        <v>1429</v>
      </c>
      <c r="G246" s="43">
        <v>98</v>
      </c>
      <c r="H246" s="20">
        <v>191754</v>
      </c>
      <c r="I246" s="270">
        <v>35889</v>
      </c>
      <c r="J246" s="20">
        <v>5159</v>
      </c>
      <c r="K246" s="20">
        <v>3128</v>
      </c>
      <c r="L246" s="20">
        <v>44883</v>
      </c>
      <c r="M246" s="20">
        <v>1.25</v>
      </c>
      <c r="N246" s="20">
        <v>11.5</v>
      </c>
      <c r="O246" s="20">
        <v>0.14000000000000001</v>
      </c>
      <c r="P246" s="20">
        <v>3561</v>
      </c>
      <c r="Q246" s="20">
        <v>1.59</v>
      </c>
      <c r="R246" s="21">
        <v>0.25</v>
      </c>
      <c r="S246" s="22">
        <v>0.14000000000000001</v>
      </c>
      <c r="T246" s="23">
        <v>3</v>
      </c>
      <c r="U246" s="23">
        <v>4</v>
      </c>
      <c r="V246" s="23">
        <v>4</v>
      </c>
      <c r="W246" s="23">
        <v>2</v>
      </c>
      <c r="X246" s="23">
        <v>4</v>
      </c>
      <c r="Y246" s="23">
        <v>1</v>
      </c>
      <c r="Z246" s="23">
        <v>3</v>
      </c>
      <c r="AA246" s="9">
        <v>1</v>
      </c>
      <c r="AB246" s="9">
        <v>3</v>
      </c>
      <c r="AC246" s="9">
        <v>1</v>
      </c>
      <c r="AD246" s="9">
        <v>2</v>
      </c>
      <c r="AE246" s="9">
        <v>3</v>
      </c>
      <c r="AF246" s="23">
        <v>1</v>
      </c>
      <c r="AG246" s="23">
        <v>3</v>
      </c>
      <c r="AH246" s="23">
        <v>1</v>
      </c>
      <c r="AI246" s="23">
        <v>4</v>
      </c>
      <c r="AL246" s="20"/>
    </row>
    <row r="247" spans="1:54" ht="15.75" customHeight="1" x14ac:dyDescent="0.2">
      <c r="A247" s="6" t="s">
        <v>777</v>
      </c>
      <c r="B247" s="6">
        <v>2016</v>
      </c>
      <c r="C247" s="6" t="s">
        <v>465</v>
      </c>
      <c r="D247" s="6" t="s">
        <v>465</v>
      </c>
      <c r="E247" s="43">
        <v>3.86</v>
      </c>
      <c r="F247" s="43">
        <v>4830</v>
      </c>
      <c r="G247" s="43">
        <v>98</v>
      </c>
      <c r="H247" s="20">
        <v>200403</v>
      </c>
      <c r="I247" s="270">
        <v>36407</v>
      </c>
      <c r="J247" s="20">
        <v>5499</v>
      </c>
      <c r="K247" s="20">
        <v>1944</v>
      </c>
      <c r="L247" s="20">
        <v>46491</v>
      </c>
      <c r="M247" s="20">
        <v>1.28</v>
      </c>
      <c r="N247" s="20">
        <v>18.7</v>
      </c>
      <c r="O247" s="20">
        <v>0.15</v>
      </c>
      <c r="P247" s="20">
        <v>3893</v>
      </c>
      <c r="Q247" s="20">
        <v>1.9</v>
      </c>
      <c r="R247" s="21">
        <v>0.3</v>
      </c>
      <c r="S247" s="22">
        <v>0.19</v>
      </c>
      <c r="T247" s="23">
        <v>3</v>
      </c>
      <c r="U247" s="23">
        <v>4</v>
      </c>
      <c r="V247" s="23">
        <v>4</v>
      </c>
      <c r="W247" s="23">
        <v>3</v>
      </c>
      <c r="X247" s="23">
        <v>4</v>
      </c>
      <c r="Y247" s="23">
        <v>2</v>
      </c>
      <c r="Z247" s="23">
        <v>4</v>
      </c>
      <c r="AA247" s="9">
        <v>1</v>
      </c>
      <c r="AB247" s="9">
        <v>2</v>
      </c>
      <c r="AC247" s="9">
        <v>1</v>
      </c>
      <c r="AD247" s="9">
        <v>2</v>
      </c>
      <c r="AE247" s="9">
        <v>2</v>
      </c>
      <c r="AF247" s="23">
        <v>1</v>
      </c>
      <c r="AG247" s="23">
        <v>3</v>
      </c>
      <c r="AH247" s="23">
        <v>4</v>
      </c>
      <c r="AI247" s="23">
        <v>4</v>
      </c>
      <c r="AL247" s="20"/>
    </row>
    <row r="248" spans="1:54" ht="15.75" customHeight="1" x14ac:dyDescent="0.2">
      <c r="A248" s="6" t="s">
        <v>778</v>
      </c>
      <c r="B248" s="6">
        <v>1941</v>
      </c>
      <c r="C248" s="6" t="s">
        <v>439</v>
      </c>
      <c r="D248" s="6" t="s">
        <v>439</v>
      </c>
      <c r="E248" s="43">
        <v>3.93</v>
      </c>
      <c r="F248" s="43">
        <v>10266</v>
      </c>
      <c r="G248" s="43">
        <v>98</v>
      </c>
      <c r="H248" s="20">
        <v>559438</v>
      </c>
      <c r="I248" s="270">
        <v>107056</v>
      </c>
      <c r="J248" s="20">
        <v>7937</v>
      </c>
      <c r="K248" s="20">
        <v>7320</v>
      </c>
      <c r="L248" s="20">
        <v>134301</v>
      </c>
      <c r="M248" s="20">
        <v>1.25</v>
      </c>
      <c r="N248" s="20">
        <v>14.6</v>
      </c>
      <c r="O248" s="20">
        <v>7.0000000000000007E-2</v>
      </c>
      <c r="P248" s="20">
        <v>5541</v>
      </c>
      <c r="Q248" s="20">
        <v>2.0699999999999998</v>
      </c>
      <c r="R248" s="21">
        <v>0.3</v>
      </c>
      <c r="S248" s="22">
        <v>0.17</v>
      </c>
      <c r="T248" s="23">
        <v>3</v>
      </c>
      <c r="U248" s="23">
        <v>4</v>
      </c>
      <c r="V248" s="23">
        <v>4</v>
      </c>
      <c r="W248" s="23">
        <v>3</v>
      </c>
      <c r="X248" s="23">
        <v>4</v>
      </c>
      <c r="Y248" s="23">
        <v>2</v>
      </c>
      <c r="Z248" s="23">
        <v>4</v>
      </c>
      <c r="AA248" s="9">
        <v>1</v>
      </c>
      <c r="AB248" s="9">
        <v>1</v>
      </c>
      <c r="AC248" s="9">
        <v>2</v>
      </c>
      <c r="AD248" s="9">
        <v>3</v>
      </c>
      <c r="AE248" s="9">
        <v>4</v>
      </c>
      <c r="AF248" s="23">
        <v>2</v>
      </c>
      <c r="AG248" s="23">
        <v>3</v>
      </c>
      <c r="AH248" s="23">
        <v>4</v>
      </c>
      <c r="AI248" s="23">
        <v>4</v>
      </c>
      <c r="AL248" s="20"/>
    </row>
    <row r="249" spans="1:54" ht="15.75" customHeight="1" x14ac:dyDescent="0.2">
      <c r="A249" s="6" t="s">
        <v>779</v>
      </c>
      <c r="B249" s="6">
        <v>1874</v>
      </c>
      <c r="C249" s="6" t="s">
        <v>443</v>
      </c>
      <c r="D249" s="6" t="s">
        <v>443</v>
      </c>
      <c r="E249" s="43">
        <v>3.65</v>
      </c>
      <c r="F249" s="43">
        <v>47644</v>
      </c>
      <c r="G249" s="43">
        <v>98</v>
      </c>
      <c r="H249" s="20">
        <v>424163</v>
      </c>
      <c r="I249" s="270">
        <v>77132</v>
      </c>
      <c r="J249" s="20">
        <v>6617</v>
      </c>
      <c r="K249" s="20">
        <v>3133</v>
      </c>
      <c r="L249" s="20">
        <v>94012</v>
      </c>
      <c r="M249" s="20">
        <v>1.22</v>
      </c>
      <c r="N249" s="20">
        <v>24.6</v>
      </c>
      <c r="O249" s="20">
        <v>0.09</v>
      </c>
      <c r="P249" s="20">
        <v>4483</v>
      </c>
      <c r="Q249" s="20">
        <v>2.59</v>
      </c>
      <c r="R249" s="21">
        <v>0.34</v>
      </c>
      <c r="S249" s="22">
        <v>0.23</v>
      </c>
      <c r="T249" s="23">
        <v>2</v>
      </c>
      <c r="U249" s="23">
        <v>3</v>
      </c>
      <c r="V249" s="23">
        <v>3</v>
      </c>
      <c r="W249" s="23">
        <v>1</v>
      </c>
      <c r="X249" s="23">
        <v>4</v>
      </c>
      <c r="Y249" s="23">
        <v>2</v>
      </c>
      <c r="Z249" s="23">
        <v>3</v>
      </c>
      <c r="AA249" s="9">
        <v>2</v>
      </c>
      <c r="AB249" s="9">
        <v>1</v>
      </c>
      <c r="AC249" s="9">
        <v>3</v>
      </c>
      <c r="AD249" s="9">
        <v>4</v>
      </c>
      <c r="AE249" s="9">
        <v>1</v>
      </c>
      <c r="AF249" s="23">
        <v>1</v>
      </c>
      <c r="AG249" s="23">
        <v>1</v>
      </c>
      <c r="AH249" s="23">
        <v>4</v>
      </c>
      <c r="AI249" s="23">
        <v>3</v>
      </c>
      <c r="AL249" s="20"/>
    </row>
    <row r="250" spans="1:54" ht="15.75" customHeight="1" x14ac:dyDescent="0.2">
      <c r="A250" s="6" t="s">
        <v>780</v>
      </c>
      <c r="B250" s="6">
        <v>2014</v>
      </c>
      <c r="C250" s="6" t="s">
        <v>489</v>
      </c>
      <c r="D250" s="6" t="s">
        <v>489</v>
      </c>
      <c r="E250" s="43">
        <v>3.33</v>
      </c>
      <c r="F250" s="43">
        <v>13173</v>
      </c>
      <c r="G250" s="43">
        <v>98</v>
      </c>
      <c r="H250" s="20">
        <v>26624</v>
      </c>
      <c r="I250" s="270">
        <v>5297</v>
      </c>
      <c r="J250" s="20">
        <v>1449</v>
      </c>
      <c r="K250" s="20">
        <v>476</v>
      </c>
      <c r="L250" s="20">
        <v>6709</v>
      </c>
      <c r="M250" s="20">
        <v>1.27</v>
      </c>
      <c r="N250" s="20">
        <v>11.1</v>
      </c>
      <c r="O250" s="20">
        <v>0.27</v>
      </c>
      <c r="P250" s="20">
        <v>1070</v>
      </c>
      <c r="Q250" s="20">
        <v>1.67</v>
      </c>
      <c r="R250" s="21">
        <v>0.25</v>
      </c>
      <c r="S250" s="22">
        <v>0.17</v>
      </c>
      <c r="T250" s="23">
        <v>2</v>
      </c>
      <c r="U250" s="23">
        <v>3</v>
      </c>
      <c r="V250" s="23">
        <v>4</v>
      </c>
      <c r="W250" s="23">
        <v>1</v>
      </c>
      <c r="X250" s="23">
        <v>3</v>
      </c>
      <c r="Y250" s="23">
        <v>2</v>
      </c>
      <c r="Z250" s="23">
        <v>4</v>
      </c>
      <c r="AA250" s="9">
        <v>0</v>
      </c>
      <c r="AB250" s="9">
        <v>3</v>
      </c>
      <c r="AC250" s="9">
        <v>1</v>
      </c>
      <c r="AD250" s="9">
        <v>0</v>
      </c>
      <c r="AE250" s="9">
        <v>4</v>
      </c>
      <c r="AF250" s="23">
        <v>0</v>
      </c>
      <c r="AG250" s="23">
        <v>2</v>
      </c>
      <c r="AH250" s="23">
        <v>0</v>
      </c>
      <c r="AI250" s="23">
        <v>3</v>
      </c>
      <c r="AL250" s="20"/>
    </row>
    <row r="251" spans="1:54" ht="15.75" customHeight="1" x14ac:dyDescent="0.2">
      <c r="A251" s="6" t="s">
        <v>781</v>
      </c>
      <c r="B251" s="6">
        <v>2007</v>
      </c>
      <c r="C251" s="6" t="s">
        <v>502</v>
      </c>
      <c r="D251" s="6" t="s">
        <v>502</v>
      </c>
      <c r="E251" s="43">
        <v>3.34</v>
      </c>
      <c r="F251" s="43">
        <v>276</v>
      </c>
      <c r="G251" s="43">
        <v>97</v>
      </c>
      <c r="H251" s="20">
        <v>354350</v>
      </c>
      <c r="I251" s="270">
        <v>64456</v>
      </c>
      <c r="J251" s="20">
        <v>8368</v>
      </c>
      <c r="K251" s="20">
        <v>3606</v>
      </c>
      <c r="L251" s="20">
        <v>78628</v>
      </c>
      <c r="M251" s="20">
        <v>1.22</v>
      </c>
      <c r="N251" s="20">
        <v>17.899999999999999</v>
      </c>
      <c r="O251" s="20">
        <v>0.13</v>
      </c>
      <c r="P251" s="20">
        <v>6041</v>
      </c>
      <c r="Q251" s="20">
        <v>2.0499999999999998</v>
      </c>
      <c r="R251" s="21">
        <v>0.28000000000000003</v>
      </c>
      <c r="S251" s="22">
        <v>0.13</v>
      </c>
      <c r="T251" s="23">
        <v>2</v>
      </c>
      <c r="U251" s="23">
        <v>3</v>
      </c>
      <c r="V251" s="23">
        <v>4</v>
      </c>
      <c r="W251" s="23">
        <v>2</v>
      </c>
      <c r="X251" s="23">
        <v>4</v>
      </c>
      <c r="Y251" s="23">
        <v>1</v>
      </c>
      <c r="Z251" s="23">
        <v>3</v>
      </c>
      <c r="AA251" s="9">
        <v>0</v>
      </c>
      <c r="AB251" s="9">
        <v>3</v>
      </c>
      <c r="AC251" s="9">
        <v>0</v>
      </c>
      <c r="AD251" s="9">
        <v>1</v>
      </c>
      <c r="AE251" s="9">
        <v>2</v>
      </c>
      <c r="AF251" s="23">
        <v>1</v>
      </c>
      <c r="AG251" s="23">
        <v>2</v>
      </c>
      <c r="AH251" s="23">
        <v>0</v>
      </c>
      <c r="AI251" s="23">
        <v>3</v>
      </c>
      <c r="AL251" s="20"/>
    </row>
    <row r="252" spans="1:54" ht="15.75" customHeight="1" x14ac:dyDescent="0.2">
      <c r="A252" s="34" t="s">
        <v>57</v>
      </c>
      <c r="B252" s="34">
        <v>2012</v>
      </c>
      <c r="C252" s="34" t="s">
        <v>58</v>
      </c>
      <c r="D252" s="6" t="s">
        <v>58</v>
      </c>
      <c r="E252" s="43">
        <v>3.79</v>
      </c>
      <c r="F252" s="43">
        <v>1302</v>
      </c>
      <c r="G252" s="43">
        <v>97</v>
      </c>
      <c r="H252" s="20">
        <v>130558</v>
      </c>
      <c r="I252" s="270">
        <v>25610</v>
      </c>
      <c r="J252" s="20">
        <v>3517</v>
      </c>
      <c r="K252" s="20">
        <v>2031</v>
      </c>
      <c r="L252" s="20">
        <v>31675</v>
      </c>
      <c r="M252" s="20">
        <v>1.24</v>
      </c>
      <c r="N252" s="20">
        <v>12.6</v>
      </c>
      <c r="O252" s="20">
        <v>0.14000000000000001</v>
      </c>
      <c r="P252" s="20">
        <v>2550</v>
      </c>
      <c r="Q252" s="20">
        <v>2.02</v>
      </c>
      <c r="R252" s="21">
        <v>0.27</v>
      </c>
      <c r="S252" s="22">
        <v>0.17</v>
      </c>
      <c r="T252" s="36">
        <v>2</v>
      </c>
      <c r="U252" s="36">
        <v>3</v>
      </c>
      <c r="V252" s="36">
        <v>4</v>
      </c>
      <c r="W252" s="36">
        <v>1</v>
      </c>
      <c r="X252" s="36">
        <v>3</v>
      </c>
      <c r="Y252" s="36">
        <v>2</v>
      </c>
      <c r="Z252" s="36">
        <v>4</v>
      </c>
      <c r="AA252" s="35">
        <v>3</v>
      </c>
      <c r="AB252" s="35">
        <v>1</v>
      </c>
      <c r="AC252" s="35">
        <v>4</v>
      </c>
      <c r="AD252" s="35">
        <v>2</v>
      </c>
      <c r="AE252" s="35">
        <v>1</v>
      </c>
      <c r="AF252" s="36">
        <v>2</v>
      </c>
      <c r="AG252" s="36">
        <v>2</v>
      </c>
      <c r="AH252" s="36">
        <v>4</v>
      </c>
      <c r="AI252" s="36">
        <v>3</v>
      </c>
      <c r="AJ252" s="34"/>
      <c r="AK252" s="34"/>
      <c r="AL252" s="281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</row>
    <row r="253" spans="1:54" ht="15.75" customHeight="1" x14ac:dyDescent="0.2">
      <c r="A253" s="6" t="s">
        <v>782</v>
      </c>
      <c r="B253" s="6">
        <v>1974</v>
      </c>
      <c r="C253" s="6" t="s">
        <v>411</v>
      </c>
      <c r="D253" s="6" t="s">
        <v>411</v>
      </c>
      <c r="E253" s="43">
        <v>4</v>
      </c>
      <c r="F253" s="43">
        <v>1694</v>
      </c>
      <c r="G253" s="43">
        <v>97</v>
      </c>
      <c r="H253" s="20">
        <v>434816</v>
      </c>
      <c r="I253" s="270">
        <v>81357</v>
      </c>
      <c r="J253" s="20">
        <v>7015</v>
      </c>
      <c r="K253" s="20">
        <v>8294</v>
      </c>
      <c r="L253" s="20">
        <v>104334</v>
      </c>
      <c r="M253" s="20">
        <v>1.28</v>
      </c>
      <c r="N253" s="20">
        <v>9.8000000000000007</v>
      </c>
      <c r="O253" s="20">
        <v>0.09</v>
      </c>
      <c r="P253" s="20">
        <v>4841</v>
      </c>
      <c r="Q253" s="20">
        <v>1.5</v>
      </c>
      <c r="R253" s="21">
        <v>0.27</v>
      </c>
      <c r="S253" s="22">
        <v>0.14000000000000001</v>
      </c>
      <c r="T253" s="23">
        <v>2</v>
      </c>
      <c r="U253" s="23">
        <v>3</v>
      </c>
      <c r="V253" s="23">
        <v>4</v>
      </c>
      <c r="W253" s="23">
        <v>2</v>
      </c>
      <c r="X253" s="23">
        <v>4</v>
      </c>
      <c r="Y253" s="23">
        <v>3</v>
      </c>
      <c r="Z253" s="23">
        <v>3</v>
      </c>
      <c r="AA253" s="9">
        <v>0</v>
      </c>
      <c r="AB253" s="9">
        <v>2</v>
      </c>
      <c r="AC253" s="9">
        <v>2</v>
      </c>
      <c r="AD253" s="9">
        <v>0</v>
      </c>
      <c r="AE253" s="9">
        <v>3</v>
      </c>
      <c r="AF253" s="23">
        <v>0</v>
      </c>
      <c r="AG253" s="23">
        <v>2</v>
      </c>
      <c r="AH253" s="23">
        <v>1</v>
      </c>
      <c r="AI253" s="23">
        <v>3</v>
      </c>
      <c r="AL253" s="20"/>
    </row>
    <row r="254" spans="1:54" ht="15.75" customHeight="1" x14ac:dyDescent="0.2">
      <c r="A254" s="6" t="s">
        <v>783</v>
      </c>
      <c r="B254" s="6">
        <v>1922</v>
      </c>
      <c r="C254" s="6" t="s">
        <v>365</v>
      </c>
      <c r="D254" s="6" t="s">
        <v>365</v>
      </c>
      <c r="E254" s="43">
        <v>3.69</v>
      </c>
      <c r="F254" s="43">
        <v>1102</v>
      </c>
      <c r="G254" s="43">
        <v>97</v>
      </c>
      <c r="H254" s="20">
        <v>50825</v>
      </c>
      <c r="I254" s="270">
        <v>9631</v>
      </c>
      <c r="J254" s="20">
        <v>1908</v>
      </c>
      <c r="K254" s="20">
        <v>718</v>
      </c>
      <c r="L254" s="20">
        <v>11613</v>
      </c>
      <c r="M254" s="20">
        <v>1.21</v>
      </c>
      <c r="N254" s="20">
        <v>13.4</v>
      </c>
      <c r="O254" s="20">
        <v>0.2</v>
      </c>
      <c r="P254" s="20">
        <v>1425</v>
      </c>
      <c r="Q254" s="20">
        <v>1.82</v>
      </c>
      <c r="R254" s="21">
        <v>0.26</v>
      </c>
      <c r="S254" s="22">
        <v>0.16</v>
      </c>
      <c r="T254" s="23">
        <v>2</v>
      </c>
      <c r="U254" s="23">
        <v>3</v>
      </c>
      <c r="V254" s="23">
        <v>3</v>
      </c>
      <c r="W254" s="23">
        <v>1</v>
      </c>
      <c r="X254" s="23">
        <v>3</v>
      </c>
      <c r="Y254" s="23">
        <v>4</v>
      </c>
      <c r="Z254" s="23">
        <v>2</v>
      </c>
      <c r="AA254" s="9">
        <v>0</v>
      </c>
      <c r="AB254" s="9">
        <v>4</v>
      </c>
      <c r="AC254" s="9">
        <v>1</v>
      </c>
      <c r="AD254" s="9">
        <v>0</v>
      </c>
      <c r="AE254" s="9">
        <v>1</v>
      </c>
      <c r="AF254" s="23">
        <v>1</v>
      </c>
      <c r="AG254" s="23">
        <v>2</v>
      </c>
      <c r="AH254" s="23">
        <v>2</v>
      </c>
      <c r="AI254" s="23">
        <v>3</v>
      </c>
      <c r="AL254" s="20"/>
    </row>
    <row r="255" spans="1:54" ht="15.75" customHeight="1" x14ac:dyDescent="0.2">
      <c r="A255" s="6" t="s">
        <v>784</v>
      </c>
      <c r="B255" s="6">
        <v>1971</v>
      </c>
      <c r="C255" s="6" t="s">
        <v>534</v>
      </c>
      <c r="D255" s="6" t="s">
        <v>534</v>
      </c>
      <c r="E255" s="43">
        <v>4.12</v>
      </c>
      <c r="F255" s="43">
        <v>78803</v>
      </c>
      <c r="G255" s="43">
        <v>97</v>
      </c>
      <c r="H255" s="20">
        <v>329352</v>
      </c>
      <c r="I255" s="270">
        <v>61112</v>
      </c>
      <c r="J255" s="20">
        <v>6940</v>
      </c>
      <c r="K255" s="20">
        <v>4855</v>
      </c>
      <c r="L255" s="20">
        <v>77025</v>
      </c>
      <c r="M255" s="20">
        <v>1.26</v>
      </c>
      <c r="N255" s="20">
        <v>12.6</v>
      </c>
      <c r="O255" s="20">
        <v>0.11</v>
      </c>
      <c r="P255" s="20">
        <v>4937</v>
      </c>
      <c r="Q255" s="20">
        <v>1.8</v>
      </c>
      <c r="R255" s="21">
        <v>0.27</v>
      </c>
      <c r="S255" s="22">
        <v>0.12</v>
      </c>
      <c r="T255" s="23">
        <v>2</v>
      </c>
      <c r="U255" s="23">
        <v>3</v>
      </c>
      <c r="V255" s="23">
        <v>4</v>
      </c>
      <c r="W255" s="23">
        <v>2</v>
      </c>
      <c r="X255" s="23">
        <v>4</v>
      </c>
      <c r="Y255" s="23">
        <v>1</v>
      </c>
      <c r="Z255" s="23">
        <v>3</v>
      </c>
      <c r="AA255" s="9">
        <v>1</v>
      </c>
      <c r="AB255" s="9">
        <v>2</v>
      </c>
      <c r="AC255" s="9">
        <v>2</v>
      </c>
      <c r="AD255" s="9">
        <v>3</v>
      </c>
      <c r="AE255" s="9">
        <v>3</v>
      </c>
      <c r="AF255" s="23">
        <v>1</v>
      </c>
      <c r="AG255" s="23">
        <v>3</v>
      </c>
      <c r="AH255" s="23">
        <v>2</v>
      </c>
      <c r="AI255" s="23">
        <v>4</v>
      </c>
      <c r="AL255" s="20"/>
    </row>
    <row r="256" spans="1:54" ht="15.75" customHeight="1" x14ac:dyDescent="0.2">
      <c r="A256" s="6" t="s">
        <v>785</v>
      </c>
      <c r="B256" s="6">
        <v>1973</v>
      </c>
      <c r="C256" s="6" t="s">
        <v>388</v>
      </c>
      <c r="D256" s="6" t="s">
        <v>388</v>
      </c>
      <c r="E256" s="43">
        <v>3.5</v>
      </c>
      <c r="F256" s="43">
        <v>30</v>
      </c>
      <c r="G256" s="43">
        <v>96</v>
      </c>
      <c r="H256" s="20">
        <v>309624</v>
      </c>
      <c r="I256" s="270">
        <v>58067</v>
      </c>
      <c r="J256" s="20">
        <v>7165</v>
      </c>
      <c r="K256" s="20">
        <v>3026</v>
      </c>
      <c r="L256" s="20">
        <v>71462</v>
      </c>
      <c r="M256" s="20">
        <v>1.23</v>
      </c>
      <c r="N256" s="20">
        <v>19.2</v>
      </c>
      <c r="O256" s="20">
        <v>0.12</v>
      </c>
      <c r="P256" s="20">
        <v>5027</v>
      </c>
      <c r="Q256" s="20">
        <v>2.31</v>
      </c>
      <c r="R256" s="21">
        <v>0.31</v>
      </c>
      <c r="S256" s="22">
        <v>0.17</v>
      </c>
      <c r="T256" s="23">
        <v>3</v>
      </c>
      <c r="U256" s="23">
        <v>4</v>
      </c>
      <c r="V256" s="23">
        <v>4</v>
      </c>
      <c r="W256" s="23">
        <v>2</v>
      </c>
      <c r="X256" s="23">
        <v>3</v>
      </c>
      <c r="Y256" s="23">
        <v>1</v>
      </c>
      <c r="Z256" s="23">
        <v>3</v>
      </c>
      <c r="AA256" s="9">
        <v>0</v>
      </c>
      <c r="AB256" s="9">
        <v>1</v>
      </c>
      <c r="AC256" s="9">
        <v>0</v>
      </c>
      <c r="AD256" s="9">
        <v>2</v>
      </c>
      <c r="AE256" s="9">
        <v>4</v>
      </c>
      <c r="AF256" s="23">
        <v>0</v>
      </c>
      <c r="AG256" s="23">
        <v>2</v>
      </c>
      <c r="AH256" s="23">
        <v>3</v>
      </c>
      <c r="AI256" s="23">
        <v>3</v>
      </c>
      <c r="AL256" s="20"/>
    </row>
    <row r="257" spans="1:54" ht="15.75" customHeight="1" x14ac:dyDescent="0.2">
      <c r="A257" s="6" t="s">
        <v>786</v>
      </c>
      <c r="B257" s="6">
        <v>2011</v>
      </c>
      <c r="C257" s="6" t="s">
        <v>386</v>
      </c>
      <c r="D257" s="6" t="s">
        <v>386</v>
      </c>
      <c r="E257" s="43">
        <v>3.87</v>
      </c>
      <c r="F257" s="43">
        <v>353</v>
      </c>
      <c r="G257" s="43">
        <v>96</v>
      </c>
      <c r="H257" s="20">
        <v>109236</v>
      </c>
      <c r="I257" s="270">
        <v>20392</v>
      </c>
      <c r="J257" s="20">
        <v>3775</v>
      </c>
      <c r="K257" s="20">
        <v>1576</v>
      </c>
      <c r="L257" s="20">
        <v>25772</v>
      </c>
      <c r="M257" s="20">
        <v>1.26</v>
      </c>
      <c r="N257" s="20">
        <v>12.9</v>
      </c>
      <c r="O257" s="20">
        <v>0.19</v>
      </c>
      <c r="P257" s="20">
        <v>2817</v>
      </c>
      <c r="Q257" s="20">
        <v>1.81</v>
      </c>
      <c r="R257" s="21">
        <v>0.25</v>
      </c>
      <c r="S257" s="22">
        <v>0.13</v>
      </c>
      <c r="T257" s="23">
        <v>3</v>
      </c>
      <c r="U257" s="23">
        <v>4</v>
      </c>
      <c r="V257" s="23">
        <v>4</v>
      </c>
      <c r="W257" s="23">
        <v>3</v>
      </c>
      <c r="X257" s="23">
        <v>4</v>
      </c>
      <c r="Y257" s="23">
        <v>2</v>
      </c>
      <c r="Z257" s="23">
        <v>3</v>
      </c>
      <c r="AA257" s="9">
        <v>1</v>
      </c>
      <c r="AB257" s="9">
        <v>3</v>
      </c>
      <c r="AC257" s="9">
        <v>0</v>
      </c>
      <c r="AD257" s="9">
        <v>2</v>
      </c>
      <c r="AE257" s="9">
        <v>2</v>
      </c>
      <c r="AF257" s="23">
        <v>1</v>
      </c>
      <c r="AG257" s="23">
        <v>3</v>
      </c>
      <c r="AH257" s="23">
        <v>2</v>
      </c>
      <c r="AI257" s="23">
        <v>4</v>
      </c>
      <c r="AL257" s="20"/>
    </row>
    <row r="258" spans="1:54" ht="15.75" customHeight="1" x14ac:dyDescent="0.2">
      <c r="A258" s="6" t="s">
        <v>787</v>
      </c>
      <c r="B258" s="6">
        <v>1898</v>
      </c>
      <c r="C258" s="6" t="s">
        <v>42</v>
      </c>
      <c r="D258" s="6" t="s">
        <v>42</v>
      </c>
      <c r="E258" s="43">
        <v>3.13</v>
      </c>
      <c r="F258" s="43">
        <v>984</v>
      </c>
      <c r="G258" s="43">
        <v>96</v>
      </c>
      <c r="H258" s="20">
        <v>190822</v>
      </c>
      <c r="I258" s="270">
        <v>35566</v>
      </c>
      <c r="J258" s="20">
        <v>4217</v>
      </c>
      <c r="K258" s="20">
        <v>1967</v>
      </c>
      <c r="L258" s="20">
        <v>43718</v>
      </c>
      <c r="M258" s="20">
        <v>1.23</v>
      </c>
      <c r="N258" s="20">
        <v>18.100000000000001</v>
      </c>
      <c r="O258" s="20">
        <v>0.12</v>
      </c>
      <c r="P258" s="20">
        <v>3126</v>
      </c>
      <c r="Q258" s="20">
        <v>2.23</v>
      </c>
      <c r="R258" s="21">
        <v>0.31</v>
      </c>
      <c r="S258" s="22">
        <v>0.28000000000000003</v>
      </c>
      <c r="T258" s="23">
        <v>2</v>
      </c>
      <c r="U258" s="23">
        <v>3</v>
      </c>
      <c r="V258" s="23">
        <v>4</v>
      </c>
      <c r="W258" s="23">
        <v>1</v>
      </c>
      <c r="X258" s="23">
        <v>4</v>
      </c>
      <c r="Y258" s="23">
        <v>2</v>
      </c>
      <c r="Z258" s="23">
        <v>3</v>
      </c>
      <c r="AA258" s="9">
        <v>1</v>
      </c>
      <c r="AB258" s="9">
        <v>2</v>
      </c>
      <c r="AC258" s="9">
        <v>3</v>
      </c>
      <c r="AD258" s="9">
        <v>2</v>
      </c>
      <c r="AE258" s="9">
        <v>1</v>
      </c>
      <c r="AF258" s="23">
        <v>0</v>
      </c>
      <c r="AG258" s="23">
        <v>2</v>
      </c>
      <c r="AH258" s="23">
        <v>4</v>
      </c>
      <c r="AI258" s="23">
        <v>3</v>
      </c>
      <c r="AL258" s="20"/>
    </row>
    <row r="259" spans="1:54" ht="15.75" customHeight="1" x14ac:dyDescent="0.2">
      <c r="A259" s="6" t="s">
        <v>788</v>
      </c>
      <c r="B259" s="6">
        <v>1949</v>
      </c>
      <c r="C259" s="6" t="s">
        <v>414</v>
      </c>
      <c r="D259" s="6" t="s">
        <v>414</v>
      </c>
      <c r="E259" s="43">
        <v>3.73</v>
      </c>
      <c r="F259" s="43">
        <v>3282</v>
      </c>
      <c r="G259" s="43">
        <v>96</v>
      </c>
      <c r="H259" s="20">
        <v>219922</v>
      </c>
      <c r="I259" s="270">
        <v>41959</v>
      </c>
      <c r="J259" s="20">
        <v>4588</v>
      </c>
      <c r="K259" s="20">
        <v>2926</v>
      </c>
      <c r="L259" s="20">
        <v>51850</v>
      </c>
      <c r="M259" s="20">
        <v>1.24</v>
      </c>
      <c r="N259" s="20">
        <v>14.3</v>
      </c>
      <c r="O259" s="20">
        <v>0.11</v>
      </c>
      <c r="P259" s="20">
        <v>3248</v>
      </c>
      <c r="Q259" s="20">
        <v>2</v>
      </c>
      <c r="R259" s="21">
        <v>0.27</v>
      </c>
      <c r="S259" s="22">
        <v>0.2</v>
      </c>
      <c r="T259" s="23">
        <v>2</v>
      </c>
      <c r="U259" s="23">
        <v>3</v>
      </c>
      <c r="V259" s="23">
        <v>3</v>
      </c>
      <c r="W259" s="23">
        <v>1</v>
      </c>
      <c r="X259" s="23">
        <v>3</v>
      </c>
      <c r="Y259" s="23">
        <v>4</v>
      </c>
      <c r="Z259" s="23">
        <v>2</v>
      </c>
      <c r="AA259" s="9">
        <v>0</v>
      </c>
      <c r="AB259" s="9">
        <v>2</v>
      </c>
      <c r="AC259" s="9">
        <v>1</v>
      </c>
      <c r="AD259" s="9">
        <v>0</v>
      </c>
      <c r="AE259" s="9">
        <v>3</v>
      </c>
      <c r="AF259" s="23">
        <v>1</v>
      </c>
      <c r="AG259" s="23">
        <v>1</v>
      </c>
      <c r="AH259" s="23">
        <v>0</v>
      </c>
      <c r="AI259" s="23">
        <v>2</v>
      </c>
      <c r="AL259" s="20"/>
    </row>
    <row r="260" spans="1:54" ht="15.75" customHeight="1" x14ac:dyDescent="0.2">
      <c r="A260" s="6" t="s">
        <v>789</v>
      </c>
      <c r="B260" s="6">
        <v>1960</v>
      </c>
      <c r="C260" s="6" t="s">
        <v>403</v>
      </c>
      <c r="D260" s="6" t="s">
        <v>403</v>
      </c>
      <c r="E260" s="43">
        <v>3.51</v>
      </c>
      <c r="F260" s="43">
        <v>533</v>
      </c>
      <c r="G260" s="43">
        <v>96</v>
      </c>
      <c r="H260" s="20">
        <v>124365</v>
      </c>
      <c r="I260" s="270">
        <v>22613</v>
      </c>
      <c r="J260" s="20">
        <v>3745</v>
      </c>
      <c r="K260" s="20">
        <v>1733</v>
      </c>
      <c r="L260" s="20">
        <v>28177</v>
      </c>
      <c r="M260" s="20">
        <v>1.25</v>
      </c>
      <c r="N260" s="20">
        <v>13</v>
      </c>
      <c r="O260" s="20">
        <v>0.17</v>
      </c>
      <c r="P260" s="20">
        <v>2720</v>
      </c>
      <c r="Q260" s="20">
        <v>1.85</v>
      </c>
      <c r="R260" s="21">
        <v>0.26</v>
      </c>
      <c r="S260" s="22">
        <v>0.18</v>
      </c>
      <c r="T260" s="23">
        <v>2</v>
      </c>
      <c r="U260" s="23">
        <v>3</v>
      </c>
      <c r="V260" s="23">
        <v>4</v>
      </c>
      <c r="W260" s="23">
        <v>1</v>
      </c>
      <c r="X260" s="23">
        <v>3</v>
      </c>
      <c r="Y260" s="23">
        <v>2</v>
      </c>
      <c r="Z260" s="23">
        <v>3</v>
      </c>
      <c r="AA260" s="9">
        <v>2</v>
      </c>
      <c r="AB260" s="9">
        <v>1</v>
      </c>
      <c r="AC260" s="9">
        <v>4</v>
      </c>
      <c r="AD260" s="9">
        <v>1</v>
      </c>
      <c r="AE260" s="9">
        <v>1</v>
      </c>
      <c r="AF260" s="23">
        <v>2</v>
      </c>
      <c r="AG260" s="23">
        <v>2</v>
      </c>
      <c r="AH260" s="23">
        <v>4</v>
      </c>
      <c r="AI260" s="23">
        <v>3</v>
      </c>
      <c r="AL260" s="20"/>
    </row>
    <row r="261" spans="1:54" ht="15.75" customHeight="1" x14ac:dyDescent="0.2">
      <c r="A261" s="6" t="s">
        <v>790</v>
      </c>
      <c r="B261" s="6">
        <v>1987</v>
      </c>
      <c r="C261" s="6" t="s">
        <v>463</v>
      </c>
      <c r="D261" s="6" t="s">
        <v>463</v>
      </c>
      <c r="E261" s="43">
        <v>3.79</v>
      </c>
      <c r="F261" s="43">
        <v>31349</v>
      </c>
      <c r="G261" s="43">
        <v>95</v>
      </c>
      <c r="H261" s="20">
        <v>184745</v>
      </c>
      <c r="I261" s="270">
        <v>39124</v>
      </c>
      <c r="J261" s="20">
        <v>3042</v>
      </c>
      <c r="K261" s="20">
        <v>2712</v>
      </c>
      <c r="L261" s="20">
        <v>42859</v>
      </c>
      <c r="M261" s="20">
        <v>1.1000000000000001</v>
      </c>
      <c r="N261" s="20">
        <v>14.4</v>
      </c>
      <c r="O261" s="20">
        <v>0.08</v>
      </c>
      <c r="P261" s="20">
        <v>2040</v>
      </c>
      <c r="Q261" s="20">
        <v>2.0099999999999998</v>
      </c>
      <c r="R261" s="21">
        <v>0.27</v>
      </c>
      <c r="S261" s="22">
        <v>0.15</v>
      </c>
      <c r="T261" s="23">
        <v>3</v>
      </c>
      <c r="U261" s="23">
        <v>4</v>
      </c>
      <c r="V261" s="23">
        <v>4</v>
      </c>
      <c r="W261" s="23">
        <v>3</v>
      </c>
      <c r="X261" s="23">
        <v>4</v>
      </c>
      <c r="Y261" s="23">
        <v>2</v>
      </c>
      <c r="Z261" s="23">
        <v>4</v>
      </c>
      <c r="AA261" s="9">
        <v>1</v>
      </c>
      <c r="AB261" s="9">
        <v>0</v>
      </c>
      <c r="AC261" s="9">
        <v>0</v>
      </c>
      <c r="AD261" s="9">
        <v>2</v>
      </c>
      <c r="AE261" s="9">
        <v>3</v>
      </c>
      <c r="AF261" s="23">
        <v>1</v>
      </c>
      <c r="AG261" s="23">
        <v>3</v>
      </c>
      <c r="AH261" s="23">
        <v>4</v>
      </c>
      <c r="AI261" s="23">
        <v>4</v>
      </c>
      <c r="AL261" s="20"/>
    </row>
    <row r="262" spans="1:54" ht="15.75" customHeight="1" x14ac:dyDescent="0.2">
      <c r="A262" s="6" t="s">
        <v>791</v>
      </c>
      <c r="B262" s="6">
        <v>1968</v>
      </c>
      <c r="C262" s="6" t="s">
        <v>364</v>
      </c>
      <c r="D262" s="6" t="s">
        <v>364</v>
      </c>
      <c r="E262" s="43">
        <v>4.17</v>
      </c>
      <c r="F262" s="43">
        <v>321964</v>
      </c>
      <c r="G262" s="43">
        <v>95</v>
      </c>
      <c r="H262" s="20">
        <v>358618</v>
      </c>
      <c r="I262" s="270">
        <v>63096</v>
      </c>
      <c r="J262" s="20">
        <v>7392</v>
      </c>
      <c r="K262" s="20">
        <v>3214</v>
      </c>
      <c r="L262" s="20">
        <v>76124</v>
      </c>
      <c r="M262" s="20">
        <v>1.21</v>
      </c>
      <c r="N262" s="20">
        <v>19.600000000000001</v>
      </c>
      <c r="O262" s="20">
        <v>0.12</v>
      </c>
      <c r="P262" s="20">
        <v>5206</v>
      </c>
      <c r="Q262" s="20">
        <v>2.08</v>
      </c>
      <c r="R262" s="21">
        <v>0.31</v>
      </c>
      <c r="S262" s="22">
        <v>0.18</v>
      </c>
      <c r="T262" s="23">
        <v>2</v>
      </c>
      <c r="U262" s="23">
        <v>3</v>
      </c>
      <c r="V262" s="23">
        <v>4</v>
      </c>
      <c r="W262" s="23">
        <v>3</v>
      </c>
      <c r="X262" s="23">
        <v>4</v>
      </c>
      <c r="Y262" s="23">
        <v>1</v>
      </c>
      <c r="Z262" s="23">
        <v>3</v>
      </c>
      <c r="AA262" s="9">
        <v>0</v>
      </c>
      <c r="AB262" s="9">
        <v>2</v>
      </c>
      <c r="AC262" s="9">
        <v>0</v>
      </c>
      <c r="AD262" s="9">
        <v>1</v>
      </c>
      <c r="AE262" s="9">
        <v>2</v>
      </c>
      <c r="AF262" s="23">
        <v>1</v>
      </c>
      <c r="AG262" s="23">
        <v>3</v>
      </c>
      <c r="AH262" s="23">
        <v>1</v>
      </c>
      <c r="AI262" s="23">
        <v>4</v>
      </c>
      <c r="AL262" s="20"/>
    </row>
    <row r="263" spans="1:54" ht="15.75" customHeight="1" x14ac:dyDescent="0.2">
      <c r="A263" s="6" t="s">
        <v>792</v>
      </c>
      <c r="B263" s="6">
        <v>2017</v>
      </c>
      <c r="C263" s="6" t="s">
        <v>404</v>
      </c>
      <c r="D263" s="6" t="s">
        <v>404</v>
      </c>
      <c r="E263" s="43">
        <v>4.07</v>
      </c>
      <c r="F263" s="43">
        <v>137718</v>
      </c>
      <c r="G263" s="43">
        <v>95</v>
      </c>
      <c r="H263" s="20">
        <v>476257</v>
      </c>
      <c r="I263" s="270">
        <v>85063</v>
      </c>
      <c r="J263" s="20">
        <v>7094</v>
      </c>
      <c r="K263" s="20">
        <v>4706</v>
      </c>
      <c r="L263" s="20">
        <v>112229</v>
      </c>
      <c r="M263" s="20">
        <v>1.32</v>
      </c>
      <c r="N263" s="20">
        <v>18.100000000000001</v>
      </c>
      <c r="O263" s="20">
        <v>0.08</v>
      </c>
      <c r="P263" s="20">
        <v>5205</v>
      </c>
      <c r="Q263" s="20">
        <v>2.17</v>
      </c>
      <c r="R263" s="21">
        <v>0.31</v>
      </c>
      <c r="S263" s="22">
        <v>0.2</v>
      </c>
      <c r="T263" s="23">
        <v>3</v>
      </c>
      <c r="U263" s="23">
        <v>4</v>
      </c>
      <c r="V263" s="23">
        <v>4</v>
      </c>
      <c r="W263" s="23">
        <v>3</v>
      </c>
      <c r="X263" s="23">
        <v>3</v>
      </c>
      <c r="Y263" s="23">
        <v>2</v>
      </c>
      <c r="Z263" s="23">
        <v>3</v>
      </c>
      <c r="AA263" s="9">
        <v>2</v>
      </c>
      <c r="AB263" s="9">
        <v>3</v>
      </c>
      <c r="AC263" s="9">
        <v>4</v>
      </c>
      <c r="AD263" s="9">
        <v>1</v>
      </c>
      <c r="AE263" s="9">
        <v>1</v>
      </c>
      <c r="AF263" s="23">
        <v>2</v>
      </c>
      <c r="AG263" s="23">
        <v>3</v>
      </c>
      <c r="AH263" s="23">
        <v>3</v>
      </c>
      <c r="AI263" s="23">
        <v>4</v>
      </c>
      <c r="AL263" s="20"/>
    </row>
    <row r="264" spans="1:54" ht="15.75" customHeight="1" x14ac:dyDescent="0.2">
      <c r="A264" s="6" t="s">
        <v>793</v>
      </c>
      <c r="B264" s="6">
        <v>1961</v>
      </c>
      <c r="C264" s="6" t="s">
        <v>379</v>
      </c>
      <c r="D264" s="6" t="s">
        <v>379</v>
      </c>
      <c r="E264" s="43">
        <v>4.17</v>
      </c>
      <c r="F264" s="43">
        <v>12</v>
      </c>
      <c r="G264" s="43">
        <v>94</v>
      </c>
      <c r="H264" s="20">
        <v>189298</v>
      </c>
      <c r="I264" s="270">
        <v>33719</v>
      </c>
      <c r="J264" s="20">
        <v>6708</v>
      </c>
      <c r="K264" s="20">
        <v>1760</v>
      </c>
      <c r="L264" s="20">
        <v>43252</v>
      </c>
      <c r="M264" s="20">
        <v>1.28</v>
      </c>
      <c r="N264" s="20">
        <v>19.2</v>
      </c>
      <c r="O264" s="20">
        <v>0.2</v>
      </c>
      <c r="P264" s="20">
        <v>4737</v>
      </c>
      <c r="Q264" s="20">
        <v>2.37</v>
      </c>
      <c r="R264" s="21">
        <v>0.31</v>
      </c>
      <c r="S264" s="22">
        <v>0.17</v>
      </c>
      <c r="T264" s="23">
        <v>3</v>
      </c>
      <c r="U264" s="23">
        <v>4</v>
      </c>
      <c r="V264" s="23">
        <v>4</v>
      </c>
      <c r="W264" s="23">
        <v>3</v>
      </c>
      <c r="X264" s="23">
        <v>4</v>
      </c>
      <c r="Y264" s="23">
        <v>2</v>
      </c>
      <c r="Z264" s="23">
        <v>4</v>
      </c>
      <c r="AA264" s="9">
        <v>1</v>
      </c>
      <c r="AB264" s="9">
        <v>3</v>
      </c>
      <c r="AC264" s="9">
        <v>2</v>
      </c>
      <c r="AD264" s="9">
        <v>3</v>
      </c>
      <c r="AE264" s="9">
        <v>4</v>
      </c>
      <c r="AF264" s="23">
        <v>1</v>
      </c>
      <c r="AG264" s="23">
        <v>3</v>
      </c>
      <c r="AH264" s="23">
        <v>1</v>
      </c>
      <c r="AI264" s="23">
        <v>4</v>
      </c>
      <c r="AL264" s="20"/>
    </row>
    <row r="265" spans="1:54" ht="15.75" customHeight="1" x14ac:dyDescent="0.2">
      <c r="A265" s="6" t="s">
        <v>794</v>
      </c>
      <c r="B265" s="6">
        <v>2005</v>
      </c>
      <c r="C265" s="6" t="s">
        <v>475</v>
      </c>
      <c r="D265" s="6" t="s">
        <v>475</v>
      </c>
      <c r="E265" s="43">
        <v>3.87</v>
      </c>
      <c r="F265" s="43">
        <v>11306</v>
      </c>
      <c r="G265" s="43">
        <v>94</v>
      </c>
      <c r="H265" s="20">
        <v>126807</v>
      </c>
      <c r="I265" s="270">
        <v>22557</v>
      </c>
      <c r="J265" s="20">
        <v>3677</v>
      </c>
      <c r="K265" s="20">
        <v>1790</v>
      </c>
      <c r="L265" s="20">
        <v>29290</v>
      </c>
      <c r="M265" s="20">
        <v>1.3</v>
      </c>
      <c r="N265" s="20">
        <v>12.6</v>
      </c>
      <c r="O265" s="20">
        <v>0.16</v>
      </c>
      <c r="P265" s="20">
        <v>2475</v>
      </c>
      <c r="Q265" s="20">
        <v>1.69</v>
      </c>
      <c r="R265" s="21">
        <v>0.3</v>
      </c>
      <c r="S265" s="22">
        <v>0.18</v>
      </c>
      <c r="T265" s="23">
        <v>3</v>
      </c>
      <c r="U265" s="23">
        <v>4</v>
      </c>
      <c r="V265" s="23">
        <v>4</v>
      </c>
      <c r="W265" s="23">
        <v>3</v>
      </c>
      <c r="X265" s="23">
        <v>3</v>
      </c>
      <c r="Y265" s="23">
        <v>2</v>
      </c>
      <c r="Z265" s="23">
        <v>2</v>
      </c>
      <c r="AA265" s="9">
        <v>0</v>
      </c>
      <c r="AB265" s="9">
        <v>1</v>
      </c>
      <c r="AC265" s="9">
        <v>0</v>
      </c>
      <c r="AD265" s="9">
        <v>2</v>
      </c>
      <c r="AE265" s="9">
        <v>1</v>
      </c>
      <c r="AF265" s="23">
        <v>2</v>
      </c>
      <c r="AG265" s="23">
        <v>3</v>
      </c>
      <c r="AH265" s="23">
        <v>0</v>
      </c>
      <c r="AI265" s="23">
        <v>4</v>
      </c>
      <c r="AL265" s="20"/>
    </row>
    <row r="266" spans="1:54" ht="15.75" customHeight="1" x14ac:dyDescent="0.2">
      <c r="A266" s="6" t="s">
        <v>795</v>
      </c>
      <c r="B266" s="6">
        <v>1976</v>
      </c>
      <c r="C266" s="6" t="s">
        <v>468</v>
      </c>
      <c r="D266" s="6" t="s">
        <v>468</v>
      </c>
      <c r="E266" s="43">
        <v>3.61</v>
      </c>
      <c r="F266" s="43">
        <v>265</v>
      </c>
      <c r="G266" s="43">
        <v>94</v>
      </c>
      <c r="H266" s="20">
        <v>213016</v>
      </c>
      <c r="I266" s="270">
        <v>39917</v>
      </c>
      <c r="J266" s="20">
        <v>5270</v>
      </c>
      <c r="K266" s="20">
        <v>3445</v>
      </c>
      <c r="L266" s="20">
        <v>52272</v>
      </c>
      <c r="M266" s="20">
        <v>1.31</v>
      </c>
      <c r="N266" s="20">
        <v>11.6</v>
      </c>
      <c r="O266" s="20">
        <v>0.13</v>
      </c>
      <c r="P266" s="20">
        <v>3754</v>
      </c>
      <c r="Q266" s="20">
        <v>1.81</v>
      </c>
      <c r="R266" s="21">
        <v>0.26</v>
      </c>
      <c r="S266" s="22">
        <v>0.18</v>
      </c>
      <c r="T266" s="23">
        <v>2</v>
      </c>
      <c r="U266" s="23">
        <v>3</v>
      </c>
      <c r="V266" s="23">
        <v>4</v>
      </c>
      <c r="W266" s="23">
        <v>1</v>
      </c>
      <c r="X266" s="23">
        <v>4</v>
      </c>
      <c r="Y266" s="23">
        <v>2</v>
      </c>
      <c r="Z266" s="23">
        <v>3</v>
      </c>
      <c r="AA266" s="9">
        <v>1</v>
      </c>
      <c r="AB266" s="9">
        <v>0</v>
      </c>
      <c r="AC266" s="9">
        <v>2</v>
      </c>
      <c r="AD266" s="9">
        <v>3</v>
      </c>
      <c r="AE266" s="9">
        <v>2</v>
      </c>
      <c r="AF266" s="23">
        <v>0</v>
      </c>
      <c r="AG266" s="23">
        <v>1</v>
      </c>
      <c r="AH266" s="23">
        <v>4</v>
      </c>
      <c r="AI266" s="23">
        <v>4</v>
      </c>
      <c r="AL266" s="20"/>
    </row>
    <row r="267" spans="1:54" ht="15.75" customHeight="1" x14ac:dyDescent="0.2">
      <c r="A267" s="6" t="s">
        <v>796</v>
      </c>
      <c r="B267" s="6">
        <v>2005</v>
      </c>
      <c r="C267" s="6" t="s">
        <v>440</v>
      </c>
      <c r="D267" s="6" t="s">
        <v>440</v>
      </c>
      <c r="E267" s="43">
        <v>3.41</v>
      </c>
      <c r="F267" s="43">
        <v>300</v>
      </c>
      <c r="G267" s="43">
        <v>94</v>
      </c>
      <c r="H267" s="20">
        <v>215774</v>
      </c>
      <c r="I267" s="270">
        <v>40233</v>
      </c>
      <c r="J267" s="20">
        <v>4924</v>
      </c>
      <c r="K267" s="20">
        <v>3533</v>
      </c>
      <c r="L267" s="20">
        <v>50629</v>
      </c>
      <c r="M267" s="20">
        <v>1.26</v>
      </c>
      <c r="N267" s="20">
        <v>11.4</v>
      </c>
      <c r="O267" s="20">
        <v>0.12</v>
      </c>
      <c r="P267" s="20">
        <v>3461</v>
      </c>
      <c r="Q267" s="20">
        <v>1.75</v>
      </c>
      <c r="R267" s="21">
        <v>0.25</v>
      </c>
      <c r="S267" s="22">
        <v>0.16</v>
      </c>
      <c r="T267" s="23">
        <v>3</v>
      </c>
      <c r="U267" s="23">
        <v>4</v>
      </c>
      <c r="V267" s="23">
        <v>4</v>
      </c>
      <c r="W267" s="23">
        <v>3</v>
      </c>
      <c r="X267" s="23">
        <v>4</v>
      </c>
      <c r="Y267" s="23">
        <v>2</v>
      </c>
      <c r="Z267" s="23">
        <v>3</v>
      </c>
      <c r="AA267" s="9">
        <v>1</v>
      </c>
      <c r="AB267" s="9">
        <v>2</v>
      </c>
      <c r="AC267" s="9">
        <v>1</v>
      </c>
      <c r="AD267" s="9">
        <v>2</v>
      </c>
      <c r="AE267" s="9">
        <v>4</v>
      </c>
      <c r="AF267" s="23">
        <v>2</v>
      </c>
      <c r="AG267" s="23">
        <v>3</v>
      </c>
      <c r="AH267" s="23">
        <v>1</v>
      </c>
      <c r="AI267" s="23">
        <v>4</v>
      </c>
      <c r="AL267" s="20"/>
    </row>
    <row r="268" spans="1:54" ht="15.75" customHeight="1" x14ac:dyDescent="0.2">
      <c r="A268" s="28" t="s">
        <v>36</v>
      </c>
      <c r="B268" s="28">
        <v>2012</v>
      </c>
      <c r="C268" s="28" t="s">
        <v>37</v>
      </c>
      <c r="D268" s="6" t="s">
        <v>37</v>
      </c>
      <c r="E268" s="43">
        <v>4.12</v>
      </c>
      <c r="F268" s="43">
        <v>6545</v>
      </c>
      <c r="G268" s="43">
        <v>94</v>
      </c>
      <c r="H268" s="20">
        <v>281840</v>
      </c>
      <c r="I268" s="270">
        <v>53976</v>
      </c>
      <c r="J268" s="20">
        <v>5031</v>
      </c>
      <c r="K268" s="20">
        <v>4410</v>
      </c>
      <c r="L268" s="20">
        <v>65768</v>
      </c>
      <c r="M268" s="20">
        <v>1.22</v>
      </c>
      <c r="N268" s="20">
        <v>12.2</v>
      </c>
      <c r="O268" s="20">
        <v>0.09</v>
      </c>
      <c r="P268" s="20">
        <v>3480</v>
      </c>
      <c r="Q268" s="20">
        <v>1.82</v>
      </c>
      <c r="R268" s="21">
        <v>0.31</v>
      </c>
      <c r="S268" s="22">
        <v>0.19</v>
      </c>
      <c r="T268" s="30">
        <v>3</v>
      </c>
      <c r="U268" s="30">
        <v>4</v>
      </c>
      <c r="V268" s="30">
        <v>4</v>
      </c>
      <c r="W268" s="30">
        <v>3</v>
      </c>
      <c r="X268" s="30">
        <v>4</v>
      </c>
      <c r="Y268" s="30">
        <v>2</v>
      </c>
      <c r="Z268" s="30">
        <v>3</v>
      </c>
      <c r="AA268" s="29">
        <v>1</v>
      </c>
      <c r="AB268" s="29">
        <v>2</v>
      </c>
      <c r="AC268" s="29">
        <v>4</v>
      </c>
      <c r="AD268" s="29">
        <v>0</v>
      </c>
      <c r="AE268" s="29">
        <v>1</v>
      </c>
      <c r="AF268" s="30">
        <v>2</v>
      </c>
      <c r="AG268" s="30">
        <v>3</v>
      </c>
      <c r="AH268" s="30">
        <v>4</v>
      </c>
      <c r="AI268" s="30">
        <v>4</v>
      </c>
      <c r="AJ268" s="28"/>
      <c r="AK268" s="28"/>
      <c r="AL268" s="292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</row>
    <row r="269" spans="1:54" ht="15.75" customHeight="1" x14ac:dyDescent="0.2">
      <c r="A269" s="31" t="s">
        <v>49</v>
      </c>
      <c r="B269" s="31">
        <v>2016</v>
      </c>
      <c r="C269" s="31" t="s">
        <v>50</v>
      </c>
      <c r="D269" s="6" t="s">
        <v>50</v>
      </c>
      <c r="E269" s="43">
        <v>3.62</v>
      </c>
      <c r="F269" s="43">
        <v>4601</v>
      </c>
      <c r="G269" s="43">
        <v>93</v>
      </c>
      <c r="H269" s="20">
        <v>96689</v>
      </c>
      <c r="I269" s="270">
        <v>18178</v>
      </c>
      <c r="J269" s="20">
        <v>3895</v>
      </c>
      <c r="K269" s="20">
        <v>1726</v>
      </c>
      <c r="L269" s="20">
        <v>23798</v>
      </c>
      <c r="M269" s="20">
        <v>1.31</v>
      </c>
      <c r="N269" s="20">
        <v>10.5</v>
      </c>
      <c r="O269" s="20">
        <v>0.21</v>
      </c>
      <c r="P269" s="20">
        <v>2908</v>
      </c>
      <c r="Q269" s="20">
        <v>1.6</v>
      </c>
      <c r="R269" s="21">
        <v>0.24</v>
      </c>
      <c r="S269" s="22">
        <v>0.16</v>
      </c>
      <c r="T269" s="33">
        <v>3</v>
      </c>
      <c r="U269" s="33">
        <v>4</v>
      </c>
      <c r="V269" s="33">
        <v>4</v>
      </c>
      <c r="W269" s="33">
        <v>2</v>
      </c>
      <c r="X269" s="33">
        <v>3</v>
      </c>
      <c r="Y269" s="33">
        <v>1</v>
      </c>
      <c r="Z269" s="33">
        <v>3</v>
      </c>
      <c r="AA269" s="32">
        <v>0</v>
      </c>
      <c r="AB269" s="32">
        <v>4</v>
      </c>
      <c r="AC269" s="32">
        <v>0</v>
      </c>
      <c r="AD269" s="32">
        <v>1</v>
      </c>
      <c r="AE269" s="32">
        <v>2</v>
      </c>
      <c r="AF269" s="33">
        <v>1</v>
      </c>
      <c r="AG269" s="33">
        <v>2</v>
      </c>
      <c r="AH269" s="33">
        <v>0</v>
      </c>
      <c r="AI269" s="33">
        <v>3</v>
      </c>
      <c r="AJ269" s="31"/>
      <c r="AK269" s="31"/>
      <c r="AL269" s="280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</row>
    <row r="270" spans="1:54" ht="15.75" customHeight="1" x14ac:dyDescent="0.2">
      <c r="A270" s="6" t="s">
        <v>797</v>
      </c>
      <c r="B270" s="6">
        <v>2019</v>
      </c>
      <c r="C270" s="6" t="s">
        <v>44</v>
      </c>
      <c r="D270" s="6" t="s">
        <v>44</v>
      </c>
      <c r="E270" s="43">
        <v>4.16</v>
      </c>
      <c r="F270" s="43">
        <v>34948</v>
      </c>
      <c r="G270" s="43">
        <v>93</v>
      </c>
      <c r="H270" s="20">
        <v>225348</v>
      </c>
      <c r="I270" s="270">
        <v>42189</v>
      </c>
      <c r="J270" s="20">
        <v>4407</v>
      </c>
      <c r="K270" s="20">
        <v>2796</v>
      </c>
      <c r="L270" s="20">
        <v>51357</v>
      </c>
      <c r="M270" s="20">
        <v>1.22</v>
      </c>
      <c r="N270" s="20">
        <v>15.1</v>
      </c>
      <c r="O270" s="20">
        <v>0.1</v>
      </c>
      <c r="P270" s="20">
        <v>3145</v>
      </c>
      <c r="Q270" s="20">
        <v>2.13</v>
      </c>
      <c r="R270" s="21">
        <v>0.3</v>
      </c>
      <c r="S270" s="22">
        <v>0.17</v>
      </c>
      <c r="T270" s="23">
        <v>3</v>
      </c>
      <c r="U270" s="23">
        <v>4</v>
      </c>
      <c r="V270" s="23">
        <v>4</v>
      </c>
      <c r="W270" s="23">
        <v>3</v>
      </c>
      <c r="X270" s="23">
        <v>4</v>
      </c>
      <c r="Y270" s="23">
        <v>2</v>
      </c>
      <c r="Z270" s="23">
        <v>4</v>
      </c>
      <c r="AA270" s="9">
        <v>1</v>
      </c>
      <c r="AB270" s="9">
        <v>2</v>
      </c>
      <c r="AC270" s="9">
        <v>1</v>
      </c>
      <c r="AD270" s="9">
        <v>2</v>
      </c>
      <c r="AE270" s="9">
        <v>3</v>
      </c>
      <c r="AF270" s="23">
        <v>2</v>
      </c>
      <c r="AG270" s="23">
        <v>3</v>
      </c>
      <c r="AH270" s="23">
        <v>4</v>
      </c>
      <c r="AI270" s="23">
        <v>4</v>
      </c>
      <c r="AL270" s="20"/>
    </row>
    <row r="271" spans="1:54" ht="15.75" customHeight="1" x14ac:dyDescent="0.2">
      <c r="A271" s="6" t="s">
        <v>798</v>
      </c>
      <c r="B271" s="6">
        <v>2007</v>
      </c>
      <c r="C271" s="6" t="s">
        <v>508</v>
      </c>
      <c r="D271" s="6" t="s">
        <v>508</v>
      </c>
      <c r="E271" s="43">
        <v>3.24</v>
      </c>
      <c r="F271" s="43">
        <v>112</v>
      </c>
      <c r="G271" s="43">
        <v>92</v>
      </c>
      <c r="H271" s="20">
        <v>201682</v>
      </c>
      <c r="I271" s="270">
        <v>39372</v>
      </c>
      <c r="J271" s="20">
        <v>4891</v>
      </c>
      <c r="K271" s="20">
        <v>3088</v>
      </c>
      <c r="L271" s="20">
        <v>48838</v>
      </c>
      <c r="M271" s="20">
        <v>1.24</v>
      </c>
      <c r="N271" s="20">
        <v>12.8</v>
      </c>
      <c r="O271" s="20">
        <v>0.12</v>
      </c>
      <c r="P271" s="20">
        <v>3131</v>
      </c>
      <c r="Q271" s="20">
        <v>1.76</v>
      </c>
      <c r="R271" s="21">
        <v>0.28000000000000003</v>
      </c>
      <c r="S271" s="22">
        <v>0.14000000000000001</v>
      </c>
      <c r="T271" s="23">
        <v>2</v>
      </c>
      <c r="U271" s="23">
        <v>3</v>
      </c>
      <c r="V271" s="23">
        <v>3</v>
      </c>
      <c r="W271" s="23">
        <v>2</v>
      </c>
      <c r="X271" s="23">
        <v>4</v>
      </c>
      <c r="Y271" s="23">
        <v>1</v>
      </c>
      <c r="Z271" s="23">
        <v>3</v>
      </c>
      <c r="AA271" s="9">
        <v>2</v>
      </c>
      <c r="AB271" s="9">
        <v>1</v>
      </c>
      <c r="AC271" s="9">
        <v>3</v>
      </c>
      <c r="AD271" s="9">
        <v>1</v>
      </c>
      <c r="AE271" s="9">
        <v>2</v>
      </c>
      <c r="AF271" s="23">
        <v>1</v>
      </c>
      <c r="AG271" s="23">
        <v>2</v>
      </c>
      <c r="AH271" s="23">
        <v>3</v>
      </c>
      <c r="AI271" s="23">
        <v>3</v>
      </c>
      <c r="AL271" s="20"/>
    </row>
    <row r="272" spans="1:54" ht="15.75" customHeight="1" x14ac:dyDescent="0.2">
      <c r="A272" s="6" t="s">
        <v>799</v>
      </c>
      <c r="B272" s="6">
        <v>2010</v>
      </c>
      <c r="C272" s="6" t="s">
        <v>411</v>
      </c>
      <c r="D272" s="6" t="s">
        <v>411</v>
      </c>
      <c r="E272" s="43">
        <v>4.24</v>
      </c>
      <c r="F272" s="43">
        <v>17424</v>
      </c>
      <c r="G272" s="43">
        <v>92</v>
      </c>
      <c r="H272" s="20">
        <v>194206</v>
      </c>
      <c r="I272" s="270">
        <v>37202</v>
      </c>
      <c r="J272" s="20">
        <v>4156</v>
      </c>
      <c r="K272" s="20">
        <v>3437</v>
      </c>
      <c r="L272" s="20">
        <v>48148</v>
      </c>
      <c r="M272" s="20">
        <v>1.29</v>
      </c>
      <c r="N272" s="20">
        <v>10.8</v>
      </c>
      <c r="O272" s="20">
        <v>0.11</v>
      </c>
      <c r="P272" s="20">
        <v>2854</v>
      </c>
      <c r="Q272" s="20">
        <v>1.61</v>
      </c>
      <c r="R272" s="21">
        <v>0.26</v>
      </c>
      <c r="S272" s="22">
        <v>0.17</v>
      </c>
      <c r="T272" s="23">
        <v>3</v>
      </c>
      <c r="U272" s="23">
        <v>4</v>
      </c>
      <c r="V272" s="23">
        <v>4</v>
      </c>
      <c r="W272" s="23">
        <v>3</v>
      </c>
      <c r="X272" s="23">
        <v>4</v>
      </c>
      <c r="Y272" s="23">
        <v>2</v>
      </c>
      <c r="Z272" s="23">
        <v>3</v>
      </c>
      <c r="AA272" s="9">
        <v>1</v>
      </c>
      <c r="AB272" s="9">
        <v>3</v>
      </c>
      <c r="AC272" s="9">
        <v>0</v>
      </c>
      <c r="AD272" s="9">
        <v>2</v>
      </c>
      <c r="AE272" s="9">
        <v>2</v>
      </c>
      <c r="AF272" s="23">
        <v>1</v>
      </c>
      <c r="AG272" s="23">
        <v>3</v>
      </c>
      <c r="AH272" s="23">
        <v>0</v>
      </c>
      <c r="AI272" s="23">
        <v>4</v>
      </c>
      <c r="AL272" s="20"/>
    </row>
    <row r="273" spans="1:38" ht="15.75" customHeight="1" x14ac:dyDescent="0.2">
      <c r="A273" s="6" t="s">
        <v>800</v>
      </c>
      <c r="B273" s="6">
        <v>2003</v>
      </c>
      <c r="C273" s="6" t="s">
        <v>411</v>
      </c>
      <c r="D273" s="6" t="s">
        <v>411</v>
      </c>
      <c r="E273" s="43">
        <v>4.1100000000000003</v>
      </c>
      <c r="F273" s="43">
        <v>17344</v>
      </c>
      <c r="G273" s="43">
        <v>91</v>
      </c>
      <c r="H273" s="20">
        <v>193472</v>
      </c>
      <c r="I273" s="270">
        <v>37138</v>
      </c>
      <c r="J273" s="20">
        <v>4078</v>
      </c>
      <c r="K273" s="20">
        <v>3432</v>
      </c>
      <c r="L273" s="20">
        <v>48492</v>
      </c>
      <c r="M273" s="20">
        <v>1.31</v>
      </c>
      <c r="N273" s="20">
        <v>10.8</v>
      </c>
      <c r="O273" s="20">
        <v>0.11</v>
      </c>
      <c r="P273" s="20">
        <v>2774</v>
      </c>
      <c r="Q273" s="20">
        <v>1.58</v>
      </c>
      <c r="R273" s="21">
        <v>0.28000000000000003</v>
      </c>
      <c r="S273" s="22">
        <v>0.14000000000000001</v>
      </c>
      <c r="T273" s="23">
        <v>3</v>
      </c>
      <c r="U273" s="23">
        <v>4</v>
      </c>
      <c r="V273" s="23">
        <v>4</v>
      </c>
      <c r="W273" s="23">
        <v>2</v>
      </c>
      <c r="X273" s="23">
        <v>3</v>
      </c>
      <c r="Y273" s="23">
        <v>3</v>
      </c>
      <c r="Z273" s="23">
        <v>3</v>
      </c>
      <c r="AA273" s="9">
        <v>2</v>
      </c>
      <c r="AB273" s="9">
        <v>1</v>
      </c>
      <c r="AC273" s="9">
        <v>3</v>
      </c>
      <c r="AD273" s="9">
        <v>1</v>
      </c>
      <c r="AE273" s="9">
        <v>1</v>
      </c>
      <c r="AF273" s="23">
        <v>2</v>
      </c>
      <c r="AG273" s="23">
        <v>2</v>
      </c>
      <c r="AH273" s="23">
        <v>3</v>
      </c>
      <c r="AI273" s="23">
        <v>4</v>
      </c>
      <c r="AL273" s="20"/>
    </row>
    <row r="274" spans="1:38" ht="15.75" customHeight="1" x14ac:dyDescent="0.2">
      <c r="A274" s="6" t="s">
        <v>801</v>
      </c>
      <c r="B274" s="6">
        <v>2018</v>
      </c>
      <c r="C274" s="6" t="s">
        <v>44</v>
      </c>
      <c r="D274" s="6" t="s">
        <v>44</v>
      </c>
      <c r="E274" s="43">
        <v>3.85</v>
      </c>
      <c r="F274" s="43">
        <v>43664</v>
      </c>
      <c r="G274" s="43">
        <v>91</v>
      </c>
      <c r="H274" s="20">
        <v>213067</v>
      </c>
      <c r="I274" s="270">
        <v>39980</v>
      </c>
      <c r="J274" s="20">
        <v>4436</v>
      </c>
      <c r="K274" s="20">
        <v>2902</v>
      </c>
      <c r="L274" s="20">
        <v>50007</v>
      </c>
      <c r="M274" s="20">
        <v>1.25</v>
      </c>
      <c r="N274" s="20">
        <v>13.8</v>
      </c>
      <c r="O274" s="20">
        <v>0.11</v>
      </c>
      <c r="P274" s="20">
        <v>3142</v>
      </c>
      <c r="Q274" s="20">
        <v>2.0499999999999998</v>
      </c>
      <c r="R274" s="21">
        <v>0.28999999999999998</v>
      </c>
      <c r="S274" s="22">
        <v>0.18</v>
      </c>
      <c r="T274" s="23">
        <v>3</v>
      </c>
      <c r="U274" s="23">
        <v>4</v>
      </c>
      <c r="V274" s="23">
        <v>4</v>
      </c>
      <c r="W274" s="23">
        <v>3</v>
      </c>
      <c r="X274" s="23">
        <v>4</v>
      </c>
      <c r="Y274" s="23">
        <v>2</v>
      </c>
      <c r="Z274" s="23">
        <v>3</v>
      </c>
      <c r="AA274" s="9">
        <v>1</v>
      </c>
      <c r="AB274" s="9">
        <v>2</v>
      </c>
      <c r="AC274" s="9">
        <v>1</v>
      </c>
      <c r="AD274" s="9">
        <v>2</v>
      </c>
      <c r="AE274" s="9">
        <v>1</v>
      </c>
      <c r="AF274" s="23">
        <v>2</v>
      </c>
      <c r="AG274" s="23">
        <v>3</v>
      </c>
      <c r="AH274" s="23">
        <v>4</v>
      </c>
      <c r="AI274" s="23">
        <v>3</v>
      </c>
      <c r="AL274" s="20"/>
    </row>
    <row r="275" spans="1:38" ht="15.75" customHeight="1" x14ac:dyDescent="0.2">
      <c r="A275" s="6" t="s">
        <v>802</v>
      </c>
      <c r="B275" s="6">
        <v>1880</v>
      </c>
      <c r="C275" s="6" t="s">
        <v>504</v>
      </c>
      <c r="D275" s="6" t="s">
        <v>504</v>
      </c>
      <c r="E275" s="43">
        <v>3.27</v>
      </c>
      <c r="F275" s="43">
        <v>415</v>
      </c>
      <c r="G275" s="43">
        <v>90</v>
      </c>
      <c r="H275" s="20">
        <v>110237</v>
      </c>
      <c r="I275" s="270">
        <v>20703</v>
      </c>
      <c r="J275" s="20">
        <v>3325</v>
      </c>
      <c r="K275" s="20">
        <v>1101</v>
      </c>
      <c r="L275" s="20">
        <v>25897</v>
      </c>
      <c r="M275" s="20">
        <v>1.25</v>
      </c>
      <c r="N275" s="20">
        <v>18.8</v>
      </c>
      <c r="O275" s="20">
        <v>0.16</v>
      </c>
      <c r="P275" s="20">
        <v>2530</v>
      </c>
      <c r="Q275" s="20">
        <v>2.29</v>
      </c>
      <c r="R275" s="21">
        <v>0.28999999999999998</v>
      </c>
      <c r="S275" s="22">
        <v>0.19</v>
      </c>
      <c r="T275" s="23">
        <v>2</v>
      </c>
      <c r="U275" s="23">
        <v>3</v>
      </c>
      <c r="V275" s="23">
        <v>4</v>
      </c>
      <c r="W275" s="23">
        <v>2</v>
      </c>
      <c r="X275" s="23">
        <v>3</v>
      </c>
      <c r="Y275" s="23">
        <v>1</v>
      </c>
      <c r="Z275" s="23">
        <v>3</v>
      </c>
      <c r="AA275" s="9">
        <v>0</v>
      </c>
      <c r="AB275" s="9">
        <v>2</v>
      </c>
      <c r="AC275" s="9">
        <v>4</v>
      </c>
      <c r="AD275" s="9">
        <v>0</v>
      </c>
      <c r="AE275" s="9">
        <v>3</v>
      </c>
      <c r="AF275" s="23">
        <v>1</v>
      </c>
      <c r="AG275" s="23">
        <v>2</v>
      </c>
      <c r="AH275" s="23">
        <v>3</v>
      </c>
      <c r="AI275" s="23">
        <v>3</v>
      </c>
      <c r="AL275" s="20"/>
    </row>
    <row r="276" spans="1:38" ht="15.75" customHeight="1" x14ac:dyDescent="0.2">
      <c r="A276" s="6" t="s">
        <v>803</v>
      </c>
      <c r="B276" s="6">
        <v>1998</v>
      </c>
      <c r="C276" s="6" t="s">
        <v>411</v>
      </c>
      <c r="D276" s="6" t="s">
        <v>411</v>
      </c>
      <c r="E276" s="43">
        <v>4.28</v>
      </c>
      <c r="F276" s="43">
        <v>25310</v>
      </c>
      <c r="G276" s="43">
        <v>90</v>
      </c>
      <c r="H276" s="20">
        <v>191801</v>
      </c>
      <c r="I276" s="270">
        <v>36924</v>
      </c>
      <c r="J276" s="20">
        <v>4080</v>
      </c>
      <c r="K276" s="20">
        <v>3330</v>
      </c>
      <c r="L276" s="20">
        <v>47892</v>
      </c>
      <c r="M276" s="20">
        <v>1.3</v>
      </c>
      <c r="N276" s="20">
        <v>11.1</v>
      </c>
      <c r="O276" s="20">
        <v>0.11</v>
      </c>
      <c r="P276" s="20">
        <v>2776</v>
      </c>
      <c r="Q276" s="20">
        <v>1.63</v>
      </c>
      <c r="R276" s="21">
        <v>0.27</v>
      </c>
      <c r="S276" s="22">
        <v>0.15</v>
      </c>
      <c r="T276" s="23">
        <v>3</v>
      </c>
      <c r="U276" s="23">
        <v>4</v>
      </c>
      <c r="V276" s="23">
        <v>4</v>
      </c>
      <c r="W276" s="23">
        <v>3</v>
      </c>
      <c r="X276" s="23">
        <v>4</v>
      </c>
      <c r="Y276" s="23">
        <v>2</v>
      </c>
      <c r="Z276" s="23">
        <v>3</v>
      </c>
      <c r="AA276" s="9">
        <v>1</v>
      </c>
      <c r="AB276" s="9">
        <v>2</v>
      </c>
      <c r="AC276" s="9">
        <v>3</v>
      </c>
      <c r="AD276" s="9">
        <v>1</v>
      </c>
      <c r="AE276" s="9">
        <v>2</v>
      </c>
      <c r="AF276" s="23">
        <v>2</v>
      </c>
      <c r="AG276" s="23">
        <v>3</v>
      </c>
      <c r="AH276" s="23">
        <v>2</v>
      </c>
      <c r="AI276" s="23">
        <v>4</v>
      </c>
      <c r="AL276" s="20"/>
    </row>
    <row r="277" spans="1:38" ht="15.75" customHeight="1" x14ac:dyDescent="0.2">
      <c r="A277" s="6" t="s">
        <v>804</v>
      </c>
      <c r="B277" s="6">
        <v>2020</v>
      </c>
      <c r="C277" s="6" t="s">
        <v>536</v>
      </c>
      <c r="D277" s="6" t="s">
        <v>536</v>
      </c>
      <c r="E277" s="43">
        <v>3.68</v>
      </c>
      <c r="F277" s="43">
        <v>402</v>
      </c>
      <c r="G277" s="43">
        <v>90</v>
      </c>
      <c r="H277" s="20">
        <v>111593</v>
      </c>
      <c r="I277" s="270">
        <v>20503</v>
      </c>
      <c r="J277" s="20">
        <v>3140</v>
      </c>
      <c r="K277" s="20">
        <v>1036</v>
      </c>
      <c r="L277" s="20">
        <v>25581</v>
      </c>
      <c r="M277" s="20">
        <v>1.25</v>
      </c>
      <c r="N277" s="20">
        <v>19.8</v>
      </c>
      <c r="O277" s="20">
        <v>0.15</v>
      </c>
      <c r="P277" s="20">
        <v>2384</v>
      </c>
      <c r="Q277" s="20">
        <v>2.36</v>
      </c>
      <c r="R277" s="21">
        <v>0.28999999999999998</v>
      </c>
      <c r="S277" s="22">
        <v>0.2</v>
      </c>
      <c r="T277" s="23">
        <v>2</v>
      </c>
      <c r="U277" s="23">
        <v>3</v>
      </c>
      <c r="V277" s="23">
        <v>4</v>
      </c>
      <c r="W277" s="23">
        <v>1</v>
      </c>
      <c r="X277" s="23">
        <v>3</v>
      </c>
      <c r="Y277" s="23">
        <v>2</v>
      </c>
      <c r="Z277" s="23">
        <v>3</v>
      </c>
      <c r="AA277" s="9">
        <v>0</v>
      </c>
      <c r="AB277" s="9">
        <v>3</v>
      </c>
      <c r="AC277" s="9">
        <v>1</v>
      </c>
      <c r="AD277" s="9">
        <v>0</v>
      </c>
      <c r="AE277" s="9">
        <v>4</v>
      </c>
      <c r="AF277" s="23">
        <v>0</v>
      </c>
      <c r="AG277" s="23">
        <v>1</v>
      </c>
      <c r="AH277" s="23">
        <v>2</v>
      </c>
      <c r="AI277" s="23">
        <v>2</v>
      </c>
      <c r="AL277" s="20"/>
    </row>
    <row r="278" spans="1:38" ht="15.75" customHeight="1" x14ac:dyDescent="0.2">
      <c r="A278" s="6" t="s">
        <v>805</v>
      </c>
      <c r="B278" s="6">
        <v>1981</v>
      </c>
      <c r="C278" s="6" t="s">
        <v>500</v>
      </c>
      <c r="D278" s="6" t="s">
        <v>500</v>
      </c>
      <c r="E278" s="43">
        <v>3.6</v>
      </c>
      <c r="F278" s="43">
        <v>40445</v>
      </c>
      <c r="G278" s="43">
        <v>90</v>
      </c>
      <c r="H278" s="20">
        <v>485095</v>
      </c>
      <c r="I278" s="270">
        <v>91985</v>
      </c>
      <c r="J278" s="20">
        <v>8717</v>
      </c>
      <c r="K278" s="20">
        <v>8234</v>
      </c>
      <c r="L278" s="20">
        <v>115937</v>
      </c>
      <c r="M278" s="20">
        <v>1.26</v>
      </c>
      <c r="N278" s="20">
        <v>11.2</v>
      </c>
      <c r="O278" s="20">
        <v>0.1</v>
      </c>
      <c r="P278" s="20">
        <v>5761</v>
      </c>
      <c r="Q278" s="20">
        <v>1.64</v>
      </c>
      <c r="R278" s="21">
        <v>0.27</v>
      </c>
      <c r="S278" s="22">
        <v>0.13</v>
      </c>
      <c r="T278" s="23">
        <v>3</v>
      </c>
      <c r="U278" s="23">
        <v>4</v>
      </c>
      <c r="V278" s="23">
        <v>4</v>
      </c>
      <c r="W278" s="23">
        <v>2</v>
      </c>
      <c r="X278" s="23">
        <v>3</v>
      </c>
      <c r="Y278" s="23">
        <v>1</v>
      </c>
      <c r="Z278" s="23">
        <v>4</v>
      </c>
      <c r="AA278" s="9">
        <v>0</v>
      </c>
      <c r="AB278" s="9">
        <v>1</v>
      </c>
      <c r="AC278" s="9">
        <v>0</v>
      </c>
      <c r="AD278" s="9">
        <v>2</v>
      </c>
      <c r="AE278" s="9">
        <v>4</v>
      </c>
      <c r="AF278" s="23">
        <v>1</v>
      </c>
      <c r="AG278" s="23">
        <v>2</v>
      </c>
      <c r="AH278" s="23">
        <v>0</v>
      </c>
      <c r="AI278" s="23">
        <v>3</v>
      </c>
      <c r="AL278" s="20"/>
    </row>
    <row r="279" spans="1:38" ht="15.75" customHeight="1" x14ac:dyDescent="0.2">
      <c r="A279" s="6" t="s">
        <v>806</v>
      </c>
      <c r="B279" s="6">
        <v>2005</v>
      </c>
      <c r="C279" s="6" t="s">
        <v>385</v>
      </c>
      <c r="D279" s="6" t="s">
        <v>385</v>
      </c>
      <c r="E279" s="43">
        <v>3.72</v>
      </c>
      <c r="F279" s="43">
        <v>1986</v>
      </c>
      <c r="G279" s="43">
        <v>90</v>
      </c>
      <c r="H279" s="20">
        <v>133038</v>
      </c>
      <c r="I279" s="270">
        <v>24966</v>
      </c>
      <c r="J279" s="20">
        <v>3475</v>
      </c>
      <c r="K279" s="20">
        <v>1892</v>
      </c>
      <c r="L279" s="20">
        <v>32369</v>
      </c>
      <c r="M279" s="20">
        <v>1.3</v>
      </c>
      <c r="N279" s="20">
        <v>13.2</v>
      </c>
      <c r="O279" s="20">
        <v>0.14000000000000001</v>
      </c>
      <c r="P279" s="20">
        <v>2323</v>
      </c>
      <c r="Q279" s="20">
        <v>1.96</v>
      </c>
      <c r="R279" s="21">
        <v>0.28000000000000003</v>
      </c>
      <c r="S279" s="22">
        <v>0.2</v>
      </c>
      <c r="T279" s="23">
        <v>2</v>
      </c>
      <c r="U279" s="23">
        <v>3</v>
      </c>
      <c r="V279" s="23">
        <v>3</v>
      </c>
      <c r="W279" s="23">
        <v>1</v>
      </c>
      <c r="X279" s="23">
        <v>3</v>
      </c>
      <c r="Y279" s="23">
        <v>2</v>
      </c>
      <c r="Z279" s="23">
        <v>2</v>
      </c>
      <c r="AA279" s="9">
        <v>1</v>
      </c>
      <c r="AB279" s="9">
        <v>4</v>
      </c>
      <c r="AC279" s="9">
        <v>2</v>
      </c>
      <c r="AD279" s="9">
        <v>3</v>
      </c>
      <c r="AE279" s="9">
        <v>1</v>
      </c>
      <c r="AF279" s="23">
        <v>1</v>
      </c>
      <c r="AG279" s="23">
        <v>1</v>
      </c>
      <c r="AH279" s="23">
        <v>3</v>
      </c>
      <c r="AI279" s="23">
        <v>3</v>
      </c>
      <c r="AL279" s="20"/>
    </row>
    <row r="280" spans="1:38" ht="15.75" customHeight="1" x14ac:dyDescent="0.2">
      <c r="A280" s="6" t="s">
        <v>807</v>
      </c>
      <c r="B280" s="6">
        <v>1919</v>
      </c>
      <c r="C280" s="6" t="s">
        <v>378</v>
      </c>
      <c r="D280" s="6" t="s">
        <v>378</v>
      </c>
      <c r="E280" s="43">
        <v>3.61</v>
      </c>
      <c r="F280" s="43">
        <v>5760</v>
      </c>
      <c r="G280" s="43">
        <v>90</v>
      </c>
      <c r="H280" s="20">
        <v>416695</v>
      </c>
      <c r="I280" s="270">
        <v>77202</v>
      </c>
      <c r="J280" s="20">
        <v>9461</v>
      </c>
      <c r="K280" s="20">
        <v>5125</v>
      </c>
      <c r="L280" s="20">
        <v>98263</v>
      </c>
      <c r="M280" s="20">
        <v>1.27</v>
      </c>
      <c r="N280" s="20">
        <v>15.1</v>
      </c>
      <c r="O280" s="20">
        <v>0.12</v>
      </c>
      <c r="P280" s="20">
        <v>6403</v>
      </c>
      <c r="Q280" s="20">
        <v>2.0299999999999998</v>
      </c>
      <c r="R280" s="21">
        <v>0.28999999999999998</v>
      </c>
      <c r="S280" s="22">
        <v>0.16</v>
      </c>
      <c r="T280" s="23">
        <v>2</v>
      </c>
      <c r="U280" s="23">
        <v>3</v>
      </c>
      <c r="V280" s="23">
        <v>3</v>
      </c>
      <c r="W280" s="23">
        <v>1</v>
      </c>
      <c r="X280" s="23">
        <v>2</v>
      </c>
      <c r="Y280" s="23">
        <v>3</v>
      </c>
      <c r="Z280" s="23">
        <v>2</v>
      </c>
      <c r="AA280" s="9">
        <v>2</v>
      </c>
      <c r="AB280" s="9">
        <v>4</v>
      </c>
      <c r="AC280" s="9">
        <v>2</v>
      </c>
      <c r="AD280" s="9">
        <v>1</v>
      </c>
      <c r="AE280" s="9">
        <v>0</v>
      </c>
      <c r="AF280" s="23">
        <v>1</v>
      </c>
      <c r="AG280" s="23">
        <v>1</v>
      </c>
      <c r="AH280" s="23">
        <v>2</v>
      </c>
      <c r="AI280" s="23">
        <v>2</v>
      </c>
      <c r="AL280" s="20"/>
    </row>
    <row r="281" spans="1:38" ht="15.75" customHeight="1" x14ac:dyDescent="0.2">
      <c r="A281" s="6" t="s">
        <v>808</v>
      </c>
      <c r="B281" s="6">
        <v>2005</v>
      </c>
      <c r="C281" s="6" t="s">
        <v>471</v>
      </c>
      <c r="D281" s="6" t="s">
        <v>471</v>
      </c>
      <c r="E281" s="43">
        <v>3.71</v>
      </c>
      <c r="F281" s="43">
        <v>78023</v>
      </c>
      <c r="G281" s="43">
        <v>90</v>
      </c>
      <c r="H281" s="20">
        <v>158698</v>
      </c>
      <c r="I281" s="270">
        <v>30059</v>
      </c>
      <c r="J281" s="20">
        <v>4542</v>
      </c>
      <c r="K281" s="20">
        <v>1723</v>
      </c>
      <c r="L281" s="20">
        <v>37506</v>
      </c>
      <c r="M281" s="20">
        <v>1.25</v>
      </c>
      <c r="N281" s="20">
        <v>17.399999999999999</v>
      </c>
      <c r="O281" s="20">
        <v>0.15</v>
      </c>
      <c r="P281" s="20">
        <v>3284</v>
      </c>
      <c r="Q281" s="20">
        <v>2.15</v>
      </c>
      <c r="R281" s="21">
        <v>0.3</v>
      </c>
      <c r="S281" s="22">
        <v>0.17</v>
      </c>
      <c r="T281" s="23">
        <v>3</v>
      </c>
      <c r="U281" s="23">
        <v>4</v>
      </c>
      <c r="V281" s="23">
        <v>4</v>
      </c>
      <c r="W281" s="23">
        <v>3</v>
      </c>
      <c r="X281" s="23">
        <v>4</v>
      </c>
      <c r="Y281" s="23">
        <v>2</v>
      </c>
      <c r="Z281" s="23">
        <v>3</v>
      </c>
      <c r="AA281" s="9">
        <v>1</v>
      </c>
      <c r="AB281" s="9">
        <v>2</v>
      </c>
      <c r="AC281" s="9">
        <v>2</v>
      </c>
      <c r="AD281" s="9">
        <v>3</v>
      </c>
      <c r="AE281" s="9">
        <v>3</v>
      </c>
      <c r="AF281" s="23">
        <v>1</v>
      </c>
      <c r="AG281" s="23">
        <v>3</v>
      </c>
      <c r="AH281" s="23">
        <v>4</v>
      </c>
      <c r="AI281" s="23">
        <v>3</v>
      </c>
      <c r="AL281" s="20"/>
    </row>
    <row r="282" spans="1:38" ht="15.75" customHeight="1" x14ac:dyDescent="0.2">
      <c r="A282" s="6" t="s">
        <v>809</v>
      </c>
      <c r="B282" s="6">
        <v>1932</v>
      </c>
      <c r="C282" s="6" t="s">
        <v>540</v>
      </c>
      <c r="D282" s="6" t="s">
        <v>540</v>
      </c>
      <c r="E282" s="43">
        <v>3.81</v>
      </c>
      <c r="F282" s="43">
        <v>1842</v>
      </c>
      <c r="G282" s="43">
        <v>89</v>
      </c>
      <c r="H282" s="20">
        <v>397210</v>
      </c>
      <c r="I282" s="270">
        <v>77984</v>
      </c>
      <c r="J282" s="20">
        <v>6541</v>
      </c>
      <c r="K282" s="20">
        <v>6430</v>
      </c>
      <c r="L282" s="20">
        <v>96116</v>
      </c>
      <c r="M282" s="20">
        <v>1.23</v>
      </c>
      <c r="N282" s="20">
        <v>12.1</v>
      </c>
      <c r="O282" s="20">
        <v>0.08</v>
      </c>
      <c r="P282" s="20">
        <v>4810</v>
      </c>
      <c r="Q282" s="20">
        <v>1.78</v>
      </c>
      <c r="R282" s="21">
        <v>0.28000000000000003</v>
      </c>
      <c r="S282" s="22">
        <v>0.16</v>
      </c>
      <c r="T282" s="23">
        <v>2</v>
      </c>
      <c r="U282" s="23">
        <v>3</v>
      </c>
      <c r="V282" s="23">
        <v>4</v>
      </c>
      <c r="W282" s="23">
        <v>1</v>
      </c>
      <c r="X282" s="23">
        <v>4</v>
      </c>
      <c r="Y282" s="23">
        <v>2</v>
      </c>
      <c r="Z282" s="23">
        <v>3</v>
      </c>
      <c r="AA282" s="9">
        <v>0</v>
      </c>
      <c r="AB282" s="9">
        <v>2</v>
      </c>
      <c r="AC282" s="9">
        <v>1</v>
      </c>
      <c r="AD282" s="9">
        <v>2</v>
      </c>
      <c r="AE282" s="9">
        <v>4</v>
      </c>
      <c r="AF282" s="23">
        <v>1</v>
      </c>
      <c r="AG282" s="23">
        <v>2</v>
      </c>
      <c r="AH282" s="23">
        <v>3</v>
      </c>
      <c r="AI282" s="23">
        <v>3</v>
      </c>
      <c r="AL282" s="20"/>
    </row>
    <row r="283" spans="1:38" ht="15.75" customHeight="1" x14ac:dyDescent="0.2">
      <c r="A283" s="6" t="s">
        <v>810</v>
      </c>
      <c r="B283" s="6">
        <v>2015</v>
      </c>
      <c r="C283" s="6" t="s">
        <v>509</v>
      </c>
      <c r="D283" s="6" t="s">
        <v>509</v>
      </c>
      <c r="E283" s="43">
        <v>4</v>
      </c>
      <c r="F283" s="43">
        <v>2793</v>
      </c>
      <c r="G283" s="43">
        <v>89</v>
      </c>
      <c r="H283" s="20">
        <v>89185</v>
      </c>
      <c r="I283" s="270">
        <v>16640</v>
      </c>
      <c r="J283" s="20">
        <v>3365</v>
      </c>
      <c r="K283" s="20">
        <v>1074</v>
      </c>
      <c r="L283" s="20">
        <v>20577</v>
      </c>
      <c r="M283" s="20">
        <v>1.24</v>
      </c>
      <c r="N283" s="20">
        <v>15.5</v>
      </c>
      <c r="O283" s="20">
        <v>0.2</v>
      </c>
      <c r="P283" s="20">
        <v>2444</v>
      </c>
      <c r="Q283" s="20">
        <v>1.83</v>
      </c>
      <c r="R283" s="21">
        <v>0.34</v>
      </c>
      <c r="S283" s="22">
        <v>0.16</v>
      </c>
      <c r="T283" s="23">
        <v>1</v>
      </c>
      <c r="U283" s="23">
        <v>2</v>
      </c>
      <c r="V283" s="23">
        <v>3</v>
      </c>
      <c r="W283" s="23">
        <v>2</v>
      </c>
      <c r="X283" s="23">
        <v>4</v>
      </c>
      <c r="Y283" s="23">
        <v>1</v>
      </c>
      <c r="Z283" s="23">
        <v>3</v>
      </c>
      <c r="AA283" s="9">
        <v>0</v>
      </c>
      <c r="AB283" s="9">
        <v>0</v>
      </c>
      <c r="AC283" s="9">
        <v>0</v>
      </c>
      <c r="AD283" s="9">
        <v>1</v>
      </c>
      <c r="AE283" s="9">
        <v>0</v>
      </c>
      <c r="AF283" s="23">
        <v>1</v>
      </c>
      <c r="AG283" s="23">
        <v>2</v>
      </c>
      <c r="AH283" s="23">
        <v>4</v>
      </c>
      <c r="AI283" s="23">
        <v>3</v>
      </c>
      <c r="AL283" s="20"/>
    </row>
    <row r="284" spans="1:38" ht="15.75" customHeight="1" x14ac:dyDescent="0.2">
      <c r="A284" s="6" t="s">
        <v>811</v>
      </c>
      <c r="B284" s="6">
        <v>2013</v>
      </c>
      <c r="C284" s="6" t="s">
        <v>450</v>
      </c>
      <c r="D284" s="6" t="s">
        <v>450</v>
      </c>
      <c r="E284" s="43">
        <v>3.8</v>
      </c>
      <c r="F284" s="43">
        <v>1979</v>
      </c>
      <c r="G284" s="43">
        <v>88</v>
      </c>
      <c r="H284" s="20">
        <v>268769</v>
      </c>
      <c r="I284" s="270">
        <v>49822</v>
      </c>
      <c r="J284" s="20">
        <v>6823</v>
      </c>
      <c r="K284" s="20">
        <v>2792</v>
      </c>
      <c r="L284" s="20">
        <v>58184</v>
      </c>
      <c r="M284" s="20">
        <v>1.17</v>
      </c>
      <c r="N284" s="20">
        <v>17.8</v>
      </c>
      <c r="O284" s="20">
        <v>0.14000000000000001</v>
      </c>
      <c r="P284" s="20">
        <v>4819</v>
      </c>
      <c r="Q284" s="20">
        <v>1.93</v>
      </c>
      <c r="R284" s="21">
        <v>0.28000000000000003</v>
      </c>
      <c r="S284" s="22">
        <v>0.15</v>
      </c>
      <c r="T284" s="23">
        <v>2</v>
      </c>
      <c r="U284" s="23">
        <v>3</v>
      </c>
      <c r="V284" s="23">
        <v>3</v>
      </c>
      <c r="W284" s="23">
        <v>2</v>
      </c>
      <c r="X284" s="23">
        <v>4</v>
      </c>
      <c r="Y284" s="23">
        <v>1</v>
      </c>
      <c r="Z284" s="23">
        <v>4</v>
      </c>
      <c r="AA284" s="9">
        <v>0</v>
      </c>
      <c r="AB284" s="9">
        <v>2</v>
      </c>
      <c r="AC284" s="9">
        <v>2</v>
      </c>
      <c r="AD284" s="9">
        <v>1</v>
      </c>
      <c r="AE284" s="9">
        <v>3</v>
      </c>
      <c r="AF284" s="23">
        <v>1</v>
      </c>
      <c r="AG284" s="23">
        <v>3</v>
      </c>
      <c r="AH284" s="23">
        <v>0</v>
      </c>
      <c r="AI284" s="23">
        <v>4</v>
      </c>
      <c r="AL284" s="20"/>
    </row>
    <row r="285" spans="1:38" ht="15.75" customHeight="1" x14ac:dyDescent="0.2">
      <c r="A285" s="6" t="s">
        <v>812</v>
      </c>
      <c r="B285" s="6">
        <v>1982</v>
      </c>
      <c r="C285" s="6" t="s">
        <v>500</v>
      </c>
      <c r="D285" s="6" t="s">
        <v>500</v>
      </c>
      <c r="E285" s="43">
        <v>3.9</v>
      </c>
      <c r="F285" s="43">
        <v>140188</v>
      </c>
      <c r="G285" s="43">
        <v>87</v>
      </c>
      <c r="H285" s="20">
        <v>368376</v>
      </c>
      <c r="I285" s="270">
        <v>67540</v>
      </c>
      <c r="J285" s="20">
        <v>8120</v>
      </c>
      <c r="K285" s="20">
        <v>6537</v>
      </c>
      <c r="L285" s="20">
        <v>86871</v>
      </c>
      <c r="M285" s="20">
        <v>1.29</v>
      </c>
      <c r="N285" s="20">
        <v>10.3</v>
      </c>
      <c r="O285" s="20">
        <v>0.12</v>
      </c>
      <c r="P285" s="20">
        <v>5653</v>
      </c>
      <c r="Q285" s="20">
        <v>1.52</v>
      </c>
      <c r="R285" s="21">
        <v>0.24</v>
      </c>
      <c r="S285" s="22">
        <v>0.14000000000000001</v>
      </c>
      <c r="T285" s="23">
        <v>3</v>
      </c>
      <c r="U285" s="23">
        <v>4</v>
      </c>
      <c r="V285" s="23">
        <v>4</v>
      </c>
      <c r="W285" s="23">
        <v>3</v>
      </c>
      <c r="X285" s="23">
        <v>4</v>
      </c>
      <c r="Y285" s="23">
        <v>2</v>
      </c>
      <c r="Z285" s="23">
        <v>4</v>
      </c>
      <c r="AA285" s="9">
        <v>0</v>
      </c>
      <c r="AB285" s="9">
        <v>1</v>
      </c>
      <c r="AC285" s="9">
        <v>0</v>
      </c>
      <c r="AD285" s="9">
        <v>3</v>
      </c>
      <c r="AE285" s="9">
        <v>4</v>
      </c>
      <c r="AF285" s="23">
        <v>1</v>
      </c>
      <c r="AG285" s="23">
        <v>3</v>
      </c>
      <c r="AH285" s="23">
        <v>0</v>
      </c>
      <c r="AI285" s="23">
        <v>4</v>
      </c>
      <c r="AL285" s="20"/>
    </row>
    <row r="286" spans="1:38" ht="15.75" customHeight="1" x14ac:dyDescent="0.2">
      <c r="A286" s="6" t="s">
        <v>813</v>
      </c>
      <c r="B286" s="6">
        <v>2018</v>
      </c>
      <c r="C286" s="6" t="s">
        <v>474</v>
      </c>
      <c r="D286" s="6" t="s">
        <v>474</v>
      </c>
      <c r="E286" s="43">
        <v>4.38</v>
      </c>
      <c r="F286" s="43">
        <v>115457</v>
      </c>
      <c r="G286" s="43">
        <v>87</v>
      </c>
      <c r="H286" s="20">
        <v>198051</v>
      </c>
      <c r="I286" s="270">
        <v>36731</v>
      </c>
      <c r="J286" s="20">
        <v>3852</v>
      </c>
      <c r="K286" s="20">
        <v>2419</v>
      </c>
      <c r="L286" s="20">
        <v>44298</v>
      </c>
      <c r="M286" s="20">
        <v>1.21</v>
      </c>
      <c r="N286" s="20">
        <v>15.2</v>
      </c>
      <c r="O286" s="20">
        <v>0.11</v>
      </c>
      <c r="P286" s="20">
        <v>2641</v>
      </c>
      <c r="Q286" s="20">
        <v>2.0099999999999998</v>
      </c>
      <c r="R286" s="21">
        <v>0.28000000000000003</v>
      </c>
      <c r="S286" s="22">
        <v>0.15</v>
      </c>
      <c r="T286" s="23">
        <v>2</v>
      </c>
      <c r="U286" s="23">
        <v>3</v>
      </c>
      <c r="V286" s="23">
        <v>4</v>
      </c>
      <c r="W286" s="23">
        <v>2</v>
      </c>
      <c r="X286" s="23">
        <v>3</v>
      </c>
      <c r="Y286" s="23">
        <v>2</v>
      </c>
      <c r="Z286" s="23">
        <v>4</v>
      </c>
      <c r="AA286" s="9">
        <v>1</v>
      </c>
      <c r="AB286" s="9">
        <v>2</v>
      </c>
      <c r="AC286" s="9">
        <v>0</v>
      </c>
      <c r="AD286" s="9">
        <v>2</v>
      </c>
      <c r="AE286" s="9">
        <v>1</v>
      </c>
      <c r="AF286" s="23">
        <v>2</v>
      </c>
      <c r="AG286" s="23">
        <v>3</v>
      </c>
      <c r="AH286" s="23">
        <v>3</v>
      </c>
      <c r="AI286" s="23">
        <v>4</v>
      </c>
      <c r="AL286" s="20"/>
    </row>
    <row r="287" spans="1:38" ht="15.75" customHeight="1" x14ac:dyDescent="0.2">
      <c r="A287" s="6" t="s">
        <v>814</v>
      </c>
      <c r="B287" s="6">
        <v>1940</v>
      </c>
      <c r="C287" s="6" t="s">
        <v>412</v>
      </c>
      <c r="D287" s="6" t="s">
        <v>412</v>
      </c>
      <c r="E287" s="43">
        <v>3.59</v>
      </c>
      <c r="F287" s="43">
        <v>1487</v>
      </c>
      <c r="G287" s="43">
        <v>86</v>
      </c>
      <c r="H287" s="20">
        <v>137813</v>
      </c>
      <c r="I287" s="270">
        <v>25576</v>
      </c>
      <c r="J287" s="20">
        <v>4227</v>
      </c>
      <c r="K287" s="20">
        <v>1512</v>
      </c>
      <c r="L287" s="20">
        <v>31710</v>
      </c>
      <c r="M287" s="20">
        <v>1.24</v>
      </c>
      <c r="N287" s="20">
        <v>16.899999999999999</v>
      </c>
      <c r="O287" s="20">
        <v>0.17</v>
      </c>
      <c r="P287" s="20">
        <v>3238</v>
      </c>
      <c r="Q287" s="20">
        <v>2.04</v>
      </c>
      <c r="R287" s="21">
        <v>0.27</v>
      </c>
      <c r="S287" s="22">
        <v>0.18</v>
      </c>
      <c r="T287" s="23">
        <v>1</v>
      </c>
      <c r="U287" s="23">
        <v>2</v>
      </c>
      <c r="V287" s="23">
        <v>3</v>
      </c>
      <c r="W287" s="23">
        <v>1</v>
      </c>
      <c r="X287" s="23">
        <v>4</v>
      </c>
      <c r="Y287" s="23">
        <v>2</v>
      </c>
      <c r="Z287" s="23">
        <v>3</v>
      </c>
      <c r="AA287" s="9">
        <v>1</v>
      </c>
      <c r="AB287" s="9">
        <v>2</v>
      </c>
      <c r="AC287" s="9">
        <v>3</v>
      </c>
      <c r="AD287" s="9">
        <v>2</v>
      </c>
      <c r="AE287" s="9">
        <v>3</v>
      </c>
      <c r="AF287" s="23">
        <v>1</v>
      </c>
      <c r="AG287" s="23">
        <v>2</v>
      </c>
      <c r="AH287" s="23">
        <v>4</v>
      </c>
      <c r="AI287" s="23">
        <v>3</v>
      </c>
      <c r="AL287" s="20"/>
    </row>
    <row r="288" spans="1:38" ht="15.75" customHeight="1" x14ac:dyDescent="0.2">
      <c r="A288" s="6" t="s">
        <v>815</v>
      </c>
      <c r="B288" s="6">
        <v>2019</v>
      </c>
      <c r="C288" s="6" t="s">
        <v>424</v>
      </c>
      <c r="D288" s="6" t="s">
        <v>424</v>
      </c>
      <c r="E288" s="43">
        <v>3.64</v>
      </c>
      <c r="F288" s="43">
        <v>364</v>
      </c>
      <c r="G288" s="43">
        <v>86</v>
      </c>
      <c r="H288" s="20">
        <v>170876</v>
      </c>
      <c r="I288" s="270">
        <v>33124</v>
      </c>
      <c r="J288" s="20">
        <v>3986</v>
      </c>
      <c r="K288" s="20">
        <v>3243</v>
      </c>
      <c r="L288" s="20">
        <v>42542</v>
      </c>
      <c r="M288" s="20">
        <v>1.28</v>
      </c>
      <c r="N288" s="20">
        <v>10.199999999999999</v>
      </c>
      <c r="O288" s="20">
        <v>0.12</v>
      </c>
      <c r="P288" s="20">
        <v>2720</v>
      </c>
      <c r="Q288" s="20">
        <v>1.56</v>
      </c>
      <c r="R288" s="21">
        <v>0.24</v>
      </c>
      <c r="S288" s="22">
        <v>0.13</v>
      </c>
      <c r="T288" s="23">
        <v>2</v>
      </c>
      <c r="U288" s="23">
        <v>3</v>
      </c>
      <c r="V288" s="23">
        <v>4</v>
      </c>
      <c r="W288" s="23">
        <v>3</v>
      </c>
      <c r="X288" s="23">
        <v>4</v>
      </c>
      <c r="Y288" s="23">
        <v>2</v>
      </c>
      <c r="Z288" s="23">
        <v>3</v>
      </c>
      <c r="AA288" s="9">
        <v>1</v>
      </c>
      <c r="AB288" s="9">
        <v>0</v>
      </c>
      <c r="AC288" s="9">
        <v>1</v>
      </c>
      <c r="AD288" s="9">
        <v>2</v>
      </c>
      <c r="AE288" s="9">
        <v>1</v>
      </c>
      <c r="AF288" s="23">
        <v>2</v>
      </c>
      <c r="AG288" s="23">
        <v>3</v>
      </c>
      <c r="AH288" s="23">
        <v>4</v>
      </c>
      <c r="AI288" s="23">
        <v>4</v>
      </c>
      <c r="AL288" s="20"/>
    </row>
    <row r="289" spans="1:54" ht="15.75" customHeight="1" x14ac:dyDescent="0.2">
      <c r="A289" s="6" t="s">
        <v>816</v>
      </c>
      <c r="B289" s="6">
        <v>2002</v>
      </c>
      <c r="C289" s="6" t="s">
        <v>422</v>
      </c>
      <c r="D289" s="6" t="s">
        <v>422</v>
      </c>
      <c r="E289" s="43">
        <v>3.38</v>
      </c>
      <c r="F289" s="43">
        <v>1491</v>
      </c>
      <c r="G289" s="43">
        <v>85</v>
      </c>
      <c r="H289" s="20">
        <v>295438</v>
      </c>
      <c r="I289" s="270">
        <v>54994</v>
      </c>
      <c r="J289" s="20">
        <v>5852</v>
      </c>
      <c r="K289" s="20">
        <v>7630</v>
      </c>
      <c r="L289" s="20">
        <v>70103</v>
      </c>
      <c r="M289" s="20">
        <v>1.27</v>
      </c>
      <c r="N289" s="20">
        <v>7.2</v>
      </c>
      <c r="O289" s="20">
        <v>0.11</v>
      </c>
      <c r="P289" s="20">
        <v>4083</v>
      </c>
      <c r="Q289" s="20">
        <v>1.45</v>
      </c>
      <c r="R289" s="21">
        <v>0.23</v>
      </c>
      <c r="S289" s="22">
        <v>0.13</v>
      </c>
      <c r="T289" s="23">
        <v>3</v>
      </c>
      <c r="U289" s="23">
        <v>4</v>
      </c>
      <c r="V289" s="23">
        <v>4</v>
      </c>
      <c r="W289" s="23">
        <v>3</v>
      </c>
      <c r="X289" s="23">
        <v>4</v>
      </c>
      <c r="Y289" s="23">
        <v>2</v>
      </c>
      <c r="Z289" s="23">
        <v>3</v>
      </c>
      <c r="AA289" s="9">
        <v>1</v>
      </c>
      <c r="AB289" s="9">
        <v>2</v>
      </c>
      <c r="AC289" s="9">
        <v>0</v>
      </c>
      <c r="AD289" s="9">
        <v>3</v>
      </c>
      <c r="AE289" s="9">
        <v>3</v>
      </c>
      <c r="AF289" s="23">
        <v>1</v>
      </c>
      <c r="AG289" s="23">
        <v>3</v>
      </c>
      <c r="AH289" s="23">
        <v>0</v>
      </c>
      <c r="AI289" s="23">
        <v>4</v>
      </c>
      <c r="AL289" s="20"/>
    </row>
    <row r="290" spans="1:54" ht="15.75" customHeight="1" x14ac:dyDescent="0.2">
      <c r="A290" s="6" t="s">
        <v>817</v>
      </c>
      <c r="B290" s="6">
        <v>2017</v>
      </c>
      <c r="C290" s="6" t="s">
        <v>512</v>
      </c>
      <c r="D290" s="6" t="s">
        <v>512</v>
      </c>
      <c r="E290" s="43">
        <v>3.83</v>
      </c>
      <c r="F290" s="43">
        <v>3339</v>
      </c>
      <c r="G290" s="43">
        <v>85</v>
      </c>
      <c r="H290" s="20">
        <v>208208</v>
      </c>
      <c r="I290" s="270">
        <v>38976</v>
      </c>
      <c r="J290" s="20">
        <v>4289</v>
      </c>
      <c r="K290" s="20">
        <v>3063</v>
      </c>
      <c r="L290" s="20">
        <v>49959</v>
      </c>
      <c r="M290" s="20">
        <v>1.28</v>
      </c>
      <c r="N290" s="20">
        <v>12.7</v>
      </c>
      <c r="O290" s="20">
        <v>0.11</v>
      </c>
      <c r="P290" s="20">
        <v>3009</v>
      </c>
      <c r="Q290" s="20">
        <v>1.91</v>
      </c>
      <c r="R290" s="21">
        <v>0.31</v>
      </c>
      <c r="S290" s="22">
        <v>0.24</v>
      </c>
      <c r="T290" s="23">
        <v>3</v>
      </c>
      <c r="U290" s="23">
        <v>4</v>
      </c>
      <c r="V290" s="23">
        <v>4</v>
      </c>
      <c r="W290" s="23">
        <v>3</v>
      </c>
      <c r="X290" s="23">
        <v>4</v>
      </c>
      <c r="Y290" s="23">
        <v>2</v>
      </c>
      <c r="Z290" s="23">
        <v>3</v>
      </c>
      <c r="AA290" s="9">
        <v>1</v>
      </c>
      <c r="AB290" s="9">
        <v>2</v>
      </c>
      <c r="AC290" s="9">
        <v>2</v>
      </c>
      <c r="AD290" s="9">
        <v>1</v>
      </c>
      <c r="AE290" s="9">
        <v>2</v>
      </c>
      <c r="AF290" s="23">
        <v>2</v>
      </c>
      <c r="AG290" s="23">
        <v>3</v>
      </c>
      <c r="AH290" s="23">
        <v>4</v>
      </c>
      <c r="AI290" s="23">
        <v>4</v>
      </c>
      <c r="AL290" s="20"/>
    </row>
    <row r="291" spans="1:54" ht="15.75" customHeight="1" x14ac:dyDescent="0.2">
      <c r="A291" s="6" t="s">
        <v>818</v>
      </c>
      <c r="B291" s="6">
        <v>1976</v>
      </c>
      <c r="C291" s="6" t="s">
        <v>472</v>
      </c>
      <c r="D291" s="6" t="s">
        <v>472</v>
      </c>
      <c r="E291" s="43">
        <v>3.42</v>
      </c>
      <c r="F291" s="43">
        <v>9070</v>
      </c>
      <c r="G291" s="43">
        <v>85</v>
      </c>
      <c r="H291" s="20">
        <v>167549</v>
      </c>
      <c r="I291" s="270">
        <v>31538</v>
      </c>
      <c r="J291" s="20">
        <v>5192</v>
      </c>
      <c r="K291" s="20">
        <v>2548</v>
      </c>
      <c r="L291" s="20">
        <v>39086</v>
      </c>
      <c r="M291" s="20">
        <v>1.24</v>
      </c>
      <c r="N291" s="20">
        <v>12.4</v>
      </c>
      <c r="O291" s="20">
        <v>0.17</v>
      </c>
      <c r="P291" s="20">
        <v>3676</v>
      </c>
      <c r="Q291" s="20">
        <v>1.75</v>
      </c>
      <c r="R291" s="21">
        <v>0.3</v>
      </c>
      <c r="S291" s="22">
        <v>0.18</v>
      </c>
      <c r="T291" s="23">
        <v>2</v>
      </c>
      <c r="U291" s="23">
        <v>3</v>
      </c>
      <c r="V291" s="23">
        <v>4</v>
      </c>
      <c r="W291" s="23">
        <v>3</v>
      </c>
      <c r="X291" s="23">
        <v>4</v>
      </c>
      <c r="Y291" s="23">
        <v>2</v>
      </c>
      <c r="Z291" s="23">
        <v>3</v>
      </c>
      <c r="AA291" s="9">
        <v>1</v>
      </c>
      <c r="AB291" s="9">
        <v>2</v>
      </c>
      <c r="AC291" s="9">
        <v>3</v>
      </c>
      <c r="AD291" s="9">
        <v>1</v>
      </c>
      <c r="AE291" s="9">
        <v>2</v>
      </c>
      <c r="AF291" s="23">
        <v>1</v>
      </c>
      <c r="AG291" s="23">
        <v>3</v>
      </c>
      <c r="AH291" s="23">
        <v>4</v>
      </c>
      <c r="AI291" s="23">
        <v>4</v>
      </c>
      <c r="AL291" s="20"/>
    </row>
    <row r="292" spans="1:54" ht="15.75" customHeight="1" x14ac:dyDescent="0.2">
      <c r="A292" s="6" t="s">
        <v>819</v>
      </c>
      <c r="B292" s="6">
        <v>1879</v>
      </c>
      <c r="C292" s="6" t="s">
        <v>56</v>
      </c>
      <c r="D292" s="6" t="s">
        <v>56</v>
      </c>
      <c r="E292" s="43">
        <v>3.35</v>
      </c>
      <c r="F292" s="43">
        <v>350</v>
      </c>
      <c r="G292" s="43">
        <v>83</v>
      </c>
      <c r="H292" s="20">
        <v>116417</v>
      </c>
      <c r="I292" s="270">
        <v>21717</v>
      </c>
      <c r="J292" s="20">
        <v>3218</v>
      </c>
      <c r="K292" s="20">
        <v>1240</v>
      </c>
      <c r="L292" s="20">
        <v>27232</v>
      </c>
      <c r="M292" s="20">
        <v>1.25</v>
      </c>
      <c r="N292" s="20">
        <v>17.5</v>
      </c>
      <c r="O292" s="20">
        <v>0.15</v>
      </c>
      <c r="P292" s="20">
        <v>2419</v>
      </c>
      <c r="Q292" s="20">
        <v>2.27</v>
      </c>
      <c r="R292" s="21">
        <v>0.28000000000000003</v>
      </c>
      <c r="S292" s="22">
        <v>0.2</v>
      </c>
      <c r="T292" s="23">
        <v>2</v>
      </c>
      <c r="U292" s="23">
        <v>3</v>
      </c>
      <c r="V292" s="23">
        <v>4</v>
      </c>
      <c r="W292" s="23">
        <v>2</v>
      </c>
      <c r="X292" s="23">
        <v>3</v>
      </c>
      <c r="Y292" s="23">
        <v>2</v>
      </c>
      <c r="Z292" s="23">
        <v>3</v>
      </c>
      <c r="AA292" s="9">
        <v>1</v>
      </c>
      <c r="AB292" s="9">
        <v>2</v>
      </c>
      <c r="AC292" s="9">
        <v>4</v>
      </c>
      <c r="AD292" s="9">
        <v>1</v>
      </c>
      <c r="AE292" s="9">
        <v>2</v>
      </c>
      <c r="AF292" s="23">
        <v>1</v>
      </c>
      <c r="AG292" s="23">
        <v>2</v>
      </c>
      <c r="AH292" s="23">
        <v>3</v>
      </c>
      <c r="AI292" s="23">
        <v>3</v>
      </c>
      <c r="AL292" s="20"/>
    </row>
    <row r="293" spans="1:54" ht="15.75" customHeight="1" x14ac:dyDescent="0.2">
      <c r="A293" s="6" t="s">
        <v>820</v>
      </c>
      <c r="B293" s="6">
        <v>1856</v>
      </c>
      <c r="C293" s="6" t="s">
        <v>542</v>
      </c>
      <c r="D293" s="6" t="s">
        <v>542</v>
      </c>
      <c r="E293" s="43">
        <v>3.66</v>
      </c>
      <c r="F293" s="43">
        <v>1011</v>
      </c>
      <c r="G293" s="43">
        <v>82</v>
      </c>
      <c r="H293" s="20">
        <v>263730</v>
      </c>
      <c r="I293" s="270">
        <v>48228</v>
      </c>
      <c r="J293" s="20">
        <v>5751</v>
      </c>
      <c r="K293" s="20">
        <v>2432</v>
      </c>
      <c r="L293" s="20">
        <v>58968</v>
      </c>
      <c r="M293" s="20">
        <v>1.22</v>
      </c>
      <c r="N293" s="20">
        <v>19.8</v>
      </c>
      <c r="O293" s="20">
        <v>0.12</v>
      </c>
      <c r="P293" s="20">
        <v>4267</v>
      </c>
      <c r="Q293" s="20">
        <v>2.21</v>
      </c>
      <c r="R293" s="21">
        <v>0.28000000000000003</v>
      </c>
      <c r="S293" s="22">
        <v>0.16</v>
      </c>
      <c r="T293" s="23">
        <v>2</v>
      </c>
      <c r="U293" s="23">
        <v>3</v>
      </c>
      <c r="V293" s="23">
        <v>4</v>
      </c>
      <c r="W293" s="23">
        <v>2</v>
      </c>
      <c r="X293" s="23">
        <v>3</v>
      </c>
      <c r="Y293" s="23">
        <v>4</v>
      </c>
      <c r="Z293" s="23">
        <v>4</v>
      </c>
      <c r="AA293" s="9">
        <v>2</v>
      </c>
      <c r="AB293" s="9">
        <v>1</v>
      </c>
      <c r="AC293" s="9">
        <v>3</v>
      </c>
      <c r="AD293" s="9">
        <v>3</v>
      </c>
      <c r="AE293" s="9">
        <v>1</v>
      </c>
      <c r="AF293" s="23">
        <v>1</v>
      </c>
      <c r="AG293" s="23">
        <v>2</v>
      </c>
      <c r="AH293" s="23">
        <v>1</v>
      </c>
      <c r="AI293" s="23">
        <v>3</v>
      </c>
      <c r="AL293" s="20"/>
    </row>
    <row r="294" spans="1:54" ht="15.75" customHeight="1" x14ac:dyDescent="0.2">
      <c r="A294" s="6" t="s">
        <v>821</v>
      </c>
      <c r="B294" s="6">
        <v>1996</v>
      </c>
      <c r="C294" s="6" t="s">
        <v>522</v>
      </c>
      <c r="D294" s="6" t="s">
        <v>522</v>
      </c>
      <c r="E294" s="43">
        <v>4.51</v>
      </c>
      <c r="F294" s="43">
        <v>37191</v>
      </c>
      <c r="G294" s="43">
        <v>82</v>
      </c>
      <c r="H294" s="20">
        <v>100498</v>
      </c>
      <c r="I294" s="270">
        <v>19455</v>
      </c>
      <c r="J294" s="20">
        <v>3150</v>
      </c>
      <c r="K294" s="20">
        <v>1120</v>
      </c>
      <c r="L294" s="20">
        <v>23905</v>
      </c>
      <c r="M294" s="20">
        <v>1.23</v>
      </c>
      <c r="N294" s="20">
        <v>17.399999999999999</v>
      </c>
      <c r="O294" s="20">
        <v>0.16</v>
      </c>
      <c r="P294" s="20">
        <v>2252</v>
      </c>
      <c r="Q294" s="20">
        <v>2.11</v>
      </c>
      <c r="R294" s="21">
        <v>0.26</v>
      </c>
      <c r="S294" s="22">
        <v>0.18</v>
      </c>
      <c r="T294" s="23">
        <v>2</v>
      </c>
      <c r="U294" s="23">
        <v>3</v>
      </c>
      <c r="V294" s="23">
        <v>3</v>
      </c>
      <c r="W294" s="23">
        <v>1</v>
      </c>
      <c r="X294" s="23">
        <v>4</v>
      </c>
      <c r="Y294" s="23">
        <v>2</v>
      </c>
      <c r="Z294" s="23">
        <v>3</v>
      </c>
      <c r="AA294" s="9">
        <v>0</v>
      </c>
      <c r="AB294" s="9">
        <v>2</v>
      </c>
      <c r="AC294" s="9">
        <v>0</v>
      </c>
      <c r="AD294" s="9">
        <v>1</v>
      </c>
      <c r="AE294" s="9">
        <v>4</v>
      </c>
      <c r="AF294" s="23">
        <v>1</v>
      </c>
      <c r="AG294" s="23">
        <v>2</v>
      </c>
      <c r="AH294" s="23">
        <v>0</v>
      </c>
      <c r="AI294" s="23">
        <v>3</v>
      </c>
      <c r="AL294" s="20"/>
    </row>
    <row r="295" spans="1:54" ht="15.75" customHeight="1" x14ac:dyDescent="0.2">
      <c r="A295" s="6" t="s">
        <v>822</v>
      </c>
      <c r="B295" s="6">
        <v>2014</v>
      </c>
      <c r="C295" s="6" t="s">
        <v>371</v>
      </c>
      <c r="D295" s="6" t="s">
        <v>371</v>
      </c>
      <c r="E295" s="43">
        <v>4.25</v>
      </c>
      <c r="F295" s="43">
        <v>16</v>
      </c>
      <c r="G295" s="43">
        <v>81</v>
      </c>
      <c r="H295" s="20">
        <v>111256</v>
      </c>
      <c r="I295" s="270">
        <v>21009</v>
      </c>
      <c r="J295" s="20">
        <v>3632</v>
      </c>
      <c r="K295" s="20">
        <v>1762</v>
      </c>
      <c r="L295" s="20">
        <v>26478</v>
      </c>
      <c r="M295" s="20">
        <v>1.26</v>
      </c>
      <c r="N295" s="20">
        <v>11.9</v>
      </c>
      <c r="O295" s="20">
        <v>0.17</v>
      </c>
      <c r="P295" s="20">
        <v>2631</v>
      </c>
      <c r="Q295" s="20">
        <v>1.73</v>
      </c>
      <c r="R295" s="21">
        <v>0.28000000000000003</v>
      </c>
      <c r="S295" s="22">
        <v>0.18</v>
      </c>
      <c r="T295" s="23">
        <v>2</v>
      </c>
      <c r="U295" s="23">
        <v>3</v>
      </c>
      <c r="V295" s="23">
        <v>4</v>
      </c>
      <c r="W295" s="23">
        <v>2</v>
      </c>
      <c r="X295" s="23">
        <v>4</v>
      </c>
      <c r="Y295" s="23">
        <v>1</v>
      </c>
      <c r="Z295" s="23">
        <v>3</v>
      </c>
      <c r="AA295" s="9">
        <v>0</v>
      </c>
      <c r="AB295" s="9">
        <v>2</v>
      </c>
      <c r="AC295" s="9">
        <v>1</v>
      </c>
      <c r="AD295" s="9">
        <v>0</v>
      </c>
      <c r="AE295" s="9">
        <v>4</v>
      </c>
      <c r="AF295" s="23">
        <v>0</v>
      </c>
      <c r="AG295" s="23">
        <v>2</v>
      </c>
      <c r="AH295" s="23">
        <v>4</v>
      </c>
      <c r="AI295" s="23">
        <v>3</v>
      </c>
      <c r="AL295" s="20"/>
    </row>
    <row r="296" spans="1:54" ht="15.75" customHeight="1" x14ac:dyDescent="0.2">
      <c r="A296" s="6" t="s">
        <v>823</v>
      </c>
      <c r="B296" s="6">
        <v>2004</v>
      </c>
      <c r="C296" s="6" t="s">
        <v>380</v>
      </c>
      <c r="D296" s="6" t="s">
        <v>380</v>
      </c>
      <c r="E296" s="43">
        <v>3.87</v>
      </c>
      <c r="F296" s="43">
        <v>14860</v>
      </c>
      <c r="G296" s="43">
        <v>81</v>
      </c>
      <c r="H296" s="20">
        <v>17242</v>
      </c>
      <c r="I296" s="270">
        <v>3382</v>
      </c>
      <c r="J296" s="20">
        <v>932</v>
      </c>
      <c r="K296" s="20">
        <v>271</v>
      </c>
      <c r="L296" s="20">
        <v>4011</v>
      </c>
      <c r="M296" s="20">
        <v>1.19</v>
      </c>
      <c r="N296" s="20">
        <v>12.5</v>
      </c>
      <c r="O296" s="20">
        <v>0.28000000000000003</v>
      </c>
      <c r="P296" s="20">
        <v>681</v>
      </c>
      <c r="Q296" s="20">
        <v>1.7</v>
      </c>
      <c r="R296" s="21">
        <v>0.3</v>
      </c>
      <c r="S296" s="22">
        <v>0.19</v>
      </c>
      <c r="T296" s="23">
        <v>1</v>
      </c>
      <c r="U296" s="23">
        <v>2</v>
      </c>
      <c r="V296" s="23">
        <v>3</v>
      </c>
      <c r="W296" s="23">
        <v>1</v>
      </c>
      <c r="X296" s="23">
        <v>4</v>
      </c>
      <c r="Y296" s="23">
        <v>2</v>
      </c>
      <c r="Z296" s="23">
        <v>3</v>
      </c>
      <c r="AA296" s="9">
        <v>0</v>
      </c>
      <c r="AB296" s="9">
        <v>1</v>
      </c>
      <c r="AC296" s="9">
        <v>0</v>
      </c>
      <c r="AD296" s="9">
        <v>2</v>
      </c>
      <c r="AE296" s="9">
        <v>3</v>
      </c>
      <c r="AF296" s="23">
        <v>0</v>
      </c>
      <c r="AG296" s="23">
        <v>1</v>
      </c>
      <c r="AH296" s="23">
        <v>0</v>
      </c>
      <c r="AI296" s="23">
        <v>2</v>
      </c>
      <c r="AL296" s="20"/>
    </row>
    <row r="297" spans="1:54" ht="15.75" customHeight="1" x14ac:dyDescent="0.2">
      <c r="A297" s="28" t="s">
        <v>38</v>
      </c>
      <c r="B297" s="28">
        <v>2018</v>
      </c>
      <c r="C297" s="28" t="s">
        <v>39</v>
      </c>
      <c r="D297" s="6" t="s">
        <v>39</v>
      </c>
      <c r="E297" s="43">
        <v>4.1900000000000004</v>
      </c>
      <c r="F297" s="43">
        <v>4865</v>
      </c>
      <c r="G297" s="43">
        <v>81</v>
      </c>
      <c r="H297" s="20">
        <v>264949</v>
      </c>
      <c r="I297" s="270">
        <v>47954</v>
      </c>
      <c r="J297" s="20">
        <v>5578</v>
      </c>
      <c r="K297" s="20">
        <v>4483</v>
      </c>
      <c r="L297" s="20">
        <v>61147</v>
      </c>
      <c r="M297" s="20">
        <v>1.28</v>
      </c>
      <c r="N297" s="20">
        <v>10.7</v>
      </c>
      <c r="O297" s="20">
        <v>0.12</v>
      </c>
      <c r="P297" s="20">
        <v>4133</v>
      </c>
      <c r="Q297" s="20">
        <v>1.64</v>
      </c>
      <c r="R297" s="21">
        <v>0.26</v>
      </c>
      <c r="S297" s="22">
        <v>0.18</v>
      </c>
      <c r="T297" s="30">
        <v>3</v>
      </c>
      <c r="U297" s="30">
        <v>4</v>
      </c>
      <c r="V297" s="30">
        <v>4</v>
      </c>
      <c r="W297" s="30">
        <v>2</v>
      </c>
      <c r="X297" s="30">
        <v>3</v>
      </c>
      <c r="Y297" s="30">
        <v>1</v>
      </c>
      <c r="Z297" s="30">
        <v>3</v>
      </c>
      <c r="AA297" s="29">
        <v>2</v>
      </c>
      <c r="AB297" s="29">
        <v>1</v>
      </c>
      <c r="AC297" s="29">
        <v>4</v>
      </c>
      <c r="AD297" s="29">
        <v>1</v>
      </c>
      <c r="AE297" s="29">
        <v>2</v>
      </c>
      <c r="AF297" s="30">
        <v>2</v>
      </c>
      <c r="AG297" s="30">
        <v>3</v>
      </c>
      <c r="AH297" s="30">
        <v>4</v>
      </c>
      <c r="AI297" s="30">
        <v>4</v>
      </c>
      <c r="AJ297" s="28"/>
      <c r="AK297" s="28"/>
      <c r="AL297" s="292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</row>
    <row r="298" spans="1:54" ht="15.75" customHeight="1" x14ac:dyDescent="0.2">
      <c r="A298" s="6" t="s">
        <v>824</v>
      </c>
      <c r="B298" s="6">
        <v>1959</v>
      </c>
      <c r="C298" s="6" t="s">
        <v>442</v>
      </c>
      <c r="D298" s="6" t="s">
        <v>442</v>
      </c>
      <c r="E298" s="43">
        <v>3.48</v>
      </c>
      <c r="F298" s="43">
        <v>2620</v>
      </c>
      <c r="G298" s="43">
        <v>81</v>
      </c>
      <c r="H298" s="20">
        <v>154156</v>
      </c>
      <c r="I298" s="270">
        <v>27933</v>
      </c>
      <c r="J298" s="20">
        <v>4351</v>
      </c>
      <c r="K298" s="20">
        <v>2140</v>
      </c>
      <c r="L298" s="20">
        <v>36240</v>
      </c>
      <c r="M298" s="20">
        <v>1.3</v>
      </c>
      <c r="N298" s="20">
        <v>13.1</v>
      </c>
      <c r="O298" s="20">
        <v>0.16</v>
      </c>
      <c r="P298" s="20">
        <v>3291</v>
      </c>
      <c r="Q298" s="20">
        <v>1.66</v>
      </c>
      <c r="R298" s="21">
        <v>0.31</v>
      </c>
      <c r="S298" s="22">
        <v>0.18</v>
      </c>
      <c r="T298" s="23">
        <v>3</v>
      </c>
      <c r="U298" s="23">
        <v>4</v>
      </c>
      <c r="V298" s="23">
        <v>4</v>
      </c>
      <c r="W298" s="23">
        <v>3</v>
      </c>
      <c r="X298" s="23">
        <v>3</v>
      </c>
      <c r="Y298" s="23">
        <v>2</v>
      </c>
      <c r="Z298" s="23">
        <v>3</v>
      </c>
      <c r="AA298" s="9">
        <v>1</v>
      </c>
      <c r="AB298" s="9">
        <v>0</v>
      </c>
      <c r="AC298" s="9">
        <v>1</v>
      </c>
      <c r="AD298" s="9">
        <v>0</v>
      </c>
      <c r="AE298" s="9">
        <v>2</v>
      </c>
      <c r="AF298" s="23">
        <v>2</v>
      </c>
      <c r="AG298" s="23">
        <v>3</v>
      </c>
      <c r="AH298" s="23">
        <v>4</v>
      </c>
      <c r="AI298" s="23">
        <v>4</v>
      </c>
      <c r="AL298" s="20"/>
    </row>
    <row r="299" spans="1:54" ht="15.75" customHeight="1" x14ac:dyDescent="0.2">
      <c r="A299" s="6" t="s">
        <v>825</v>
      </c>
      <c r="B299" s="6">
        <v>2004</v>
      </c>
      <c r="C299" s="6" t="s">
        <v>400</v>
      </c>
      <c r="D299" s="6" t="s">
        <v>400</v>
      </c>
      <c r="E299" s="43">
        <v>3.54</v>
      </c>
      <c r="F299" s="43">
        <v>1524</v>
      </c>
      <c r="G299" s="43">
        <v>80</v>
      </c>
      <c r="H299" s="20">
        <v>332961</v>
      </c>
      <c r="I299" s="270">
        <v>61864</v>
      </c>
      <c r="J299" s="20">
        <v>7334</v>
      </c>
      <c r="K299" s="20">
        <v>4347</v>
      </c>
      <c r="L299" s="20">
        <v>76481</v>
      </c>
      <c r="M299" s="20">
        <v>1.24</v>
      </c>
      <c r="N299" s="20">
        <v>14.2</v>
      </c>
      <c r="O299" s="20">
        <v>0.12</v>
      </c>
      <c r="P299" s="20">
        <v>5201</v>
      </c>
      <c r="Q299" s="20">
        <v>1.87</v>
      </c>
      <c r="R299" s="21">
        <v>0.3</v>
      </c>
      <c r="S299" s="22">
        <v>0.15</v>
      </c>
      <c r="T299" s="23">
        <v>3</v>
      </c>
      <c r="U299" s="23">
        <v>4</v>
      </c>
      <c r="V299" s="23">
        <v>4</v>
      </c>
      <c r="W299" s="23">
        <v>3</v>
      </c>
      <c r="X299" s="23">
        <v>4</v>
      </c>
      <c r="Y299" s="23">
        <v>2</v>
      </c>
      <c r="Z299" s="23">
        <v>4</v>
      </c>
      <c r="AA299" s="9">
        <v>0</v>
      </c>
      <c r="AB299" s="9">
        <v>4</v>
      </c>
      <c r="AC299" s="9">
        <v>1</v>
      </c>
      <c r="AD299" s="9">
        <v>2</v>
      </c>
      <c r="AE299" s="9">
        <v>3</v>
      </c>
      <c r="AF299" s="23">
        <v>1</v>
      </c>
      <c r="AG299" s="23">
        <v>3</v>
      </c>
      <c r="AH299" s="23">
        <v>4</v>
      </c>
      <c r="AI299" s="23">
        <v>4</v>
      </c>
      <c r="AL299" s="20"/>
    </row>
    <row r="300" spans="1:54" ht="15.75" customHeight="1" x14ac:dyDescent="0.2">
      <c r="A300" s="6" t="s">
        <v>826</v>
      </c>
      <c r="B300" s="6">
        <v>1980</v>
      </c>
      <c r="C300" s="6" t="s">
        <v>413</v>
      </c>
      <c r="D300" s="6" t="s">
        <v>413</v>
      </c>
      <c r="E300" s="43">
        <v>3.93</v>
      </c>
      <c r="F300" s="43">
        <v>1478</v>
      </c>
      <c r="G300" s="43">
        <v>80</v>
      </c>
      <c r="H300" s="20">
        <v>317318</v>
      </c>
      <c r="I300" s="270">
        <v>59628</v>
      </c>
      <c r="J300" s="20">
        <v>6130</v>
      </c>
      <c r="K300" s="20">
        <v>4146</v>
      </c>
      <c r="L300" s="20">
        <v>71892</v>
      </c>
      <c r="M300" s="20">
        <v>1.21</v>
      </c>
      <c r="N300" s="20">
        <v>14.4</v>
      </c>
      <c r="O300" s="20">
        <v>0.1</v>
      </c>
      <c r="P300" s="20">
        <v>4319</v>
      </c>
      <c r="Q300" s="20">
        <v>1.81</v>
      </c>
      <c r="R300" s="21">
        <v>0.26</v>
      </c>
      <c r="S300" s="22">
        <v>0.13</v>
      </c>
      <c r="T300" s="23">
        <v>3</v>
      </c>
      <c r="U300" s="23">
        <v>2</v>
      </c>
      <c r="V300" s="23">
        <v>3</v>
      </c>
      <c r="W300" s="23">
        <v>2</v>
      </c>
      <c r="X300" s="23">
        <v>3</v>
      </c>
      <c r="Y300" s="23">
        <v>3</v>
      </c>
      <c r="Z300" s="23">
        <v>2</v>
      </c>
      <c r="AA300" s="9">
        <v>0</v>
      </c>
      <c r="AB300" s="9">
        <v>1</v>
      </c>
      <c r="AC300" s="9">
        <v>0</v>
      </c>
      <c r="AD300" s="9">
        <v>0</v>
      </c>
      <c r="AE300" s="9">
        <v>1</v>
      </c>
      <c r="AF300" s="23">
        <v>1</v>
      </c>
      <c r="AG300" s="23">
        <v>2</v>
      </c>
      <c r="AH300" s="23">
        <v>1</v>
      </c>
      <c r="AI300" s="23">
        <v>3</v>
      </c>
      <c r="AL300" s="20"/>
    </row>
    <row r="301" spans="1:54" ht="15.75" customHeight="1" x14ac:dyDescent="0.2">
      <c r="A301" s="6" t="s">
        <v>827</v>
      </c>
      <c r="B301" s="6">
        <v>1990</v>
      </c>
      <c r="C301" s="6" t="s">
        <v>405</v>
      </c>
      <c r="D301" s="6" t="s">
        <v>405</v>
      </c>
      <c r="E301" s="43">
        <v>3.62</v>
      </c>
      <c r="F301" s="43">
        <v>1039</v>
      </c>
      <c r="G301" s="43">
        <v>80</v>
      </c>
      <c r="H301" s="20">
        <v>326833</v>
      </c>
      <c r="I301" s="270">
        <v>60977</v>
      </c>
      <c r="J301" s="20">
        <v>6077</v>
      </c>
      <c r="K301" s="20">
        <v>4834</v>
      </c>
      <c r="L301" s="20">
        <v>75972</v>
      </c>
      <c r="M301" s="20">
        <v>1.25</v>
      </c>
      <c r="N301" s="20">
        <v>12.6</v>
      </c>
      <c r="O301" s="20">
        <v>0.1</v>
      </c>
      <c r="P301" s="20">
        <v>4413</v>
      </c>
      <c r="Q301" s="20">
        <v>1.74</v>
      </c>
      <c r="R301" s="21">
        <v>0.28999999999999998</v>
      </c>
      <c r="S301" s="22">
        <v>0.14000000000000001</v>
      </c>
      <c r="T301" s="23">
        <v>2</v>
      </c>
      <c r="U301" s="23">
        <v>3</v>
      </c>
      <c r="V301" s="23">
        <v>4</v>
      </c>
      <c r="W301" s="23">
        <v>3</v>
      </c>
      <c r="X301" s="23">
        <v>4</v>
      </c>
      <c r="Y301" s="23">
        <v>2</v>
      </c>
      <c r="Z301" s="23">
        <v>3</v>
      </c>
      <c r="AA301" s="9">
        <v>1</v>
      </c>
      <c r="AB301" s="9">
        <v>1</v>
      </c>
      <c r="AC301" s="9">
        <v>2</v>
      </c>
      <c r="AD301" s="9">
        <v>1</v>
      </c>
      <c r="AE301" s="9">
        <v>2</v>
      </c>
      <c r="AF301" s="23">
        <v>1</v>
      </c>
      <c r="AG301" s="23">
        <v>3</v>
      </c>
      <c r="AH301" s="23">
        <v>4</v>
      </c>
      <c r="AI301" s="23">
        <v>3</v>
      </c>
      <c r="AL301" s="20"/>
    </row>
    <row r="302" spans="1:54" ht="15.75" customHeight="1" x14ac:dyDescent="0.2">
      <c r="A302" s="6" t="s">
        <v>828</v>
      </c>
      <c r="B302" s="6">
        <v>1898</v>
      </c>
      <c r="C302" s="6" t="s">
        <v>365</v>
      </c>
      <c r="D302" s="6" t="s">
        <v>365</v>
      </c>
      <c r="E302" s="43">
        <v>3.59</v>
      </c>
      <c r="F302" s="43">
        <v>456</v>
      </c>
      <c r="G302" s="43">
        <v>79</v>
      </c>
      <c r="H302" s="20">
        <v>254944</v>
      </c>
      <c r="I302" s="270">
        <v>47260</v>
      </c>
      <c r="J302" s="20">
        <v>5618</v>
      </c>
      <c r="K302" s="20">
        <v>2816</v>
      </c>
      <c r="L302" s="20">
        <v>59239</v>
      </c>
      <c r="M302" s="20">
        <v>1.25</v>
      </c>
      <c r="N302" s="20">
        <v>16.8</v>
      </c>
      <c r="O302" s="20">
        <v>0.12</v>
      </c>
      <c r="P302" s="20">
        <v>3989</v>
      </c>
      <c r="Q302" s="20">
        <v>1.98</v>
      </c>
      <c r="R302" s="21">
        <v>0.27</v>
      </c>
      <c r="S302" s="22">
        <v>0.17</v>
      </c>
      <c r="T302" s="23">
        <v>3</v>
      </c>
      <c r="U302" s="23">
        <v>4</v>
      </c>
      <c r="V302" s="23">
        <v>4</v>
      </c>
      <c r="W302" s="23">
        <v>3</v>
      </c>
      <c r="X302" s="23">
        <v>3</v>
      </c>
      <c r="Y302" s="23">
        <v>2</v>
      </c>
      <c r="Z302" s="23">
        <v>3</v>
      </c>
      <c r="AA302" s="9">
        <v>1</v>
      </c>
      <c r="AB302" s="9">
        <v>1</v>
      </c>
      <c r="AC302" s="9">
        <v>2</v>
      </c>
      <c r="AD302" s="9">
        <v>1</v>
      </c>
      <c r="AE302" s="9">
        <v>2</v>
      </c>
      <c r="AF302" s="23">
        <v>1</v>
      </c>
      <c r="AG302" s="23">
        <v>3</v>
      </c>
      <c r="AH302" s="23">
        <v>3</v>
      </c>
      <c r="AI302" s="23">
        <v>3</v>
      </c>
      <c r="AL302" s="20"/>
    </row>
    <row r="303" spans="1:54" ht="15.75" customHeight="1" x14ac:dyDescent="0.2">
      <c r="A303" s="6" t="s">
        <v>829</v>
      </c>
      <c r="B303" s="6">
        <v>2018</v>
      </c>
      <c r="C303" s="6" t="s">
        <v>495</v>
      </c>
      <c r="D303" s="6" t="s">
        <v>495</v>
      </c>
      <c r="E303" s="43">
        <v>3.95</v>
      </c>
      <c r="F303" s="43">
        <v>6384</v>
      </c>
      <c r="G303" s="43">
        <v>79</v>
      </c>
      <c r="H303" s="20">
        <v>231066</v>
      </c>
      <c r="I303" s="270">
        <v>42488</v>
      </c>
      <c r="J303" s="20">
        <v>6042</v>
      </c>
      <c r="K303" s="20">
        <v>3693</v>
      </c>
      <c r="L303" s="20">
        <v>54152</v>
      </c>
      <c r="M303" s="20">
        <v>1.27</v>
      </c>
      <c r="N303" s="20">
        <v>11.5</v>
      </c>
      <c r="O303" s="20">
        <v>0.14000000000000001</v>
      </c>
      <c r="P303" s="20">
        <v>4320</v>
      </c>
      <c r="Q303" s="20">
        <v>1.68</v>
      </c>
      <c r="R303" s="21">
        <v>0.25</v>
      </c>
      <c r="S303" s="22">
        <v>0.13</v>
      </c>
      <c r="T303" s="23">
        <v>2</v>
      </c>
      <c r="U303" s="23">
        <v>3</v>
      </c>
      <c r="V303" s="23">
        <v>4</v>
      </c>
      <c r="W303" s="23">
        <v>2</v>
      </c>
      <c r="X303" s="23">
        <v>4</v>
      </c>
      <c r="Y303" s="23">
        <v>1</v>
      </c>
      <c r="Z303" s="23">
        <v>3</v>
      </c>
      <c r="AA303" s="9">
        <v>0</v>
      </c>
      <c r="AB303" s="9">
        <v>2</v>
      </c>
      <c r="AC303" s="9">
        <v>0</v>
      </c>
      <c r="AD303" s="9">
        <v>1</v>
      </c>
      <c r="AE303" s="9">
        <v>3</v>
      </c>
      <c r="AF303" s="23">
        <v>1</v>
      </c>
      <c r="AG303" s="23">
        <v>2</v>
      </c>
      <c r="AH303" s="23">
        <v>3</v>
      </c>
      <c r="AI303" s="23">
        <v>4</v>
      </c>
      <c r="AL303" s="20"/>
    </row>
    <row r="304" spans="1:54" ht="15.75" customHeight="1" x14ac:dyDescent="0.2">
      <c r="A304" s="6" t="s">
        <v>830</v>
      </c>
      <c r="B304" s="6">
        <v>1908</v>
      </c>
      <c r="C304" s="6" t="s">
        <v>457</v>
      </c>
      <c r="D304" s="6" t="s">
        <v>457</v>
      </c>
      <c r="E304" s="43">
        <v>3.87</v>
      </c>
      <c r="F304" s="43">
        <v>1555</v>
      </c>
      <c r="G304" s="43">
        <v>78</v>
      </c>
      <c r="H304" s="20">
        <v>173544</v>
      </c>
      <c r="I304" s="270">
        <v>31148</v>
      </c>
      <c r="J304" s="20">
        <v>4912</v>
      </c>
      <c r="K304" s="20">
        <v>2182</v>
      </c>
      <c r="L304" s="20">
        <v>39672</v>
      </c>
      <c r="M304" s="20">
        <v>1.27</v>
      </c>
      <c r="N304" s="20">
        <v>14.3</v>
      </c>
      <c r="O304" s="20">
        <v>0.16</v>
      </c>
      <c r="P304" s="20">
        <v>3740</v>
      </c>
      <c r="Q304" s="20">
        <v>1.71</v>
      </c>
      <c r="R304" s="21">
        <v>0.27</v>
      </c>
      <c r="S304" s="22">
        <v>0.27</v>
      </c>
      <c r="T304" s="23">
        <v>2</v>
      </c>
      <c r="U304" s="23">
        <v>3</v>
      </c>
      <c r="V304" s="23">
        <v>4</v>
      </c>
      <c r="W304" s="23">
        <v>2</v>
      </c>
      <c r="X304" s="23">
        <v>3</v>
      </c>
      <c r="Y304" s="23">
        <v>1</v>
      </c>
      <c r="Z304" s="23">
        <v>4</v>
      </c>
      <c r="AA304" s="9">
        <v>2</v>
      </c>
      <c r="AB304" s="9">
        <v>1</v>
      </c>
      <c r="AC304" s="9">
        <v>3</v>
      </c>
      <c r="AD304" s="9">
        <v>2</v>
      </c>
      <c r="AE304" s="9">
        <v>1</v>
      </c>
      <c r="AF304" s="23">
        <v>1</v>
      </c>
      <c r="AG304" s="23">
        <v>2</v>
      </c>
      <c r="AH304" s="23">
        <v>1</v>
      </c>
      <c r="AI304" s="23">
        <v>3</v>
      </c>
      <c r="AL304" s="20"/>
    </row>
    <row r="305" spans="1:38" ht="15.75" customHeight="1" x14ac:dyDescent="0.2">
      <c r="A305" s="6" t="s">
        <v>831</v>
      </c>
      <c r="B305" s="6">
        <v>2014</v>
      </c>
      <c r="C305" s="6" t="s">
        <v>832</v>
      </c>
      <c r="D305" s="6" t="s">
        <v>832</v>
      </c>
      <c r="E305" s="43">
        <v>3.75</v>
      </c>
      <c r="F305" s="43">
        <v>455</v>
      </c>
      <c r="G305" s="43">
        <v>78</v>
      </c>
      <c r="H305" s="20">
        <v>210681</v>
      </c>
      <c r="I305" s="270">
        <v>37887</v>
      </c>
      <c r="J305" s="20">
        <v>5405</v>
      </c>
      <c r="K305" s="20">
        <v>3808</v>
      </c>
      <c r="L305" s="20">
        <v>48151</v>
      </c>
      <c r="M305" s="20">
        <v>1.27</v>
      </c>
      <c r="N305" s="20">
        <v>9.9</v>
      </c>
      <c r="O305" s="20">
        <v>0.14000000000000001</v>
      </c>
      <c r="P305" s="20">
        <v>3912</v>
      </c>
      <c r="Q305" s="20">
        <v>1.5</v>
      </c>
      <c r="R305" s="21">
        <v>0.27</v>
      </c>
      <c r="S305" s="22">
        <v>0.27</v>
      </c>
      <c r="T305" s="23">
        <v>2</v>
      </c>
      <c r="U305" s="23">
        <v>3</v>
      </c>
      <c r="V305" s="23">
        <v>4</v>
      </c>
      <c r="W305" s="23">
        <v>2</v>
      </c>
      <c r="X305" s="23">
        <v>3</v>
      </c>
      <c r="Y305" s="23">
        <v>2</v>
      </c>
      <c r="Z305" s="23">
        <v>1</v>
      </c>
      <c r="AA305" s="9">
        <v>0</v>
      </c>
      <c r="AB305" s="9">
        <v>1</v>
      </c>
      <c r="AC305" s="9">
        <v>0</v>
      </c>
      <c r="AD305" s="9">
        <v>0</v>
      </c>
      <c r="AE305" s="9">
        <v>1</v>
      </c>
      <c r="AF305" s="23">
        <v>1</v>
      </c>
      <c r="AG305" s="23">
        <v>2</v>
      </c>
      <c r="AH305" s="23">
        <v>3</v>
      </c>
      <c r="AI305" s="23">
        <v>4</v>
      </c>
      <c r="AL305" s="20"/>
    </row>
    <row r="306" spans="1:38" ht="15.75" customHeight="1" x14ac:dyDescent="0.2">
      <c r="A306" s="6" t="s">
        <v>833</v>
      </c>
      <c r="B306" s="6">
        <v>1914</v>
      </c>
      <c r="C306" s="6" t="s">
        <v>358</v>
      </c>
      <c r="D306" s="6" t="s">
        <v>358</v>
      </c>
      <c r="E306" s="43">
        <v>3.51</v>
      </c>
      <c r="F306" s="43">
        <v>441</v>
      </c>
      <c r="G306" s="43">
        <v>77</v>
      </c>
      <c r="H306" s="20">
        <v>177426</v>
      </c>
      <c r="I306" s="270">
        <v>31950</v>
      </c>
      <c r="J306" s="20">
        <v>4455</v>
      </c>
      <c r="K306" s="20">
        <v>1790</v>
      </c>
      <c r="L306" s="20">
        <v>39491</v>
      </c>
      <c r="M306" s="20">
        <v>1.24</v>
      </c>
      <c r="N306" s="20">
        <v>17.8</v>
      </c>
      <c r="O306" s="20">
        <v>0.14000000000000001</v>
      </c>
      <c r="P306" s="20">
        <v>3388</v>
      </c>
      <c r="Q306" s="20">
        <v>2.12</v>
      </c>
      <c r="R306" s="21">
        <v>0.3</v>
      </c>
      <c r="S306" s="22">
        <v>0.3</v>
      </c>
      <c r="T306" s="23">
        <v>2</v>
      </c>
      <c r="U306" s="23">
        <v>1</v>
      </c>
      <c r="V306" s="23">
        <v>3</v>
      </c>
      <c r="W306" s="23">
        <v>1</v>
      </c>
      <c r="X306" s="23">
        <v>4</v>
      </c>
      <c r="Y306" s="23">
        <v>2</v>
      </c>
      <c r="Z306" s="23">
        <v>3</v>
      </c>
      <c r="AA306" s="9">
        <v>0</v>
      </c>
      <c r="AB306" s="9">
        <v>3</v>
      </c>
      <c r="AC306" s="9">
        <v>0</v>
      </c>
      <c r="AD306" s="9">
        <v>1</v>
      </c>
      <c r="AE306" s="9">
        <v>2</v>
      </c>
      <c r="AF306" s="23">
        <v>0</v>
      </c>
      <c r="AG306" s="23">
        <v>2</v>
      </c>
      <c r="AH306" s="23">
        <v>3</v>
      </c>
      <c r="AI306" s="23">
        <v>3</v>
      </c>
      <c r="AL306" s="20"/>
    </row>
    <row r="307" spans="1:38" ht="15.75" customHeight="1" x14ac:dyDescent="0.2">
      <c r="A307" s="6" t="s">
        <v>834</v>
      </c>
      <c r="B307" s="6">
        <v>2011</v>
      </c>
      <c r="C307" s="6" t="s">
        <v>835</v>
      </c>
      <c r="D307" s="6" t="s">
        <v>835</v>
      </c>
      <c r="E307" s="43">
        <v>3.49</v>
      </c>
      <c r="F307" s="43">
        <v>915</v>
      </c>
      <c r="G307" s="43">
        <v>77</v>
      </c>
      <c r="H307" s="20">
        <v>126959</v>
      </c>
      <c r="I307" s="270">
        <v>24305</v>
      </c>
      <c r="J307" s="20">
        <v>3246</v>
      </c>
      <c r="K307" s="20">
        <v>2010</v>
      </c>
      <c r="L307" s="20">
        <v>30540</v>
      </c>
      <c r="M307" s="20">
        <v>1.26</v>
      </c>
      <c r="N307" s="20">
        <v>12.1</v>
      </c>
      <c r="O307" s="20">
        <v>0.13</v>
      </c>
      <c r="P307" s="20">
        <v>2235</v>
      </c>
      <c r="Q307" s="20">
        <v>1.78</v>
      </c>
      <c r="R307" s="21">
        <v>0.28999999999999998</v>
      </c>
      <c r="S307" s="22">
        <v>0.28999999999999998</v>
      </c>
      <c r="T307" s="23">
        <v>3</v>
      </c>
      <c r="U307" s="23">
        <v>4</v>
      </c>
      <c r="V307" s="23">
        <v>4</v>
      </c>
      <c r="W307" s="23">
        <v>3</v>
      </c>
      <c r="X307" s="23">
        <v>4</v>
      </c>
      <c r="Y307" s="23">
        <v>2</v>
      </c>
      <c r="Z307" s="23">
        <v>4</v>
      </c>
      <c r="AA307" s="9">
        <v>1</v>
      </c>
      <c r="AB307" s="9">
        <v>0</v>
      </c>
      <c r="AC307" s="9">
        <v>0</v>
      </c>
      <c r="AD307" s="9">
        <v>2</v>
      </c>
      <c r="AE307" s="9">
        <v>3</v>
      </c>
      <c r="AF307" s="23">
        <v>1</v>
      </c>
      <c r="AG307" s="23">
        <v>3</v>
      </c>
      <c r="AH307" s="23">
        <v>4</v>
      </c>
      <c r="AI307" s="23">
        <v>4</v>
      </c>
      <c r="AL307" s="20"/>
    </row>
    <row r="308" spans="1:38" ht="15.75" customHeight="1" x14ac:dyDescent="0.2">
      <c r="A308" s="6" t="s">
        <v>836</v>
      </c>
      <c r="B308" s="6">
        <v>1991</v>
      </c>
      <c r="C308" s="6" t="s">
        <v>837</v>
      </c>
      <c r="D308" s="6" t="s">
        <v>837</v>
      </c>
      <c r="E308" s="43">
        <v>3.75</v>
      </c>
      <c r="F308" s="43">
        <v>2895</v>
      </c>
      <c r="G308" s="43">
        <v>77</v>
      </c>
      <c r="H308" s="20">
        <v>268731</v>
      </c>
      <c r="I308" s="270">
        <v>48459</v>
      </c>
      <c r="J308" s="20">
        <v>6498</v>
      </c>
      <c r="K308" s="20">
        <v>3138</v>
      </c>
      <c r="L308" s="20">
        <v>62769</v>
      </c>
      <c r="M308" s="20">
        <v>1.3</v>
      </c>
      <c r="N308" s="20">
        <v>15.4</v>
      </c>
      <c r="O308" s="20">
        <v>0.13</v>
      </c>
      <c r="P308" s="20">
        <v>4456</v>
      </c>
      <c r="Q308" s="20">
        <v>1.8</v>
      </c>
      <c r="R308" s="21">
        <v>0.33</v>
      </c>
      <c r="S308" s="22">
        <v>0.33</v>
      </c>
      <c r="T308" s="23">
        <v>3</v>
      </c>
      <c r="U308" s="23">
        <v>4</v>
      </c>
      <c r="V308" s="23">
        <v>4</v>
      </c>
      <c r="W308" s="23">
        <v>3</v>
      </c>
      <c r="X308" s="23">
        <v>4</v>
      </c>
      <c r="Y308" s="23">
        <v>2</v>
      </c>
      <c r="Z308" s="23">
        <v>4</v>
      </c>
      <c r="AA308" s="9">
        <v>0</v>
      </c>
      <c r="AB308" s="9">
        <v>2</v>
      </c>
      <c r="AC308" s="9">
        <v>1</v>
      </c>
      <c r="AD308" s="9">
        <v>0</v>
      </c>
      <c r="AE308" s="9">
        <v>3</v>
      </c>
      <c r="AF308" s="23">
        <v>1</v>
      </c>
      <c r="AG308" s="23">
        <v>3</v>
      </c>
      <c r="AH308" s="23">
        <v>4</v>
      </c>
      <c r="AI308" s="23">
        <v>4</v>
      </c>
      <c r="AL308" s="20"/>
    </row>
    <row r="309" spans="1:38" ht="15.75" customHeight="1" x14ac:dyDescent="0.2">
      <c r="A309" s="6" t="s">
        <v>838</v>
      </c>
      <c r="B309" s="6">
        <v>2008</v>
      </c>
      <c r="C309" s="6" t="s">
        <v>839</v>
      </c>
      <c r="D309" s="6" t="s">
        <v>839</v>
      </c>
      <c r="E309" s="43">
        <v>4.1399999999999997</v>
      </c>
      <c r="F309" s="43">
        <v>10533</v>
      </c>
      <c r="G309" s="43">
        <v>76</v>
      </c>
      <c r="H309" s="20">
        <v>63295</v>
      </c>
      <c r="I309" s="270">
        <v>12019</v>
      </c>
      <c r="J309" s="20">
        <v>2507</v>
      </c>
      <c r="K309" s="20">
        <v>917</v>
      </c>
      <c r="L309" s="20">
        <v>14808</v>
      </c>
      <c r="M309" s="20">
        <v>1.23</v>
      </c>
      <c r="N309" s="20">
        <v>13.1</v>
      </c>
      <c r="O309" s="20">
        <v>0.21</v>
      </c>
      <c r="P309" s="20">
        <v>1815</v>
      </c>
      <c r="Q309" s="20">
        <v>1.83</v>
      </c>
      <c r="R309" s="21">
        <v>0.27</v>
      </c>
      <c r="S309" s="22">
        <v>0.27</v>
      </c>
      <c r="T309" s="23">
        <v>2</v>
      </c>
      <c r="U309" s="23">
        <v>3</v>
      </c>
      <c r="V309" s="23">
        <v>3</v>
      </c>
      <c r="W309" s="23">
        <v>2</v>
      </c>
      <c r="X309" s="23">
        <v>4</v>
      </c>
      <c r="Y309" s="23">
        <v>1</v>
      </c>
      <c r="Z309" s="23">
        <v>3</v>
      </c>
      <c r="AA309" s="9">
        <v>0</v>
      </c>
      <c r="AB309" s="9">
        <v>3</v>
      </c>
      <c r="AC309" s="9">
        <v>1</v>
      </c>
      <c r="AD309" s="9">
        <v>0</v>
      </c>
      <c r="AE309" s="9">
        <v>2</v>
      </c>
      <c r="AF309" s="23">
        <v>2</v>
      </c>
      <c r="AG309" s="23">
        <v>3</v>
      </c>
      <c r="AH309" s="23">
        <v>1</v>
      </c>
      <c r="AI309" s="23">
        <v>4</v>
      </c>
      <c r="AL309" s="20"/>
    </row>
    <row r="310" spans="1:38" ht="15.75" customHeight="1" x14ac:dyDescent="0.2">
      <c r="A310" s="6" t="s">
        <v>840</v>
      </c>
      <c r="B310" s="6">
        <v>1922</v>
      </c>
      <c r="C310" s="6" t="s">
        <v>538</v>
      </c>
      <c r="D310" s="6" t="s">
        <v>538</v>
      </c>
      <c r="E310" s="43">
        <v>3.52</v>
      </c>
      <c r="F310" s="43">
        <v>12371</v>
      </c>
      <c r="G310" s="43">
        <v>76</v>
      </c>
      <c r="H310" s="20">
        <v>310445</v>
      </c>
      <c r="I310" s="270">
        <v>55732</v>
      </c>
      <c r="J310" s="20">
        <v>7339</v>
      </c>
      <c r="K310" s="20">
        <v>3718</v>
      </c>
      <c r="L310" s="20">
        <v>72337</v>
      </c>
      <c r="M310" s="20">
        <v>1.3</v>
      </c>
      <c r="N310" s="20">
        <v>15</v>
      </c>
      <c r="O310" s="20">
        <v>0.13</v>
      </c>
      <c r="P310" s="20">
        <v>4890</v>
      </c>
      <c r="Q310" s="20">
        <v>2.0499999999999998</v>
      </c>
      <c r="R310" s="21">
        <v>0.26</v>
      </c>
      <c r="S310" s="22">
        <v>0.26</v>
      </c>
      <c r="T310" s="23">
        <v>1</v>
      </c>
      <c r="U310" s="23">
        <v>2</v>
      </c>
      <c r="V310" s="23">
        <v>3</v>
      </c>
      <c r="W310" s="23">
        <v>2</v>
      </c>
      <c r="X310" s="23">
        <v>4</v>
      </c>
      <c r="Y310" s="23">
        <v>1</v>
      </c>
      <c r="Z310" s="23">
        <v>3</v>
      </c>
      <c r="AA310" s="9">
        <v>0</v>
      </c>
      <c r="AB310" s="9">
        <v>1</v>
      </c>
      <c r="AC310" s="9">
        <v>2</v>
      </c>
      <c r="AD310" s="9">
        <v>1</v>
      </c>
      <c r="AE310" s="9">
        <v>3</v>
      </c>
      <c r="AF310" s="23">
        <v>0</v>
      </c>
      <c r="AG310" s="23">
        <v>1</v>
      </c>
      <c r="AH310" s="23">
        <v>0</v>
      </c>
      <c r="AI310" s="23">
        <v>3</v>
      </c>
      <c r="AL310" s="20"/>
    </row>
    <row r="311" spans="1:38" ht="15.75" customHeight="1" x14ac:dyDescent="0.2">
      <c r="A311" s="6" t="s">
        <v>841</v>
      </c>
      <c r="B311" s="6">
        <v>2013</v>
      </c>
      <c r="C311" s="6" t="s">
        <v>842</v>
      </c>
      <c r="D311" s="6" t="s">
        <v>842</v>
      </c>
      <c r="E311" s="43">
        <v>3.96</v>
      </c>
      <c r="F311" s="43">
        <v>5074</v>
      </c>
      <c r="G311" s="43">
        <v>75</v>
      </c>
      <c r="H311" s="20">
        <v>183097</v>
      </c>
      <c r="I311" s="270">
        <v>33318</v>
      </c>
      <c r="J311" s="20">
        <v>6458</v>
      </c>
      <c r="K311" s="20">
        <v>2132</v>
      </c>
      <c r="L311" s="20">
        <v>42761</v>
      </c>
      <c r="M311" s="20">
        <v>1.28</v>
      </c>
      <c r="N311" s="20">
        <v>15.6</v>
      </c>
      <c r="O311" s="20">
        <v>0.19</v>
      </c>
      <c r="P311" s="20">
        <v>4604</v>
      </c>
      <c r="Q311" s="20">
        <v>1.92</v>
      </c>
      <c r="R311" s="21">
        <v>0.26</v>
      </c>
      <c r="S311" s="22">
        <v>0.26</v>
      </c>
      <c r="T311" s="23">
        <v>3</v>
      </c>
      <c r="U311" s="23">
        <v>4</v>
      </c>
      <c r="V311" s="23">
        <v>4</v>
      </c>
      <c r="W311" s="23">
        <v>2</v>
      </c>
      <c r="X311" s="23">
        <v>3</v>
      </c>
      <c r="Y311" s="23">
        <v>4</v>
      </c>
      <c r="Z311" s="23">
        <v>2</v>
      </c>
      <c r="AA311" s="9">
        <v>1</v>
      </c>
      <c r="AB311" s="9">
        <v>3</v>
      </c>
      <c r="AC311" s="9">
        <v>0</v>
      </c>
      <c r="AD311" s="9">
        <v>2</v>
      </c>
      <c r="AE311" s="9">
        <v>1</v>
      </c>
      <c r="AF311" s="23">
        <v>2</v>
      </c>
      <c r="AG311" s="23">
        <v>3</v>
      </c>
      <c r="AH311" s="23">
        <v>1</v>
      </c>
      <c r="AI311" s="23">
        <v>3</v>
      </c>
      <c r="AL311" s="20"/>
    </row>
    <row r="312" spans="1:38" ht="15.75" customHeight="1" x14ac:dyDescent="0.2">
      <c r="A312" s="6" t="s">
        <v>843</v>
      </c>
      <c r="B312" s="6">
        <v>2014</v>
      </c>
      <c r="C312" s="6" t="s">
        <v>481</v>
      </c>
      <c r="D312" s="6" t="s">
        <v>481</v>
      </c>
      <c r="E312" s="43">
        <v>3.55</v>
      </c>
      <c r="F312" s="43">
        <v>1652</v>
      </c>
      <c r="G312" s="43">
        <v>74</v>
      </c>
      <c r="H312" s="20">
        <v>219217</v>
      </c>
      <c r="I312" s="270">
        <v>38766</v>
      </c>
      <c r="J312" s="20">
        <v>5691</v>
      </c>
      <c r="K312" s="20">
        <v>3383</v>
      </c>
      <c r="L312" s="20">
        <v>49754</v>
      </c>
      <c r="M312" s="20">
        <v>1.28</v>
      </c>
      <c r="N312" s="20">
        <v>11.5</v>
      </c>
      <c r="O312" s="20">
        <v>0.15</v>
      </c>
      <c r="P312" s="20">
        <v>4036</v>
      </c>
      <c r="Q312" s="20">
        <v>1.61</v>
      </c>
      <c r="R312" s="21">
        <v>0.26</v>
      </c>
      <c r="S312" s="22">
        <v>0.26</v>
      </c>
      <c r="T312" s="23">
        <v>2</v>
      </c>
      <c r="U312" s="23">
        <v>3</v>
      </c>
      <c r="V312" s="23">
        <v>4</v>
      </c>
      <c r="W312" s="23">
        <v>3</v>
      </c>
      <c r="X312" s="23">
        <v>4</v>
      </c>
      <c r="Y312" s="23">
        <v>2</v>
      </c>
      <c r="Z312" s="23">
        <v>3</v>
      </c>
      <c r="AA312" s="9">
        <v>1</v>
      </c>
      <c r="AB312" s="9">
        <v>2</v>
      </c>
      <c r="AC312" s="9">
        <v>1</v>
      </c>
      <c r="AD312" s="9">
        <v>2</v>
      </c>
      <c r="AE312" s="9">
        <v>2</v>
      </c>
      <c r="AF312" s="23">
        <v>1</v>
      </c>
      <c r="AG312" s="23">
        <v>3</v>
      </c>
      <c r="AH312" s="23">
        <v>3</v>
      </c>
      <c r="AI312" s="23">
        <v>4</v>
      </c>
      <c r="AL312" s="20"/>
    </row>
    <row r="313" spans="1:38" ht="15.75" customHeight="1" x14ac:dyDescent="0.2">
      <c r="A313" s="6" t="s">
        <v>844</v>
      </c>
      <c r="B313" s="6">
        <v>1903</v>
      </c>
      <c r="C313" s="6" t="s">
        <v>416</v>
      </c>
      <c r="D313" s="6" t="s">
        <v>416</v>
      </c>
      <c r="E313" s="43">
        <v>3.51</v>
      </c>
      <c r="F313" s="43">
        <v>3046</v>
      </c>
      <c r="G313" s="43">
        <v>74</v>
      </c>
      <c r="H313" s="20">
        <v>21654</v>
      </c>
      <c r="I313" s="270">
        <v>4066</v>
      </c>
      <c r="J313" s="20">
        <v>1099</v>
      </c>
      <c r="K313" s="20">
        <v>269</v>
      </c>
      <c r="L313" s="20">
        <v>5291</v>
      </c>
      <c r="M313" s="20">
        <v>1.3</v>
      </c>
      <c r="N313" s="20">
        <v>15.1</v>
      </c>
      <c r="O313" s="20">
        <v>0.27</v>
      </c>
      <c r="P313" s="20">
        <v>827</v>
      </c>
      <c r="Q313" s="20">
        <v>1.78</v>
      </c>
      <c r="R313" s="21">
        <v>0.27</v>
      </c>
      <c r="S313" s="22">
        <v>0.27</v>
      </c>
      <c r="T313" s="23">
        <v>2</v>
      </c>
      <c r="U313" s="23">
        <v>3</v>
      </c>
      <c r="V313" s="23">
        <v>3</v>
      </c>
      <c r="W313" s="23">
        <v>1</v>
      </c>
      <c r="X313" s="23">
        <v>2</v>
      </c>
      <c r="Y313" s="23">
        <v>4</v>
      </c>
      <c r="Z313" s="23">
        <v>2</v>
      </c>
      <c r="AA313" s="9">
        <v>3</v>
      </c>
      <c r="AB313" s="9">
        <v>3</v>
      </c>
      <c r="AC313" s="9">
        <v>0</v>
      </c>
      <c r="AD313" s="9">
        <v>1</v>
      </c>
      <c r="AE313" s="9">
        <v>0</v>
      </c>
      <c r="AF313" s="23">
        <v>2</v>
      </c>
      <c r="AG313" s="23">
        <v>1</v>
      </c>
      <c r="AH313" s="23">
        <v>0</v>
      </c>
      <c r="AI313" s="23">
        <v>2</v>
      </c>
      <c r="AL313" s="20"/>
    </row>
    <row r="314" spans="1:38" ht="15.75" customHeight="1" x14ac:dyDescent="0.2">
      <c r="A314" s="6" t="s">
        <v>845</v>
      </c>
      <c r="B314" s="6">
        <v>2001</v>
      </c>
      <c r="C314" s="6" t="s">
        <v>396</v>
      </c>
      <c r="D314" s="6" t="s">
        <v>396</v>
      </c>
      <c r="E314" s="43">
        <v>3.28</v>
      </c>
      <c r="F314" s="43">
        <v>11741</v>
      </c>
      <c r="G314" s="43">
        <v>72</v>
      </c>
      <c r="H314" s="20">
        <v>139638</v>
      </c>
      <c r="I314" s="270">
        <v>26467</v>
      </c>
      <c r="J314" s="20">
        <v>4062</v>
      </c>
      <c r="K314" s="20">
        <v>1975</v>
      </c>
      <c r="L314" s="20">
        <v>31934</v>
      </c>
      <c r="M314" s="20">
        <v>1.21</v>
      </c>
      <c r="N314" s="20">
        <v>13.4</v>
      </c>
      <c r="O314" s="20">
        <v>0.15</v>
      </c>
      <c r="P314" s="20">
        <v>3073</v>
      </c>
      <c r="Q314" s="20">
        <v>1.74</v>
      </c>
      <c r="R314" s="21">
        <v>0.28999999999999998</v>
      </c>
      <c r="S314" s="22">
        <v>0.28999999999999998</v>
      </c>
      <c r="T314" s="23">
        <v>2</v>
      </c>
      <c r="U314" s="23">
        <v>3</v>
      </c>
      <c r="V314" s="23">
        <v>4</v>
      </c>
      <c r="W314" s="23">
        <v>3</v>
      </c>
      <c r="X314" s="23">
        <v>4</v>
      </c>
      <c r="Y314" s="23">
        <v>1</v>
      </c>
      <c r="Z314" s="23">
        <v>3</v>
      </c>
      <c r="AA314" s="9">
        <v>0</v>
      </c>
      <c r="AB314" s="9">
        <v>2</v>
      </c>
      <c r="AC314" s="9">
        <v>1</v>
      </c>
      <c r="AD314" s="9">
        <v>0</v>
      </c>
      <c r="AE314" s="9">
        <v>3</v>
      </c>
      <c r="AF314" s="23">
        <v>1</v>
      </c>
      <c r="AG314" s="23">
        <v>2</v>
      </c>
      <c r="AH314" s="23">
        <v>4</v>
      </c>
      <c r="AI314" s="23">
        <v>4</v>
      </c>
      <c r="AL314" s="20"/>
    </row>
    <row r="315" spans="1:38" ht="15.75" customHeight="1" x14ac:dyDescent="0.2">
      <c r="A315" s="6" t="s">
        <v>846</v>
      </c>
      <c r="B315" s="6">
        <v>2009</v>
      </c>
      <c r="C315" s="6" t="s">
        <v>847</v>
      </c>
      <c r="D315" s="6" t="s">
        <v>847</v>
      </c>
      <c r="E315" s="43">
        <v>3.63</v>
      </c>
      <c r="F315" s="43">
        <v>7530</v>
      </c>
      <c r="G315" s="43">
        <v>71</v>
      </c>
      <c r="H315" s="20">
        <v>143711</v>
      </c>
      <c r="I315" s="270">
        <v>26764</v>
      </c>
      <c r="J315" s="20">
        <v>3136</v>
      </c>
      <c r="K315" s="20">
        <v>2264</v>
      </c>
      <c r="L315" s="20">
        <v>35078</v>
      </c>
      <c r="M315" s="20">
        <v>1.31</v>
      </c>
      <c r="N315" s="20">
        <v>11.8</v>
      </c>
      <c r="O315" s="20">
        <v>0.12</v>
      </c>
      <c r="P315" s="20">
        <v>2199</v>
      </c>
      <c r="Q315" s="20">
        <v>1.84</v>
      </c>
      <c r="R315" s="21">
        <v>0.33</v>
      </c>
      <c r="S315" s="22">
        <v>0.33</v>
      </c>
      <c r="T315" s="23">
        <v>3</v>
      </c>
      <c r="U315" s="23">
        <v>4</v>
      </c>
      <c r="V315" s="23">
        <v>4</v>
      </c>
      <c r="W315" s="23">
        <v>3</v>
      </c>
      <c r="X315" s="23">
        <v>4</v>
      </c>
      <c r="Y315" s="23">
        <v>2</v>
      </c>
      <c r="Z315" s="23">
        <v>3</v>
      </c>
      <c r="AA315" s="9">
        <v>0</v>
      </c>
      <c r="AB315" s="9">
        <v>2</v>
      </c>
      <c r="AC315" s="9">
        <v>1</v>
      </c>
      <c r="AD315" s="9">
        <v>0</v>
      </c>
      <c r="AE315" s="9">
        <v>4</v>
      </c>
      <c r="AF315" s="23">
        <v>1</v>
      </c>
      <c r="AG315" s="23">
        <v>3</v>
      </c>
      <c r="AH315" s="23">
        <v>1</v>
      </c>
      <c r="AI315" s="23">
        <v>4</v>
      </c>
      <c r="AL315" s="20"/>
    </row>
    <row r="316" spans="1:38" ht="15.75" customHeight="1" x14ac:dyDescent="0.2">
      <c r="A316" s="6" t="s">
        <v>848</v>
      </c>
      <c r="B316" s="6">
        <v>2009</v>
      </c>
      <c r="C316" s="6" t="s">
        <v>496</v>
      </c>
      <c r="D316" s="6" t="s">
        <v>496</v>
      </c>
      <c r="E316" s="43">
        <v>3.27</v>
      </c>
      <c r="F316" s="43">
        <v>6677</v>
      </c>
      <c r="G316" s="43">
        <v>70</v>
      </c>
      <c r="H316" s="20">
        <v>156407</v>
      </c>
      <c r="I316" s="270">
        <v>30137</v>
      </c>
      <c r="J316" s="20">
        <v>3853</v>
      </c>
      <c r="K316" s="20">
        <v>2072</v>
      </c>
      <c r="L316" s="20">
        <v>36335</v>
      </c>
      <c r="M316" s="20">
        <v>1.21</v>
      </c>
      <c r="N316" s="20">
        <v>14.5</v>
      </c>
      <c r="O316" s="20">
        <v>0.13</v>
      </c>
      <c r="P316" s="20">
        <v>2865</v>
      </c>
      <c r="Q316" s="20">
        <v>2.0299999999999998</v>
      </c>
      <c r="R316" s="21">
        <v>0.3</v>
      </c>
      <c r="S316" s="22">
        <v>0.3</v>
      </c>
      <c r="T316" s="23">
        <v>2</v>
      </c>
      <c r="U316" s="23">
        <v>3</v>
      </c>
      <c r="V316" s="23">
        <v>4</v>
      </c>
      <c r="W316" s="23">
        <v>2</v>
      </c>
      <c r="X316" s="23">
        <v>3</v>
      </c>
      <c r="Y316" s="23">
        <v>1</v>
      </c>
      <c r="Z316" s="23">
        <v>4</v>
      </c>
      <c r="AA316" s="9">
        <v>0</v>
      </c>
      <c r="AB316" s="9">
        <v>1</v>
      </c>
      <c r="AC316" s="9">
        <v>2</v>
      </c>
      <c r="AD316" s="9">
        <v>1</v>
      </c>
      <c r="AE316" s="9">
        <v>4</v>
      </c>
      <c r="AF316" s="23">
        <v>0</v>
      </c>
      <c r="AG316" s="23">
        <v>2</v>
      </c>
      <c r="AH316" s="23">
        <v>1</v>
      </c>
      <c r="AI316" s="23">
        <v>3</v>
      </c>
      <c r="AL316" s="20"/>
    </row>
    <row r="317" spans="1:38" ht="15.75" customHeight="1" x14ac:dyDescent="0.2">
      <c r="A317" s="6" t="s">
        <v>849</v>
      </c>
      <c r="B317" s="6">
        <v>2011</v>
      </c>
      <c r="C317" s="6" t="s">
        <v>850</v>
      </c>
      <c r="D317" s="6" t="s">
        <v>850</v>
      </c>
      <c r="E317" s="43">
        <v>3.73</v>
      </c>
      <c r="F317" s="43">
        <v>2975</v>
      </c>
      <c r="G317" s="43">
        <v>70</v>
      </c>
      <c r="H317" s="20">
        <v>115223</v>
      </c>
      <c r="I317" s="270">
        <v>21166</v>
      </c>
      <c r="J317" s="20">
        <v>3435</v>
      </c>
      <c r="K317" s="20">
        <v>2153</v>
      </c>
      <c r="L317" s="20">
        <v>27551</v>
      </c>
      <c r="M317" s="20">
        <v>1.3</v>
      </c>
      <c r="N317" s="20">
        <v>9.8000000000000007</v>
      </c>
      <c r="O317" s="20">
        <v>0.16</v>
      </c>
      <c r="P317" s="20">
        <v>2500</v>
      </c>
      <c r="Q317" s="20">
        <v>1.5</v>
      </c>
      <c r="R317" s="21">
        <v>0.26</v>
      </c>
      <c r="S317" s="22">
        <v>0.26</v>
      </c>
      <c r="T317" s="23">
        <v>3</v>
      </c>
      <c r="U317" s="23">
        <v>4</v>
      </c>
      <c r="V317" s="23">
        <v>4</v>
      </c>
      <c r="W317" s="23">
        <v>3</v>
      </c>
      <c r="X317" s="23">
        <v>4</v>
      </c>
      <c r="Y317" s="23">
        <v>2</v>
      </c>
      <c r="Z317" s="23">
        <v>4</v>
      </c>
      <c r="AA317" s="9">
        <v>1</v>
      </c>
      <c r="AB317" s="9">
        <v>2</v>
      </c>
      <c r="AC317" s="9">
        <v>2</v>
      </c>
      <c r="AD317" s="9">
        <v>3</v>
      </c>
      <c r="AE317" s="9">
        <v>4</v>
      </c>
      <c r="AF317" s="23">
        <v>2</v>
      </c>
      <c r="AG317" s="23">
        <v>3</v>
      </c>
      <c r="AH317" s="23">
        <v>2</v>
      </c>
      <c r="AI317" s="23">
        <v>4</v>
      </c>
      <c r="AL317" s="20"/>
    </row>
    <row r="318" spans="1:38" ht="15.75" customHeight="1" x14ac:dyDescent="0.2">
      <c r="A318" s="6" t="s">
        <v>851</v>
      </c>
      <c r="B318" s="6">
        <v>2011</v>
      </c>
      <c r="C318" s="6" t="s">
        <v>385</v>
      </c>
      <c r="D318" s="6" t="s">
        <v>385</v>
      </c>
      <c r="E318" s="43">
        <v>3.74</v>
      </c>
      <c r="F318" s="43">
        <v>864</v>
      </c>
      <c r="G318" s="43">
        <v>69</v>
      </c>
      <c r="H318" s="20">
        <v>94666</v>
      </c>
      <c r="I318" s="270">
        <v>17960</v>
      </c>
      <c r="J318" s="20">
        <v>2577</v>
      </c>
      <c r="K318" s="20">
        <v>1456</v>
      </c>
      <c r="L318" s="20">
        <v>22646</v>
      </c>
      <c r="M318" s="20">
        <v>1.26</v>
      </c>
      <c r="N318" s="20">
        <v>12.3</v>
      </c>
      <c r="O318" s="20">
        <v>0.14000000000000001</v>
      </c>
      <c r="P318" s="20">
        <v>1724</v>
      </c>
      <c r="Q318" s="20">
        <v>2</v>
      </c>
      <c r="R318" s="21">
        <v>0.26</v>
      </c>
      <c r="S318" s="22">
        <v>0.26</v>
      </c>
      <c r="T318" s="23">
        <v>2</v>
      </c>
      <c r="U318" s="23">
        <v>3</v>
      </c>
      <c r="V318" s="23">
        <v>3</v>
      </c>
      <c r="W318" s="23">
        <v>2</v>
      </c>
      <c r="X318" s="23">
        <v>4</v>
      </c>
      <c r="Y318" s="23">
        <v>1</v>
      </c>
      <c r="Z318" s="23">
        <v>3</v>
      </c>
      <c r="AA318" s="9">
        <v>2</v>
      </c>
      <c r="AB318" s="9">
        <v>1</v>
      </c>
      <c r="AC318" s="9">
        <v>0</v>
      </c>
      <c r="AD318" s="9">
        <v>3</v>
      </c>
      <c r="AE318" s="9">
        <v>1</v>
      </c>
      <c r="AF318" s="23">
        <v>2</v>
      </c>
      <c r="AG318" s="23">
        <v>2</v>
      </c>
      <c r="AH318" s="23">
        <v>4</v>
      </c>
      <c r="AI318" s="23">
        <v>3</v>
      </c>
      <c r="AL318" s="20"/>
    </row>
    <row r="319" spans="1:38" ht="15.75" customHeight="1" x14ac:dyDescent="0.2">
      <c r="A319" s="6" t="s">
        <v>852</v>
      </c>
      <c r="B319" s="6">
        <v>1991</v>
      </c>
      <c r="C319" s="6" t="s">
        <v>853</v>
      </c>
      <c r="D319" s="6" t="s">
        <v>853</v>
      </c>
      <c r="E319" s="43">
        <v>3.72</v>
      </c>
      <c r="F319" s="43">
        <v>1383</v>
      </c>
      <c r="G319" s="43">
        <v>69</v>
      </c>
      <c r="H319" s="20">
        <v>219674</v>
      </c>
      <c r="I319" s="270">
        <v>43510</v>
      </c>
      <c r="J319" s="20">
        <v>4521</v>
      </c>
      <c r="K319" s="20">
        <v>1773</v>
      </c>
      <c r="L319" s="20">
        <v>49791</v>
      </c>
      <c r="M319" s="20">
        <v>1.1399999999999999</v>
      </c>
      <c r="N319" s="20">
        <v>24.5</v>
      </c>
      <c r="O319" s="20">
        <v>0.1</v>
      </c>
      <c r="P319" s="20">
        <v>3133</v>
      </c>
      <c r="Q319" s="20">
        <v>2.82</v>
      </c>
      <c r="R319" s="21">
        <v>0.3</v>
      </c>
      <c r="S319" s="22">
        <v>0.3</v>
      </c>
      <c r="T319" s="23">
        <v>2</v>
      </c>
      <c r="U319" s="23">
        <v>3</v>
      </c>
      <c r="V319" s="23">
        <v>4</v>
      </c>
      <c r="W319" s="23">
        <v>2</v>
      </c>
      <c r="X319" s="23">
        <v>4</v>
      </c>
      <c r="Y319" s="23">
        <v>1</v>
      </c>
      <c r="Z319" s="23">
        <v>3</v>
      </c>
      <c r="AA319" s="9">
        <v>0</v>
      </c>
      <c r="AB319" s="9">
        <v>1</v>
      </c>
      <c r="AC319" s="9">
        <v>0</v>
      </c>
      <c r="AD319" s="9">
        <v>2</v>
      </c>
      <c r="AE319" s="9">
        <v>4</v>
      </c>
      <c r="AF319" s="23">
        <v>1</v>
      </c>
      <c r="AG319" s="23">
        <v>3</v>
      </c>
      <c r="AH319" s="23">
        <v>0</v>
      </c>
      <c r="AI319" s="23">
        <v>3</v>
      </c>
      <c r="AL319" s="20"/>
    </row>
    <row r="320" spans="1:38" ht="15.75" customHeight="1" x14ac:dyDescent="0.2">
      <c r="A320" s="6" t="s">
        <v>854</v>
      </c>
      <c r="B320" s="6">
        <v>1943</v>
      </c>
      <c r="C320" s="6" t="s">
        <v>855</v>
      </c>
      <c r="D320" s="6" t="s">
        <v>855</v>
      </c>
      <c r="E320" s="43">
        <v>3.73</v>
      </c>
      <c r="F320" s="43">
        <v>56</v>
      </c>
      <c r="G320" s="43">
        <v>67</v>
      </c>
      <c r="H320" s="20">
        <v>172918</v>
      </c>
      <c r="I320" s="270">
        <v>32901</v>
      </c>
      <c r="J320" s="20">
        <v>4147</v>
      </c>
      <c r="K320" s="20">
        <v>2313</v>
      </c>
      <c r="L320" s="20">
        <v>40316</v>
      </c>
      <c r="M320" s="20">
        <v>1.23</v>
      </c>
      <c r="N320" s="20">
        <v>14.2</v>
      </c>
      <c r="O320" s="20">
        <v>0.13</v>
      </c>
      <c r="P320" s="20">
        <v>2905</v>
      </c>
      <c r="Q320" s="20">
        <v>1.8</v>
      </c>
      <c r="R320" s="21">
        <v>0.27</v>
      </c>
      <c r="S320" s="22">
        <v>0.27</v>
      </c>
      <c r="T320" s="23">
        <v>3</v>
      </c>
      <c r="U320" s="23">
        <v>4</v>
      </c>
      <c r="V320" s="23">
        <v>4</v>
      </c>
      <c r="W320" s="23">
        <v>3</v>
      </c>
      <c r="X320" s="23">
        <v>4</v>
      </c>
      <c r="Y320" s="23">
        <v>2</v>
      </c>
      <c r="Z320" s="23">
        <v>4</v>
      </c>
      <c r="AA320" s="9">
        <v>2</v>
      </c>
      <c r="AB320" s="9">
        <v>1</v>
      </c>
      <c r="AC320" s="9">
        <v>3</v>
      </c>
      <c r="AD320" s="9">
        <v>2</v>
      </c>
      <c r="AE320" s="9">
        <v>1</v>
      </c>
      <c r="AF320" s="23">
        <v>2</v>
      </c>
      <c r="AG320" s="23">
        <v>3</v>
      </c>
      <c r="AH320" s="23">
        <v>1</v>
      </c>
      <c r="AI320" s="23">
        <v>4</v>
      </c>
      <c r="AL320" s="20"/>
    </row>
    <row r="321" spans="1:38" ht="15.75" customHeight="1" x14ac:dyDescent="0.2">
      <c r="A321" s="6" t="s">
        <v>856</v>
      </c>
      <c r="B321" s="6">
        <v>2013</v>
      </c>
      <c r="C321" s="6" t="s">
        <v>857</v>
      </c>
      <c r="D321" s="6" t="s">
        <v>857</v>
      </c>
      <c r="E321" s="43">
        <v>3.89</v>
      </c>
      <c r="F321" s="43">
        <v>132</v>
      </c>
      <c r="G321" s="43">
        <v>64</v>
      </c>
      <c r="H321" s="20">
        <v>141844</v>
      </c>
      <c r="I321" s="270">
        <v>25543</v>
      </c>
      <c r="J321" s="20">
        <v>4341</v>
      </c>
      <c r="K321" s="20">
        <v>2214</v>
      </c>
      <c r="L321" s="20">
        <v>33245</v>
      </c>
      <c r="M321" s="20">
        <v>1.3</v>
      </c>
      <c r="N321" s="20">
        <v>11.5</v>
      </c>
      <c r="O321" s="20">
        <v>0.17</v>
      </c>
      <c r="P321" s="20">
        <v>3155</v>
      </c>
      <c r="Q321" s="20">
        <v>1.63</v>
      </c>
      <c r="R321" s="21">
        <v>0.28000000000000003</v>
      </c>
      <c r="S321" s="22">
        <v>0.28000000000000003</v>
      </c>
      <c r="T321" s="23">
        <v>3</v>
      </c>
      <c r="U321" s="23">
        <v>4</v>
      </c>
      <c r="V321" s="23">
        <v>4</v>
      </c>
      <c r="W321" s="23">
        <v>3</v>
      </c>
      <c r="X321" s="23">
        <v>4</v>
      </c>
      <c r="Y321" s="23">
        <v>2</v>
      </c>
      <c r="Z321" s="23">
        <v>3</v>
      </c>
      <c r="AA321" s="9">
        <v>1</v>
      </c>
      <c r="AB321" s="9">
        <v>2</v>
      </c>
      <c r="AC321" s="9">
        <v>3</v>
      </c>
      <c r="AD321" s="9">
        <v>1</v>
      </c>
      <c r="AE321" s="9">
        <v>2</v>
      </c>
      <c r="AF321" s="23">
        <v>1</v>
      </c>
      <c r="AG321" s="23">
        <v>3</v>
      </c>
      <c r="AH321" s="23">
        <v>2</v>
      </c>
      <c r="AI321" s="23">
        <v>4</v>
      </c>
      <c r="AL321" s="20"/>
    </row>
    <row r="322" spans="1:38" ht="15.75" customHeight="1" x14ac:dyDescent="0.2">
      <c r="A322" s="6" t="s">
        <v>858</v>
      </c>
      <c r="B322" s="6">
        <v>1970</v>
      </c>
      <c r="C322" s="6" t="s">
        <v>859</v>
      </c>
      <c r="D322" s="6" t="s">
        <v>859</v>
      </c>
      <c r="E322" s="43">
        <v>4.2</v>
      </c>
      <c r="F322" s="43">
        <v>107</v>
      </c>
      <c r="G322" s="43">
        <v>63</v>
      </c>
      <c r="H322" s="20">
        <v>498690</v>
      </c>
      <c r="I322" s="270">
        <v>91139</v>
      </c>
      <c r="J322" s="20">
        <v>8249</v>
      </c>
      <c r="K322" s="20">
        <v>7476</v>
      </c>
      <c r="L322" s="20">
        <v>113904</v>
      </c>
      <c r="M322" s="20">
        <v>1.25</v>
      </c>
      <c r="N322" s="20">
        <v>12.2</v>
      </c>
      <c r="O322" s="20">
        <v>0.09</v>
      </c>
      <c r="P322" s="20">
        <v>5936</v>
      </c>
      <c r="Q322" s="20">
        <v>1.71</v>
      </c>
      <c r="R322" s="21">
        <v>0.3</v>
      </c>
      <c r="S322" s="22">
        <v>0.3</v>
      </c>
      <c r="T322" s="23">
        <v>2</v>
      </c>
      <c r="U322" s="23">
        <v>3</v>
      </c>
      <c r="V322" s="23">
        <v>3</v>
      </c>
      <c r="W322" s="23">
        <v>2</v>
      </c>
      <c r="X322" s="23">
        <v>4</v>
      </c>
      <c r="Y322" s="23">
        <v>2</v>
      </c>
      <c r="Z322" s="23">
        <v>3</v>
      </c>
      <c r="AA322" s="9">
        <v>0</v>
      </c>
      <c r="AB322" s="9">
        <v>4</v>
      </c>
      <c r="AC322" s="9">
        <v>1</v>
      </c>
      <c r="AD322" s="9">
        <v>2</v>
      </c>
      <c r="AE322" s="9">
        <v>3</v>
      </c>
      <c r="AF322" s="23">
        <v>1</v>
      </c>
      <c r="AG322" s="23">
        <v>2</v>
      </c>
      <c r="AH322" s="23">
        <v>0</v>
      </c>
      <c r="AI322" s="23">
        <v>3</v>
      </c>
      <c r="AL322" s="20"/>
    </row>
    <row r="323" spans="1:38" ht="15.75" customHeight="1" x14ac:dyDescent="0.2">
      <c r="A323" s="6" t="s">
        <v>860</v>
      </c>
      <c r="B323" s="6">
        <v>1908</v>
      </c>
      <c r="C323" s="6" t="s">
        <v>434</v>
      </c>
      <c r="D323" s="6" t="s">
        <v>434</v>
      </c>
      <c r="E323" s="43">
        <v>3.78</v>
      </c>
      <c r="F323" s="43">
        <v>11346</v>
      </c>
      <c r="G323" s="43">
        <v>63</v>
      </c>
      <c r="H323" s="20">
        <v>421665</v>
      </c>
      <c r="I323" s="270">
        <v>76616</v>
      </c>
      <c r="J323" s="20">
        <v>7703</v>
      </c>
      <c r="K323" s="20">
        <v>5411</v>
      </c>
      <c r="L323" s="20">
        <v>94081</v>
      </c>
      <c r="M323" s="20">
        <v>1.23</v>
      </c>
      <c r="N323" s="20">
        <v>14.2</v>
      </c>
      <c r="O323" s="20">
        <v>0.1</v>
      </c>
      <c r="P323" s="20">
        <v>5385</v>
      </c>
      <c r="Q323" s="20">
        <v>1.66</v>
      </c>
      <c r="R323" s="21">
        <v>0.31</v>
      </c>
      <c r="S323" s="22">
        <v>0.31</v>
      </c>
      <c r="T323" s="23">
        <v>2</v>
      </c>
      <c r="U323" s="23">
        <v>3</v>
      </c>
      <c r="V323" s="23">
        <v>4</v>
      </c>
      <c r="W323" s="23">
        <v>2</v>
      </c>
      <c r="X323" s="23">
        <v>3</v>
      </c>
      <c r="Y323" s="23">
        <v>2</v>
      </c>
      <c r="Z323" s="23">
        <v>4</v>
      </c>
      <c r="AA323" s="9">
        <v>0</v>
      </c>
      <c r="AB323" s="9">
        <v>1</v>
      </c>
      <c r="AC323" s="9">
        <v>1</v>
      </c>
      <c r="AD323" s="9">
        <v>2</v>
      </c>
      <c r="AE323" s="9">
        <v>3</v>
      </c>
      <c r="AF323" s="23">
        <v>1</v>
      </c>
      <c r="AG323" s="23">
        <v>2</v>
      </c>
      <c r="AH323" s="23">
        <v>3</v>
      </c>
      <c r="AI323" s="23">
        <v>3</v>
      </c>
      <c r="AL323" s="20"/>
    </row>
    <row r="324" spans="1:38" ht="15.75" customHeight="1" x14ac:dyDescent="0.2">
      <c r="A324" s="6" t="s">
        <v>861</v>
      </c>
      <c r="B324" s="6">
        <v>1924</v>
      </c>
      <c r="C324" s="6" t="s">
        <v>399</v>
      </c>
      <c r="D324" s="6" t="s">
        <v>399</v>
      </c>
      <c r="E324" s="43">
        <v>4.04</v>
      </c>
      <c r="F324" s="43">
        <v>2310</v>
      </c>
      <c r="G324" s="43">
        <v>58</v>
      </c>
      <c r="H324" s="20">
        <v>437033</v>
      </c>
      <c r="I324" s="270">
        <v>80034</v>
      </c>
      <c r="J324" s="20">
        <v>8342</v>
      </c>
      <c r="K324" s="20">
        <v>5045</v>
      </c>
      <c r="L324" s="20">
        <v>101820</v>
      </c>
      <c r="M324" s="20">
        <v>1.27</v>
      </c>
      <c r="N324" s="20">
        <v>15.9</v>
      </c>
      <c r="O324" s="20">
        <v>0.1</v>
      </c>
      <c r="P324" s="20">
        <v>5950</v>
      </c>
      <c r="Q324" s="20">
        <v>2.11</v>
      </c>
      <c r="R324" s="21">
        <v>0.28000000000000003</v>
      </c>
      <c r="S324" s="22">
        <v>0.28000000000000003</v>
      </c>
      <c r="T324" s="23">
        <v>2</v>
      </c>
      <c r="U324" s="23">
        <v>3</v>
      </c>
      <c r="V324" s="23">
        <v>3</v>
      </c>
      <c r="W324" s="23">
        <v>1</v>
      </c>
      <c r="X324" s="23">
        <v>4</v>
      </c>
      <c r="Y324" s="23">
        <v>2</v>
      </c>
      <c r="Z324" s="23">
        <v>4</v>
      </c>
      <c r="AA324" s="9">
        <v>1</v>
      </c>
      <c r="AB324" s="9">
        <v>2</v>
      </c>
      <c r="AC324" s="9">
        <v>3</v>
      </c>
      <c r="AD324" s="9">
        <v>2</v>
      </c>
      <c r="AE324" s="9">
        <v>3</v>
      </c>
      <c r="AF324" s="23">
        <v>1</v>
      </c>
      <c r="AG324" s="23">
        <v>3</v>
      </c>
      <c r="AH324" s="23">
        <v>4</v>
      </c>
      <c r="AI324" s="23">
        <v>3</v>
      </c>
      <c r="AL324" s="20"/>
    </row>
    <row r="325" spans="1:38" ht="15.75" customHeight="1" x14ac:dyDescent="0.2">
      <c r="A325" s="6" t="s">
        <v>862</v>
      </c>
      <c r="B325" s="6">
        <v>1966</v>
      </c>
      <c r="C325" s="6" t="s">
        <v>435</v>
      </c>
      <c r="D325" s="6" t="s">
        <v>435</v>
      </c>
      <c r="E325" s="43">
        <v>3.74</v>
      </c>
      <c r="F325" s="43">
        <v>1328</v>
      </c>
      <c r="G325" s="43">
        <v>57</v>
      </c>
      <c r="H325" s="20">
        <v>124562</v>
      </c>
      <c r="I325" s="270">
        <v>21320</v>
      </c>
      <c r="J325" s="20">
        <v>4405</v>
      </c>
      <c r="K325" s="20">
        <v>1872</v>
      </c>
      <c r="L325" s="20">
        <v>29022</v>
      </c>
      <c r="M325" s="20">
        <v>1.36</v>
      </c>
      <c r="N325" s="20">
        <v>11.4</v>
      </c>
      <c r="O325" s="20">
        <v>0.21</v>
      </c>
      <c r="P325" s="20">
        <v>3333</v>
      </c>
      <c r="Q325" s="20">
        <v>1.61</v>
      </c>
      <c r="R325" s="21">
        <v>0.26</v>
      </c>
      <c r="S325" s="22">
        <v>0.26</v>
      </c>
      <c r="T325" s="23">
        <v>3</v>
      </c>
      <c r="U325" s="23">
        <v>4</v>
      </c>
      <c r="V325" s="23">
        <v>4</v>
      </c>
      <c r="W325" s="23">
        <v>3</v>
      </c>
      <c r="X325" s="23">
        <v>4</v>
      </c>
      <c r="Y325" s="23">
        <v>2</v>
      </c>
      <c r="Z325" s="23">
        <v>3</v>
      </c>
      <c r="AA325" s="9">
        <v>1</v>
      </c>
      <c r="AB325" s="9">
        <v>2</v>
      </c>
      <c r="AC325" s="9">
        <v>1</v>
      </c>
      <c r="AD325" s="9">
        <v>3</v>
      </c>
      <c r="AE325" s="9">
        <v>4</v>
      </c>
      <c r="AF325" s="23">
        <v>2</v>
      </c>
      <c r="AG325" s="23">
        <v>3</v>
      </c>
      <c r="AH325" s="23">
        <v>2</v>
      </c>
      <c r="AI325" s="23">
        <v>4</v>
      </c>
      <c r="AL325" s="20"/>
    </row>
    <row r="326" spans="1:38" ht="15.75" customHeight="1" x14ac:dyDescent="0.2">
      <c r="A326" s="6" t="s">
        <v>863</v>
      </c>
      <c r="B326" s="6">
        <v>1990</v>
      </c>
      <c r="C326" s="6" t="s">
        <v>493</v>
      </c>
      <c r="D326" s="6" t="s">
        <v>493</v>
      </c>
      <c r="E326" s="43">
        <v>3.85</v>
      </c>
      <c r="F326" s="43">
        <v>2206</v>
      </c>
      <c r="G326" s="43">
        <v>56</v>
      </c>
      <c r="H326" s="20">
        <v>16012</v>
      </c>
      <c r="I326" s="270">
        <v>3126</v>
      </c>
      <c r="J326" s="20">
        <v>862</v>
      </c>
      <c r="K326" s="20">
        <v>193</v>
      </c>
      <c r="L326" s="20">
        <v>3731</v>
      </c>
      <c r="M326" s="20">
        <v>1.19</v>
      </c>
      <c r="N326" s="20">
        <v>16.2</v>
      </c>
      <c r="O326" s="20">
        <v>0.28000000000000003</v>
      </c>
      <c r="P326" s="20">
        <v>587</v>
      </c>
      <c r="Q326" s="20">
        <v>2.06</v>
      </c>
      <c r="R326" s="21">
        <v>0.32</v>
      </c>
      <c r="S326" s="22">
        <v>0.32</v>
      </c>
      <c r="T326" s="23">
        <v>1</v>
      </c>
      <c r="U326" s="23">
        <v>2</v>
      </c>
      <c r="V326" s="23">
        <v>3</v>
      </c>
      <c r="W326" s="23">
        <v>1</v>
      </c>
      <c r="X326" s="23">
        <v>3</v>
      </c>
      <c r="Y326" s="23">
        <v>4</v>
      </c>
      <c r="Z326" s="23">
        <v>2</v>
      </c>
      <c r="AA326" s="9">
        <v>1</v>
      </c>
      <c r="AB326" s="9">
        <v>2</v>
      </c>
      <c r="AC326" s="9">
        <v>0</v>
      </c>
      <c r="AD326" s="9">
        <v>2</v>
      </c>
      <c r="AE326" s="9">
        <v>1</v>
      </c>
      <c r="AF326" s="23">
        <v>1</v>
      </c>
      <c r="AG326" s="23">
        <v>1</v>
      </c>
      <c r="AH326" s="23">
        <v>0</v>
      </c>
      <c r="AI326" s="23">
        <v>2</v>
      </c>
      <c r="AL326" s="20"/>
    </row>
    <row r="327" spans="1:38" ht="15.75" customHeight="1" x14ac:dyDescent="0.2">
      <c r="A327" s="6" t="s">
        <v>864</v>
      </c>
      <c r="B327" s="6">
        <v>2002</v>
      </c>
      <c r="C327" s="6" t="s">
        <v>865</v>
      </c>
      <c r="D327" s="6" t="s">
        <v>865</v>
      </c>
      <c r="E327" s="43">
        <v>3.24</v>
      </c>
      <c r="F327" s="43">
        <v>297</v>
      </c>
      <c r="G327" s="43">
        <v>49</v>
      </c>
      <c r="H327" s="20">
        <v>153693</v>
      </c>
      <c r="I327" s="270">
        <v>27229</v>
      </c>
      <c r="J327" s="20">
        <v>4968</v>
      </c>
      <c r="K327" s="20">
        <v>1683</v>
      </c>
      <c r="L327" s="20">
        <v>34781</v>
      </c>
      <c r="M327" s="20">
        <v>1.28</v>
      </c>
      <c r="N327" s="20">
        <v>16.2</v>
      </c>
      <c r="O327" s="20">
        <v>0.18</v>
      </c>
      <c r="P327" s="20">
        <v>3649</v>
      </c>
      <c r="Q327" s="20">
        <v>2.25</v>
      </c>
      <c r="R327" s="21">
        <v>0.25</v>
      </c>
      <c r="S327" s="22">
        <v>0.25</v>
      </c>
      <c r="T327" s="23">
        <v>2</v>
      </c>
      <c r="U327" s="23">
        <v>3</v>
      </c>
      <c r="V327" s="23">
        <v>4</v>
      </c>
      <c r="W327" s="23">
        <v>1</v>
      </c>
      <c r="X327" s="23">
        <v>4</v>
      </c>
      <c r="Y327" s="23">
        <v>2</v>
      </c>
      <c r="Z327" s="23">
        <v>3</v>
      </c>
      <c r="AA327" s="9">
        <v>0</v>
      </c>
      <c r="AB327" s="9">
        <v>1</v>
      </c>
      <c r="AC327" s="9">
        <v>1</v>
      </c>
      <c r="AD327" s="9">
        <v>2</v>
      </c>
      <c r="AE327" s="9">
        <v>3</v>
      </c>
      <c r="AF327" s="23">
        <v>1</v>
      </c>
      <c r="AG327" s="23">
        <v>2</v>
      </c>
      <c r="AH327" s="23">
        <v>4</v>
      </c>
      <c r="AI327" s="23">
        <v>3</v>
      </c>
      <c r="AL327" s="20"/>
    </row>
    <row r="328" spans="1:38" ht="15.75" customHeight="1" x14ac:dyDescent="0.2">
      <c r="A328" s="6" t="s">
        <v>866</v>
      </c>
      <c r="B328" s="6">
        <v>2002</v>
      </c>
      <c r="C328" s="6" t="s">
        <v>865</v>
      </c>
      <c r="D328" s="6" t="s">
        <v>865</v>
      </c>
      <c r="E328" s="43">
        <v>3.34</v>
      </c>
      <c r="F328" s="43">
        <v>1362</v>
      </c>
      <c r="G328" s="43">
        <v>48</v>
      </c>
      <c r="H328" s="20">
        <v>204970</v>
      </c>
      <c r="I328" s="270">
        <v>37335</v>
      </c>
      <c r="J328" s="20">
        <v>6207</v>
      </c>
      <c r="K328" s="20">
        <v>2692</v>
      </c>
      <c r="L328" s="20">
        <v>48076</v>
      </c>
      <c r="M328" s="20">
        <v>1.29</v>
      </c>
      <c r="N328" s="20">
        <v>13.9</v>
      </c>
      <c r="O328" s="20">
        <v>0.17</v>
      </c>
      <c r="P328" s="20">
        <v>4533</v>
      </c>
      <c r="Q328" s="20">
        <v>1.96</v>
      </c>
      <c r="R328" s="21">
        <v>0.27</v>
      </c>
      <c r="S328" s="22">
        <v>0.27</v>
      </c>
      <c r="T328" s="23">
        <v>2</v>
      </c>
      <c r="U328" s="23">
        <v>3</v>
      </c>
      <c r="V328" s="23">
        <v>3</v>
      </c>
      <c r="W328" s="23">
        <v>2</v>
      </c>
      <c r="X328" s="23">
        <v>4</v>
      </c>
      <c r="Y328" s="23">
        <v>1</v>
      </c>
      <c r="Z328" s="23">
        <v>3</v>
      </c>
      <c r="AA328" s="9">
        <v>1</v>
      </c>
      <c r="AB328" s="9">
        <v>3</v>
      </c>
      <c r="AC328" s="9">
        <v>2</v>
      </c>
      <c r="AD328" s="9">
        <v>1</v>
      </c>
      <c r="AE328" s="9">
        <v>2</v>
      </c>
      <c r="AF328" s="23">
        <v>1</v>
      </c>
      <c r="AG328" s="23">
        <v>3</v>
      </c>
      <c r="AH328" s="23">
        <v>4</v>
      </c>
      <c r="AI328" s="23">
        <v>3</v>
      </c>
      <c r="AL328" s="20"/>
    </row>
    <row r="329" spans="1:38" ht="15.75" customHeight="1" x14ac:dyDescent="0.2">
      <c r="A329" s="6" t="s">
        <v>867</v>
      </c>
      <c r="B329" s="6">
        <v>2000</v>
      </c>
      <c r="C329" s="6" t="s">
        <v>868</v>
      </c>
      <c r="D329" s="6" t="s">
        <v>868</v>
      </c>
      <c r="E329" s="43">
        <v>3.87</v>
      </c>
      <c r="F329" s="43">
        <v>2078</v>
      </c>
      <c r="G329" s="43">
        <v>45</v>
      </c>
      <c r="H329" s="20">
        <v>110471</v>
      </c>
      <c r="I329" s="270">
        <v>21739</v>
      </c>
      <c r="J329" s="20">
        <v>2559</v>
      </c>
      <c r="K329" s="20">
        <v>1442</v>
      </c>
      <c r="L329" s="20">
        <v>26096</v>
      </c>
      <c r="M329" s="20">
        <v>1.2</v>
      </c>
      <c r="N329" s="20">
        <v>15.1</v>
      </c>
      <c r="O329" s="20">
        <v>0.12</v>
      </c>
      <c r="P329" s="20">
        <v>1711</v>
      </c>
      <c r="Q329" s="20">
        <v>2.04</v>
      </c>
      <c r="R329" s="21">
        <v>0.28999999999999998</v>
      </c>
      <c r="S329" s="22">
        <v>0.28999999999999998</v>
      </c>
      <c r="T329" s="23">
        <v>2</v>
      </c>
      <c r="U329" s="23">
        <v>3</v>
      </c>
      <c r="V329" s="23">
        <v>4</v>
      </c>
      <c r="W329" s="23">
        <v>2</v>
      </c>
      <c r="X329" s="23">
        <v>4</v>
      </c>
      <c r="Y329" s="23">
        <v>3</v>
      </c>
      <c r="Z329" s="23">
        <v>3</v>
      </c>
      <c r="AA329" s="9">
        <v>1</v>
      </c>
      <c r="AB329" s="9">
        <v>2</v>
      </c>
      <c r="AC329" s="9">
        <v>0</v>
      </c>
      <c r="AD329" s="9">
        <v>2</v>
      </c>
      <c r="AE329" s="9">
        <v>4</v>
      </c>
      <c r="AF329" s="23">
        <v>1</v>
      </c>
      <c r="AG329" s="23">
        <v>3</v>
      </c>
      <c r="AH329" s="23">
        <v>3</v>
      </c>
      <c r="AI329" s="23">
        <v>3</v>
      </c>
      <c r="AL329" s="20"/>
    </row>
    <row r="330" spans="1:38" ht="15.75" customHeight="1" x14ac:dyDescent="0.2">
      <c r="A330" s="6" t="s">
        <v>869</v>
      </c>
      <c r="B330" s="6">
        <v>1975</v>
      </c>
      <c r="C330" s="6" t="s">
        <v>870</v>
      </c>
      <c r="D330" s="6" t="s">
        <v>870</v>
      </c>
      <c r="E330" s="43">
        <v>4.03</v>
      </c>
      <c r="F330" s="43">
        <v>2182</v>
      </c>
      <c r="G330" s="43">
        <v>44</v>
      </c>
      <c r="H330" s="20">
        <v>66219</v>
      </c>
      <c r="I330" s="270">
        <v>12496</v>
      </c>
      <c r="J330" s="20">
        <v>2187</v>
      </c>
      <c r="K330" s="20">
        <v>901</v>
      </c>
      <c r="L330" s="20">
        <v>15407</v>
      </c>
      <c r="M330" s="20">
        <v>1.23</v>
      </c>
      <c r="N330" s="20">
        <v>13.9</v>
      </c>
      <c r="O330" s="20">
        <v>0.18</v>
      </c>
      <c r="P330" s="20">
        <v>1601</v>
      </c>
      <c r="Q330" s="20">
        <v>1.74</v>
      </c>
      <c r="R330" s="21">
        <v>0.28000000000000003</v>
      </c>
      <c r="S330" s="22">
        <v>0.28000000000000003</v>
      </c>
      <c r="T330" s="23">
        <v>2</v>
      </c>
      <c r="U330" s="23">
        <v>3</v>
      </c>
      <c r="V330" s="23">
        <v>4</v>
      </c>
      <c r="W330" s="23">
        <v>2</v>
      </c>
      <c r="X330" s="23">
        <v>4</v>
      </c>
      <c r="Y330" s="23">
        <v>3</v>
      </c>
      <c r="Z330" s="23">
        <v>3</v>
      </c>
      <c r="AA330" s="9">
        <v>0</v>
      </c>
      <c r="AB330" s="9">
        <v>1</v>
      </c>
      <c r="AC330" s="9">
        <v>2</v>
      </c>
      <c r="AD330" s="9">
        <v>0</v>
      </c>
      <c r="AE330" s="9">
        <v>4</v>
      </c>
      <c r="AF330" s="23">
        <v>1</v>
      </c>
      <c r="AG330" s="23">
        <v>2</v>
      </c>
      <c r="AH330" s="23">
        <v>3</v>
      </c>
      <c r="AI330" s="23">
        <v>3</v>
      </c>
      <c r="AL330" s="20"/>
    </row>
    <row r="331" spans="1:38" ht="15.75" customHeight="1" x14ac:dyDescent="0.2">
      <c r="A331" s="6" t="s">
        <v>871</v>
      </c>
      <c r="B331" s="6">
        <v>1980</v>
      </c>
      <c r="C331" s="6" t="s">
        <v>872</v>
      </c>
      <c r="D331" s="6" t="s">
        <v>872</v>
      </c>
      <c r="E331" s="43">
        <v>3.9</v>
      </c>
      <c r="F331" s="43">
        <v>13008</v>
      </c>
      <c r="G331" s="43">
        <v>43</v>
      </c>
      <c r="H331" s="20">
        <v>217961</v>
      </c>
      <c r="I331" s="270">
        <v>42257</v>
      </c>
      <c r="J331" s="20">
        <v>4738</v>
      </c>
      <c r="K331" s="20">
        <v>2210</v>
      </c>
      <c r="L331" s="20">
        <v>49022</v>
      </c>
      <c r="M331" s="20">
        <v>1.1599999999999999</v>
      </c>
      <c r="N331" s="20">
        <v>19.100000000000001</v>
      </c>
      <c r="O331" s="20">
        <v>0.11</v>
      </c>
      <c r="P331" s="20">
        <v>3301</v>
      </c>
      <c r="Q331" s="20">
        <v>2.25</v>
      </c>
      <c r="R331" s="21">
        <v>0.28999999999999998</v>
      </c>
      <c r="S331" s="22">
        <v>0.28999999999999998</v>
      </c>
      <c r="T331" s="23">
        <v>3</v>
      </c>
      <c r="U331" s="23">
        <v>4</v>
      </c>
      <c r="V331" s="23">
        <v>4</v>
      </c>
      <c r="W331" s="23">
        <v>2</v>
      </c>
      <c r="X331" s="23">
        <v>4</v>
      </c>
      <c r="Y331" s="23">
        <v>3</v>
      </c>
      <c r="Z331" s="23">
        <v>4</v>
      </c>
      <c r="AA331" s="9">
        <v>0</v>
      </c>
      <c r="AB331" s="9">
        <v>2</v>
      </c>
      <c r="AC331" s="9">
        <v>1</v>
      </c>
      <c r="AD331" s="9">
        <v>0</v>
      </c>
      <c r="AE331" s="9">
        <v>4</v>
      </c>
      <c r="AF331" s="23">
        <v>0</v>
      </c>
      <c r="AG331" s="23">
        <v>2</v>
      </c>
      <c r="AH331" s="23">
        <v>1</v>
      </c>
      <c r="AI331" s="23">
        <v>3</v>
      </c>
      <c r="AL331" s="20"/>
    </row>
    <row r="332" spans="1:38" ht="15.75" customHeight="1" x14ac:dyDescent="0.2">
      <c r="A332" s="6" t="s">
        <v>873</v>
      </c>
      <c r="B332" s="6">
        <v>1871</v>
      </c>
      <c r="C332" s="6" t="s">
        <v>443</v>
      </c>
      <c r="D332" s="6" t="s">
        <v>443</v>
      </c>
      <c r="E332" s="43">
        <v>3.45</v>
      </c>
      <c r="F332" s="43">
        <v>2096</v>
      </c>
      <c r="G332" s="43">
        <v>42</v>
      </c>
      <c r="H332" s="20">
        <v>98122</v>
      </c>
      <c r="I332" s="270">
        <v>18109</v>
      </c>
      <c r="J332" s="20">
        <v>2558</v>
      </c>
      <c r="K332" s="20">
        <v>826</v>
      </c>
      <c r="L332" s="20">
        <v>22115</v>
      </c>
      <c r="M332" s="20">
        <v>1.22</v>
      </c>
      <c r="N332" s="20">
        <v>21.9</v>
      </c>
      <c r="O332" s="20">
        <v>0.14000000000000001</v>
      </c>
      <c r="P332" s="20">
        <v>1836</v>
      </c>
      <c r="Q332" s="20">
        <v>2.62</v>
      </c>
      <c r="R332" s="21">
        <v>0.32</v>
      </c>
      <c r="S332" s="22">
        <v>0.32</v>
      </c>
      <c r="T332" s="23">
        <v>2</v>
      </c>
      <c r="U332" s="23">
        <v>3</v>
      </c>
      <c r="V332" s="23">
        <v>3</v>
      </c>
      <c r="W332" s="23">
        <v>1</v>
      </c>
      <c r="X332" s="23">
        <v>4</v>
      </c>
      <c r="Y332" s="23">
        <v>3</v>
      </c>
      <c r="Z332" s="23">
        <v>3</v>
      </c>
      <c r="AA332" s="9">
        <v>2</v>
      </c>
      <c r="AB332" s="9">
        <v>0</v>
      </c>
      <c r="AC332" s="9">
        <v>2</v>
      </c>
      <c r="AD332" s="9">
        <v>3</v>
      </c>
      <c r="AE332" s="9">
        <v>1</v>
      </c>
      <c r="AF332" s="23">
        <v>1</v>
      </c>
      <c r="AG332" s="23">
        <v>2</v>
      </c>
      <c r="AH332" s="23">
        <v>4</v>
      </c>
      <c r="AI332" s="23">
        <v>3</v>
      </c>
      <c r="AL332" s="20"/>
    </row>
    <row r="333" spans="1:38" ht="15.75" customHeight="1" x14ac:dyDescent="0.2">
      <c r="A333" s="6" t="s">
        <v>874</v>
      </c>
      <c r="B333" s="6">
        <v>1786</v>
      </c>
      <c r="C333" s="6" t="s">
        <v>875</v>
      </c>
      <c r="D333" s="6" t="s">
        <v>875</v>
      </c>
      <c r="E333" s="43">
        <v>3.25</v>
      </c>
      <c r="F333" s="43">
        <v>6878</v>
      </c>
      <c r="G333" s="43">
        <v>41</v>
      </c>
      <c r="H333" s="20">
        <v>211281</v>
      </c>
      <c r="I333" s="270">
        <v>36004</v>
      </c>
      <c r="J333" s="20">
        <v>5746</v>
      </c>
      <c r="K333" s="20">
        <v>1355</v>
      </c>
      <c r="L333" s="20">
        <v>48913</v>
      </c>
      <c r="M333" s="20">
        <v>1.36</v>
      </c>
      <c r="N333" s="20">
        <v>26.6</v>
      </c>
      <c r="O333" s="20">
        <v>0.16</v>
      </c>
      <c r="P333" s="20">
        <v>4187</v>
      </c>
      <c r="Q333" s="20">
        <v>2.5499999999999998</v>
      </c>
      <c r="R333" s="21">
        <v>0.34</v>
      </c>
      <c r="S333" s="22">
        <v>0.34</v>
      </c>
      <c r="T333" s="23">
        <v>3</v>
      </c>
      <c r="U333" s="23">
        <v>4</v>
      </c>
      <c r="V333" s="23">
        <v>4</v>
      </c>
      <c r="W333" s="23">
        <v>2</v>
      </c>
      <c r="X333" s="23">
        <v>3</v>
      </c>
      <c r="Y333" s="23">
        <v>1</v>
      </c>
      <c r="Z333" s="23">
        <v>4</v>
      </c>
      <c r="AA333" s="9">
        <v>0</v>
      </c>
      <c r="AB333" s="9">
        <v>1</v>
      </c>
      <c r="AC333" s="9">
        <v>2</v>
      </c>
      <c r="AD333" s="9">
        <v>3</v>
      </c>
      <c r="AE333" s="9">
        <v>4</v>
      </c>
      <c r="AF333" s="23">
        <v>0</v>
      </c>
      <c r="AG333" s="23">
        <v>2</v>
      </c>
      <c r="AH333" s="23">
        <v>1</v>
      </c>
      <c r="AI333" s="23">
        <v>2</v>
      </c>
      <c r="AL333" s="20"/>
    </row>
    <row r="334" spans="1:38" ht="15.75" customHeight="1" x14ac:dyDescent="0.2">
      <c r="A334" s="6" t="s">
        <v>876</v>
      </c>
      <c r="B334" s="6">
        <v>1977</v>
      </c>
      <c r="C334" s="6" t="s">
        <v>877</v>
      </c>
      <c r="D334" s="6" t="s">
        <v>877</v>
      </c>
      <c r="E334" s="43">
        <v>3.74</v>
      </c>
      <c r="F334" s="43">
        <v>2040</v>
      </c>
      <c r="G334" s="43">
        <v>40</v>
      </c>
      <c r="H334" s="20">
        <v>197736</v>
      </c>
      <c r="I334" s="270">
        <v>35947</v>
      </c>
      <c r="J334" s="20">
        <v>5261</v>
      </c>
      <c r="K334" s="20">
        <v>1636</v>
      </c>
      <c r="L334" s="20">
        <v>42284</v>
      </c>
      <c r="M334" s="20">
        <v>1.18</v>
      </c>
      <c r="N334" s="20">
        <v>22</v>
      </c>
      <c r="O334" s="20">
        <v>0.15</v>
      </c>
      <c r="P334" s="20">
        <v>4084</v>
      </c>
      <c r="Q334" s="20">
        <v>2.61</v>
      </c>
      <c r="R334" s="21">
        <v>0.35</v>
      </c>
      <c r="S334" s="22">
        <v>0.35</v>
      </c>
      <c r="T334" s="23">
        <v>2</v>
      </c>
      <c r="U334" s="23">
        <v>3</v>
      </c>
      <c r="V334" s="23">
        <v>4</v>
      </c>
      <c r="W334" s="23">
        <v>1</v>
      </c>
      <c r="X334" s="23">
        <v>4</v>
      </c>
      <c r="Y334" s="23">
        <v>2</v>
      </c>
      <c r="Z334" s="23">
        <v>3</v>
      </c>
      <c r="AA334" s="9">
        <v>0</v>
      </c>
      <c r="AB334" s="9">
        <v>1</v>
      </c>
      <c r="AC334" s="9">
        <v>0</v>
      </c>
      <c r="AD334" s="9">
        <v>2</v>
      </c>
      <c r="AE334" s="9">
        <v>3</v>
      </c>
      <c r="AF334" s="23">
        <v>0</v>
      </c>
      <c r="AG334" s="23">
        <v>1</v>
      </c>
      <c r="AH334" s="23">
        <v>2</v>
      </c>
      <c r="AI334" s="23">
        <v>3</v>
      </c>
      <c r="AL334" s="20"/>
    </row>
    <row r="335" spans="1:38" ht="15.75" customHeight="1" x14ac:dyDescent="0.2">
      <c r="E335" s="43"/>
      <c r="F335" s="43"/>
      <c r="G335" s="43"/>
      <c r="I335" s="115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L335" s="20"/>
    </row>
    <row r="336" spans="1:38" ht="15.75" customHeight="1" x14ac:dyDescent="0.2">
      <c r="A336" s="6" t="s">
        <v>103</v>
      </c>
      <c r="E336" s="43"/>
      <c r="F336" s="43"/>
      <c r="G336" s="43"/>
      <c r="I336" s="115"/>
      <c r="R336" s="43">
        <f>TTEST(R2:R334,S2:S334, 2,1)</f>
        <v>4.7109696758591797E-114</v>
      </c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L336" s="20"/>
    </row>
    <row r="337" spans="1:38" ht="15.75" customHeight="1" x14ac:dyDescent="0.2">
      <c r="A337" s="6" t="s">
        <v>102</v>
      </c>
      <c r="E337" s="43"/>
      <c r="F337" s="43"/>
      <c r="G337" s="43"/>
      <c r="H337" s="20">
        <f t="shared" ref="H337:AI337" si="0">AVERAGE(H2:H334)</f>
        <v>218000.46546546547</v>
      </c>
      <c r="I337" s="270">
        <f t="shared" si="0"/>
        <v>40885.072072072071</v>
      </c>
      <c r="J337" s="20">
        <f t="shared" si="0"/>
        <v>4773.0240240240237</v>
      </c>
      <c r="K337" s="20">
        <f t="shared" si="0"/>
        <v>2936.5285285285286</v>
      </c>
      <c r="L337" s="20">
        <f t="shared" si="0"/>
        <v>50922.546546546546</v>
      </c>
      <c r="M337" s="20">
        <f t="shared" si="0"/>
        <v>1.2471471471471469</v>
      </c>
      <c r="N337" s="20">
        <f t="shared" si="0"/>
        <v>15.235435435435429</v>
      </c>
      <c r="O337" s="20">
        <f t="shared" si="0"/>
        <v>0.13369369369369363</v>
      </c>
      <c r="P337" s="20">
        <f t="shared" si="0"/>
        <v>3379.1291291291291</v>
      </c>
      <c r="Q337" s="20">
        <f t="shared" si="0"/>
        <v>1.9574774774774768</v>
      </c>
      <c r="R337" s="20">
        <f t="shared" si="0"/>
        <v>0.29078078078078101</v>
      </c>
      <c r="S337" s="20">
        <f t="shared" si="0"/>
        <v>0.20480480480480481</v>
      </c>
      <c r="T337" s="20">
        <f t="shared" si="0"/>
        <v>2.3453453453453452</v>
      </c>
      <c r="U337" s="21">
        <f t="shared" si="0"/>
        <v>3.3063063063063063</v>
      </c>
      <c r="V337" s="21">
        <f t="shared" si="0"/>
        <v>3.7837837837837838</v>
      </c>
      <c r="W337" s="20">
        <f t="shared" si="0"/>
        <v>2.0360360360360361</v>
      </c>
      <c r="X337" s="21">
        <f t="shared" si="0"/>
        <v>3.5075075075075075</v>
      </c>
      <c r="Y337" s="20">
        <f t="shared" si="0"/>
        <v>2.0360360360360361</v>
      </c>
      <c r="Z337" s="21">
        <f t="shared" si="0"/>
        <v>3.1921921921921923</v>
      </c>
      <c r="AA337" s="293">
        <f t="shared" si="0"/>
        <v>0.66666666666666663</v>
      </c>
      <c r="AB337" s="293">
        <f t="shared" si="0"/>
        <v>1.6996996996996998</v>
      </c>
      <c r="AC337" s="293">
        <f t="shared" si="0"/>
        <v>1.2792792792792793</v>
      </c>
      <c r="AD337" s="293">
        <f t="shared" si="0"/>
        <v>1.5435435435435436</v>
      </c>
      <c r="AE337" s="293">
        <f t="shared" si="0"/>
        <v>2.6696696696696698</v>
      </c>
      <c r="AF337" s="20">
        <f t="shared" si="0"/>
        <v>1.0180180180180181</v>
      </c>
      <c r="AG337" s="20">
        <f t="shared" si="0"/>
        <v>2.2912912912912913</v>
      </c>
      <c r="AH337" s="20">
        <f t="shared" si="0"/>
        <v>2.0660660660660661</v>
      </c>
      <c r="AI337" s="20">
        <f t="shared" si="0"/>
        <v>3.2552552552552552</v>
      </c>
      <c r="AL337" s="20"/>
    </row>
    <row r="338" spans="1:38" ht="15.75" customHeight="1" x14ac:dyDescent="0.2">
      <c r="A338" s="6" t="s">
        <v>878</v>
      </c>
      <c r="B338" s="20">
        <v>1688</v>
      </c>
      <c r="E338" s="43"/>
      <c r="F338" s="43"/>
      <c r="G338" s="43"/>
      <c r="H338" s="20">
        <f t="shared" ref="H338:AI338" si="1">MIN(H2:H334)</f>
        <v>2952</v>
      </c>
      <c r="I338" s="270">
        <f t="shared" si="1"/>
        <v>609</v>
      </c>
      <c r="J338" s="20">
        <f t="shared" si="1"/>
        <v>158</v>
      </c>
      <c r="K338" s="20">
        <f t="shared" si="1"/>
        <v>63</v>
      </c>
      <c r="L338" s="20">
        <f t="shared" si="1"/>
        <v>752</v>
      </c>
      <c r="M338" s="20">
        <f t="shared" si="1"/>
        <v>1.1000000000000001</v>
      </c>
      <c r="N338" s="20">
        <f t="shared" si="1"/>
        <v>7.2</v>
      </c>
      <c r="O338" s="20">
        <f t="shared" si="1"/>
        <v>0.05</v>
      </c>
      <c r="P338" s="20">
        <f t="shared" si="1"/>
        <v>94</v>
      </c>
      <c r="Q338" s="20">
        <f t="shared" si="1"/>
        <v>1.41</v>
      </c>
      <c r="R338" s="20">
        <f t="shared" si="1"/>
        <v>0.23</v>
      </c>
      <c r="S338" s="20">
        <f t="shared" si="1"/>
        <v>0.11</v>
      </c>
      <c r="T338" s="20">
        <f t="shared" si="1"/>
        <v>1</v>
      </c>
      <c r="U338" s="20">
        <f t="shared" si="1"/>
        <v>1</v>
      </c>
      <c r="V338" s="20">
        <f t="shared" si="1"/>
        <v>2</v>
      </c>
      <c r="W338" s="20">
        <f t="shared" si="1"/>
        <v>1</v>
      </c>
      <c r="X338" s="20">
        <f t="shared" si="1"/>
        <v>1</v>
      </c>
      <c r="Y338" s="20">
        <f t="shared" si="1"/>
        <v>1</v>
      </c>
      <c r="Z338" s="20">
        <f t="shared" si="1"/>
        <v>1</v>
      </c>
      <c r="AA338" s="293">
        <f t="shared" si="1"/>
        <v>0</v>
      </c>
      <c r="AB338" s="293">
        <f t="shared" si="1"/>
        <v>0</v>
      </c>
      <c r="AC338" s="293">
        <f t="shared" si="1"/>
        <v>0</v>
      </c>
      <c r="AD338" s="293">
        <f t="shared" si="1"/>
        <v>0</v>
      </c>
      <c r="AE338" s="293">
        <f t="shared" si="1"/>
        <v>0</v>
      </c>
      <c r="AF338" s="20">
        <f t="shared" si="1"/>
        <v>0</v>
      </c>
      <c r="AG338" s="20">
        <f t="shared" si="1"/>
        <v>1</v>
      </c>
      <c r="AH338" s="20">
        <f t="shared" si="1"/>
        <v>0</v>
      </c>
      <c r="AI338" s="20">
        <f t="shared" si="1"/>
        <v>2</v>
      </c>
      <c r="AL338" s="20"/>
    </row>
    <row r="339" spans="1:38" ht="15.75" customHeight="1" x14ac:dyDescent="0.2">
      <c r="A339" s="6" t="s">
        <v>879</v>
      </c>
      <c r="B339" s="20">
        <v>2022</v>
      </c>
      <c r="E339" s="43"/>
      <c r="F339" s="43"/>
      <c r="G339" s="43"/>
      <c r="H339" s="20">
        <f t="shared" ref="H339:AI339" si="2">MAX(H2:H334)</f>
        <v>714152</v>
      </c>
      <c r="I339" s="270">
        <f t="shared" si="2"/>
        <v>126901</v>
      </c>
      <c r="J339" s="20">
        <f t="shared" si="2"/>
        <v>11156</v>
      </c>
      <c r="K339" s="20">
        <f t="shared" si="2"/>
        <v>11268</v>
      </c>
      <c r="L339" s="20">
        <f t="shared" si="2"/>
        <v>163660</v>
      </c>
      <c r="M339" s="20">
        <f t="shared" si="2"/>
        <v>1.39</v>
      </c>
      <c r="N339" s="20">
        <f t="shared" si="2"/>
        <v>75.7</v>
      </c>
      <c r="O339" s="20">
        <f t="shared" si="2"/>
        <v>0.28000000000000003</v>
      </c>
      <c r="P339" s="20">
        <f t="shared" si="2"/>
        <v>7776</v>
      </c>
      <c r="Q339" s="20">
        <f t="shared" si="2"/>
        <v>7.16</v>
      </c>
      <c r="R339" s="20">
        <f t="shared" si="2"/>
        <v>0.52</v>
      </c>
      <c r="S339" s="20">
        <f t="shared" si="2"/>
        <v>0.43</v>
      </c>
      <c r="T339" s="20">
        <f t="shared" si="2"/>
        <v>3</v>
      </c>
      <c r="U339" s="20">
        <f t="shared" si="2"/>
        <v>4</v>
      </c>
      <c r="V339" s="20">
        <f t="shared" si="2"/>
        <v>4</v>
      </c>
      <c r="W339" s="20">
        <f t="shared" si="2"/>
        <v>4</v>
      </c>
      <c r="X339" s="20">
        <f t="shared" si="2"/>
        <v>4</v>
      </c>
      <c r="Y339" s="20">
        <f t="shared" si="2"/>
        <v>4</v>
      </c>
      <c r="Z339" s="20">
        <f t="shared" si="2"/>
        <v>4</v>
      </c>
      <c r="AA339" s="293">
        <f t="shared" si="2"/>
        <v>4</v>
      </c>
      <c r="AB339" s="293">
        <f t="shared" si="2"/>
        <v>4</v>
      </c>
      <c r="AC339" s="293">
        <f t="shared" si="2"/>
        <v>4</v>
      </c>
      <c r="AD339" s="293">
        <f t="shared" si="2"/>
        <v>4</v>
      </c>
      <c r="AE339" s="293">
        <f t="shared" si="2"/>
        <v>4</v>
      </c>
      <c r="AF339" s="20">
        <f t="shared" si="2"/>
        <v>2</v>
      </c>
      <c r="AG339" s="20">
        <f t="shared" si="2"/>
        <v>4</v>
      </c>
      <c r="AH339" s="20">
        <f t="shared" si="2"/>
        <v>4</v>
      </c>
      <c r="AI339" s="20">
        <f t="shared" si="2"/>
        <v>4</v>
      </c>
      <c r="AL339" s="20"/>
    </row>
    <row r="340" spans="1:38" ht="15.75" customHeight="1" x14ac:dyDescent="0.2">
      <c r="E340" s="43"/>
      <c r="F340" s="43"/>
      <c r="G340" s="43"/>
      <c r="I340" s="115"/>
      <c r="R340" s="21">
        <v>0.53</v>
      </c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L340" s="20"/>
    </row>
    <row r="341" spans="1:38" ht="15.75" customHeight="1" x14ac:dyDescent="0.2">
      <c r="E341" s="43"/>
      <c r="F341" s="43"/>
      <c r="G341" s="43"/>
      <c r="I341" s="115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L341" s="20"/>
    </row>
    <row r="342" spans="1:38" ht="15.75" customHeight="1" x14ac:dyDescent="0.2">
      <c r="A342" s="6" t="s">
        <v>522</v>
      </c>
      <c r="E342" s="43"/>
      <c r="F342" s="43"/>
      <c r="G342" s="43"/>
      <c r="I342" s="115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L342" s="20"/>
    </row>
    <row r="343" spans="1:38" ht="15.75" customHeight="1" x14ac:dyDescent="0.2">
      <c r="A343" s="6" t="s">
        <v>500</v>
      </c>
      <c r="E343" s="43"/>
      <c r="F343" s="43"/>
      <c r="G343" s="43"/>
      <c r="I343" s="115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L343" s="20"/>
    </row>
    <row r="344" spans="1:38" ht="15.75" customHeight="1" x14ac:dyDescent="0.2">
      <c r="E344" s="43"/>
      <c r="F344" s="43"/>
      <c r="G344" s="43"/>
      <c r="I344" s="115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L344" s="20"/>
    </row>
    <row r="345" spans="1:38" ht="15.75" customHeight="1" x14ac:dyDescent="0.2">
      <c r="C345" s="25" t="s">
        <v>20</v>
      </c>
      <c r="E345" s="43"/>
      <c r="F345" s="43"/>
      <c r="G345" s="43"/>
      <c r="I345" s="115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L345" s="20"/>
    </row>
    <row r="346" spans="1:38" ht="15.75" customHeight="1" x14ac:dyDescent="0.2">
      <c r="C346" s="25" t="s">
        <v>22</v>
      </c>
      <c r="E346" s="43"/>
      <c r="F346" s="43"/>
      <c r="G346" s="43"/>
      <c r="I346" s="115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L346" s="20"/>
    </row>
    <row r="347" spans="1:38" ht="15.75" customHeight="1" x14ac:dyDescent="0.2">
      <c r="C347" s="25" t="s">
        <v>24</v>
      </c>
      <c r="E347" s="43"/>
      <c r="F347" s="43"/>
      <c r="G347" s="43"/>
      <c r="I347" s="115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L347" s="20"/>
    </row>
    <row r="348" spans="1:38" ht="15.75" customHeight="1" x14ac:dyDescent="0.2">
      <c r="C348" s="25" t="s">
        <v>26</v>
      </c>
      <c r="E348" s="43"/>
      <c r="F348" s="43"/>
      <c r="G348" s="43"/>
      <c r="I348" s="115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L348" s="20"/>
    </row>
    <row r="349" spans="1:38" ht="15.75" customHeight="1" x14ac:dyDescent="0.2">
      <c r="C349" s="25" t="s">
        <v>27</v>
      </c>
      <c r="E349" s="43"/>
      <c r="F349" s="43"/>
      <c r="G349" s="43"/>
      <c r="I349" s="115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L349" s="20"/>
    </row>
    <row r="350" spans="1:38" ht="15.75" customHeight="1" x14ac:dyDescent="0.2">
      <c r="C350" s="6" t="s">
        <v>119</v>
      </c>
      <c r="D350" s="6">
        <v>1951</v>
      </c>
      <c r="E350" s="6" t="s">
        <v>429</v>
      </c>
      <c r="F350" s="43"/>
      <c r="G350" s="43"/>
      <c r="I350" s="115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L350" s="20"/>
    </row>
    <row r="351" spans="1:38" ht="15.75" customHeight="1" x14ac:dyDescent="0.2">
      <c r="C351" s="294" t="s">
        <v>120</v>
      </c>
      <c r="D351" s="6">
        <v>1933</v>
      </c>
      <c r="E351" s="6" t="s">
        <v>483</v>
      </c>
      <c r="F351" s="43"/>
      <c r="G351" s="43"/>
      <c r="I351" s="115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L351" s="20"/>
    </row>
    <row r="352" spans="1:38" ht="15.75" customHeight="1" x14ac:dyDescent="0.2">
      <c r="C352" s="28" t="s">
        <v>30</v>
      </c>
      <c r="E352" s="43"/>
      <c r="F352" s="43"/>
      <c r="G352" s="43"/>
      <c r="I352" s="115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L352" s="20"/>
    </row>
    <row r="353" spans="3:38" ht="15.75" customHeight="1" x14ac:dyDescent="0.2">
      <c r="C353" s="28" t="s">
        <v>32</v>
      </c>
      <c r="E353" s="43"/>
      <c r="F353" s="43"/>
      <c r="G353" s="43"/>
      <c r="I353" s="115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L353" s="20"/>
    </row>
    <row r="354" spans="3:38" ht="15.75" customHeight="1" x14ac:dyDescent="0.2">
      <c r="C354" s="28" t="s">
        <v>34</v>
      </c>
      <c r="E354" s="43"/>
      <c r="F354" s="43"/>
      <c r="G354" s="43"/>
      <c r="I354" s="115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L354" s="20"/>
    </row>
    <row r="355" spans="3:38" ht="15.75" customHeight="1" x14ac:dyDescent="0.2">
      <c r="C355" s="28" t="s">
        <v>36</v>
      </c>
      <c r="E355" s="43"/>
      <c r="F355" s="43"/>
      <c r="G355" s="43"/>
      <c r="I355" s="115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L355" s="20"/>
    </row>
    <row r="356" spans="3:38" ht="15.75" customHeight="1" x14ac:dyDescent="0.2">
      <c r="C356" s="28" t="s">
        <v>38</v>
      </c>
      <c r="E356" s="43"/>
      <c r="F356" s="43"/>
      <c r="G356" s="43"/>
      <c r="I356" s="115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L356" s="20"/>
    </row>
    <row r="357" spans="3:38" ht="15.75" customHeight="1" x14ac:dyDescent="0.2">
      <c r="C357" s="6" t="s">
        <v>121</v>
      </c>
      <c r="D357" s="6">
        <v>1956</v>
      </c>
      <c r="E357" s="6" t="s">
        <v>436</v>
      </c>
      <c r="F357" s="43"/>
      <c r="G357" s="43"/>
      <c r="I357" s="115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L357" s="20"/>
    </row>
    <row r="358" spans="3:38" ht="15.75" customHeight="1" x14ac:dyDescent="0.2">
      <c r="C358" s="6" t="s">
        <v>122</v>
      </c>
      <c r="D358" s="6">
        <v>2007</v>
      </c>
      <c r="E358" s="6" t="s">
        <v>425</v>
      </c>
      <c r="F358" s="43"/>
      <c r="G358" s="43"/>
      <c r="I358" s="115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L358" s="20"/>
    </row>
    <row r="359" spans="3:38" ht="15.75" customHeight="1" x14ac:dyDescent="0.2">
      <c r="C359" s="31" t="s">
        <v>41</v>
      </c>
      <c r="E359" s="43"/>
      <c r="F359" s="43"/>
      <c r="G359" s="43"/>
      <c r="I359" s="115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L359" s="20"/>
    </row>
    <row r="360" spans="3:38" ht="15.75" customHeight="1" x14ac:dyDescent="0.2">
      <c r="C360" s="31" t="s">
        <v>43</v>
      </c>
      <c r="E360" s="43"/>
      <c r="F360" s="43"/>
      <c r="G360" s="43"/>
      <c r="I360" s="115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L360" s="20"/>
    </row>
    <row r="361" spans="3:38" ht="15.75" customHeight="1" x14ac:dyDescent="0.2">
      <c r="C361" s="31" t="s">
        <v>45</v>
      </c>
      <c r="E361" s="43"/>
      <c r="F361" s="43"/>
      <c r="G361" s="43"/>
      <c r="I361" s="115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L361" s="20"/>
    </row>
    <row r="362" spans="3:38" ht="15.75" customHeight="1" x14ac:dyDescent="0.2">
      <c r="C362" s="31" t="s">
        <v>47</v>
      </c>
      <c r="E362" s="43"/>
      <c r="F362" s="43"/>
      <c r="G362" s="43"/>
      <c r="I362" s="115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L362" s="20"/>
    </row>
    <row r="363" spans="3:38" ht="15.75" customHeight="1" x14ac:dyDescent="0.2">
      <c r="C363" s="31" t="s">
        <v>49</v>
      </c>
      <c r="E363" s="43"/>
      <c r="F363" s="43"/>
      <c r="G363" s="43"/>
      <c r="I363" s="115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L363" s="20"/>
    </row>
    <row r="364" spans="3:38" ht="15.75" customHeight="1" x14ac:dyDescent="0.2">
      <c r="C364" s="6" t="s">
        <v>123</v>
      </c>
      <c r="D364" s="6">
        <v>1902</v>
      </c>
      <c r="E364" s="6" t="s">
        <v>365</v>
      </c>
      <c r="F364" s="43"/>
      <c r="G364" s="43"/>
      <c r="I364" s="115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L364" s="20"/>
    </row>
    <row r="365" spans="3:38" ht="15.75" customHeight="1" x14ac:dyDescent="0.2">
      <c r="C365" s="6" t="s">
        <v>124</v>
      </c>
      <c r="D365" s="6">
        <v>1930</v>
      </c>
      <c r="E365" s="6" t="s">
        <v>392</v>
      </c>
      <c r="F365" s="43"/>
      <c r="G365" s="43"/>
      <c r="I365" s="115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L365" s="20"/>
    </row>
    <row r="366" spans="3:38" ht="15.75" customHeight="1" x14ac:dyDescent="0.2">
      <c r="C366" s="34" t="s">
        <v>52</v>
      </c>
      <c r="E366" s="43"/>
      <c r="F366" s="43"/>
      <c r="G366" s="43"/>
      <c r="I366" s="115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L366" s="20"/>
    </row>
    <row r="367" spans="3:38" ht="15.75" customHeight="1" x14ac:dyDescent="0.2">
      <c r="C367" s="34" t="s">
        <v>53</v>
      </c>
      <c r="E367" s="43"/>
      <c r="F367" s="43"/>
      <c r="G367" s="43"/>
      <c r="I367" s="115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L367" s="20"/>
    </row>
    <row r="368" spans="3:38" ht="15.75" customHeight="1" x14ac:dyDescent="0.2">
      <c r="C368" s="34" t="s">
        <v>55</v>
      </c>
      <c r="E368" s="43"/>
      <c r="F368" s="43"/>
      <c r="G368" s="43"/>
      <c r="I368" s="115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L368" s="20"/>
    </row>
    <row r="369" spans="1:38" ht="15.75" customHeight="1" x14ac:dyDescent="0.2">
      <c r="C369" s="34" t="s">
        <v>57</v>
      </c>
      <c r="E369" s="43"/>
      <c r="F369" s="43"/>
      <c r="G369" s="43"/>
      <c r="I369" s="115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L369" s="20"/>
    </row>
    <row r="370" spans="1:38" ht="15.75" customHeight="1" x14ac:dyDescent="0.2">
      <c r="C370" s="34" t="s">
        <v>59</v>
      </c>
      <c r="E370" s="43"/>
      <c r="F370" s="43"/>
      <c r="G370" s="43"/>
      <c r="I370" s="115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L370" s="20"/>
    </row>
    <row r="371" spans="1:38" ht="15.75" customHeight="1" x14ac:dyDescent="0.2">
      <c r="C371" s="6" t="s">
        <v>125</v>
      </c>
      <c r="D371" s="6">
        <v>1961</v>
      </c>
      <c r="E371" s="6" t="s">
        <v>479</v>
      </c>
      <c r="F371" s="43"/>
      <c r="G371" s="43"/>
      <c r="I371" s="115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L371" s="20"/>
    </row>
    <row r="372" spans="1:38" ht="15.75" customHeight="1" x14ac:dyDescent="0.2">
      <c r="C372" s="6" t="s">
        <v>126</v>
      </c>
      <c r="D372" s="6">
        <v>2000</v>
      </c>
      <c r="E372" s="6" t="s">
        <v>524</v>
      </c>
      <c r="F372" s="43"/>
      <c r="G372" s="43"/>
      <c r="I372" s="115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L372" s="20"/>
    </row>
    <row r="373" spans="1:38" ht="15.75" customHeight="1" x14ac:dyDescent="0.2">
      <c r="C373" s="18" t="s">
        <v>9</v>
      </c>
      <c r="E373" s="43"/>
      <c r="F373" s="43"/>
      <c r="G373" s="43"/>
      <c r="I373" s="115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L373" s="20"/>
    </row>
    <row r="374" spans="1:38" ht="15.75" customHeight="1" x14ac:dyDescent="0.2">
      <c r="C374" s="18" t="s">
        <v>11</v>
      </c>
      <c r="E374" s="43"/>
      <c r="F374" s="43"/>
      <c r="G374" s="43"/>
      <c r="I374" s="115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L374" s="20"/>
    </row>
    <row r="375" spans="1:38" ht="15.75" customHeight="1" x14ac:dyDescent="0.2">
      <c r="C375" s="18" t="s">
        <v>13</v>
      </c>
      <c r="E375" s="43"/>
      <c r="F375" s="43"/>
      <c r="G375" s="43"/>
      <c r="I375" s="115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L375" s="20"/>
    </row>
    <row r="376" spans="1:38" ht="15.75" customHeight="1" x14ac:dyDescent="0.2">
      <c r="C376" s="18" t="s">
        <v>15</v>
      </c>
      <c r="E376" s="43"/>
      <c r="F376" s="43"/>
      <c r="G376" s="43"/>
      <c r="I376" s="115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L376" s="20"/>
    </row>
    <row r="377" spans="1:38" ht="15.75" customHeight="1" x14ac:dyDescent="0.2">
      <c r="C377" s="18" t="s">
        <v>17</v>
      </c>
      <c r="E377" s="43"/>
      <c r="F377" s="43"/>
      <c r="G377" s="43"/>
      <c r="I377" s="115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L377" s="20"/>
    </row>
    <row r="378" spans="1:38" ht="15.75" customHeight="1" x14ac:dyDescent="0.2">
      <c r="C378" s="6" t="s">
        <v>117</v>
      </c>
      <c r="D378" s="6">
        <v>1937</v>
      </c>
      <c r="E378" s="6" t="s">
        <v>54</v>
      </c>
      <c r="F378" s="43"/>
      <c r="G378" s="43"/>
      <c r="I378" s="115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L378" s="20"/>
    </row>
    <row r="379" spans="1:38" ht="15.75" customHeight="1" x14ac:dyDescent="0.2">
      <c r="C379" s="6" t="s">
        <v>118</v>
      </c>
      <c r="D379" s="6">
        <v>1925</v>
      </c>
      <c r="E379" s="6" t="s">
        <v>408</v>
      </c>
      <c r="F379" s="43"/>
      <c r="G379" s="43"/>
      <c r="I379" s="115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L379" s="20"/>
    </row>
    <row r="380" spans="1:38" ht="15.75" customHeight="1" x14ac:dyDescent="0.2">
      <c r="F380" s="43"/>
      <c r="G380" s="43"/>
      <c r="I380" s="115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L380" s="20"/>
    </row>
    <row r="381" spans="1:38" ht="15.75" customHeight="1" x14ac:dyDescent="0.2">
      <c r="F381" s="43"/>
      <c r="G381" s="43"/>
      <c r="I381" s="115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L381" s="20"/>
    </row>
    <row r="382" spans="1:38" ht="15.75" customHeight="1" x14ac:dyDescent="0.2">
      <c r="E382" s="43"/>
      <c r="F382" s="43"/>
      <c r="G382" s="43"/>
      <c r="I382" s="115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L382" s="20"/>
    </row>
    <row r="383" spans="1:38" ht="15.75" customHeight="1" x14ac:dyDescent="0.2">
      <c r="A383" s="6" t="str">
        <f ca="1">IFERROR(__xludf.DUMMYFUNCTION("FILTER(A2:M334, COUNTIF(C345:C377, A2:A334) &gt; 0)"),"#REF!")</f>
        <v>#REF!</v>
      </c>
      <c r="B383" s="6"/>
      <c r="C383" s="6"/>
      <c r="D383" s="6"/>
      <c r="E383" s="43"/>
      <c r="F383" s="43"/>
      <c r="G383" s="43"/>
      <c r="H383" s="6"/>
      <c r="I383" s="115"/>
      <c r="J383" s="6"/>
      <c r="K383" s="6"/>
      <c r="L383" s="6"/>
      <c r="M383" s="6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L383" s="20"/>
    </row>
    <row r="384" spans="1:38" ht="15.75" customHeight="1" x14ac:dyDescent="0.2">
      <c r="A384" s="6"/>
      <c r="B384" s="6"/>
      <c r="C384" s="6"/>
      <c r="D384" s="6"/>
      <c r="E384" s="43"/>
      <c r="F384" s="43"/>
      <c r="G384" s="43"/>
      <c r="H384" s="6"/>
      <c r="I384" s="115"/>
      <c r="J384" s="6"/>
      <c r="K384" s="6"/>
      <c r="L384" s="6"/>
      <c r="M384" s="6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L384" s="20"/>
    </row>
    <row r="385" spans="1:38" ht="15.75" customHeight="1" x14ac:dyDescent="0.2">
      <c r="A385" s="6"/>
      <c r="B385" s="6"/>
      <c r="C385" s="6"/>
      <c r="D385" s="6"/>
      <c r="E385" s="43"/>
      <c r="F385" s="43"/>
      <c r="G385" s="43"/>
      <c r="H385" s="6"/>
      <c r="I385" s="115"/>
      <c r="J385" s="6"/>
      <c r="K385" s="6"/>
      <c r="L385" s="6"/>
      <c r="M385" s="6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L385" s="20"/>
    </row>
    <row r="386" spans="1:38" ht="15.75" customHeight="1" x14ac:dyDescent="0.2">
      <c r="A386" s="6"/>
      <c r="B386" s="6"/>
      <c r="C386" s="6"/>
      <c r="D386" s="6"/>
      <c r="E386" s="43"/>
      <c r="F386" s="43"/>
      <c r="G386" s="43"/>
      <c r="H386" s="6"/>
      <c r="I386" s="115"/>
      <c r="J386" s="6"/>
      <c r="K386" s="6"/>
      <c r="L386" s="6"/>
      <c r="M386" s="6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L386" s="20"/>
    </row>
    <row r="387" spans="1:38" ht="15.75" customHeight="1" x14ac:dyDescent="0.2">
      <c r="A387" s="6"/>
      <c r="B387" s="6"/>
      <c r="C387" s="6"/>
      <c r="D387" s="6"/>
      <c r="E387" s="43"/>
      <c r="F387" s="43"/>
      <c r="G387" s="43"/>
      <c r="H387" s="6"/>
      <c r="I387" s="115"/>
      <c r="J387" s="6"/>
      <c r="K387" s="6"/>
      <c r="L387" s="6"/>
      <c r="M387" s="6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L387" s="20"/>
    </row>
    <row r="388" spans="1:38" ht="15.75" customHeight="1" x14ac:dyDescent="0.2">
      <c r="A388" s="6"/>
      <c r="B388" s="6"/>
      <c r="C388" s="6"/>
      <c r="D388" s="6"/>
      <c r="E388" s="43"/>
      <c r="F388" s="43"/>
      <c r="G388" s="43"/>
      <c r="H388" s="6"/>
      <c r="I388" s="115"/>
      <c r="J388" s="6"/>
      <c r="K388" s="6"/>
      <c r="L388" s="6"/>
      <c r="M388" s="6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L388" s="20"/>
    </row>
    <row r="389" spans="1:38" ht="15.75" customHeight="1" x14ac:dyDescent="0.2">
      <c r="A389" s="6"/>
      <c r="B389" s="6"/>
      <c r="C389" s="6"/>
      <c r="D389" s="6"/>
      <c r="E389" s="43"/>
      <c r="F389" s="43"/>
      <c r="G389" s="43"/>
      <c r="H389" s="6"/>
      <c r="I389" s="115"/>
      <c r="J389" s="6"/>
      <c r="K389" s="6"/>
      <c r="L389" s="6"/>
      <c r="M389" s="6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L389" s="20"/>
    </row>
    <row r="390" spans="1:38" ht="15.75" customHeight="1" x14ac:dyDescent="0.2">
      <c r="A390" s="6"/>
      <c r="B390" s="6"/>
      <c r="C390" s="6"/>
      <c r="D390" s="6"/>
      <c r="E390" s="43"/>
      <c r="F390" s="43"/>
      <c r="G390" s="43"/>
      <c r="H390" s="6"/>
      <c r="I390" s="115"/>
      <c r="J390" s="6"/>
      <c r="K390" s="6"/>
      <c r="L390" s="6"/>
      <c r="M390" s="6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L390" s="20"/>
    </row>
    <row r="391" spans="1:38" ht="15.75" customHeight="1" x14ac:dyDescent="0.2">
      <c r="A391" s="6"/>
      <c r="B391" s="6"/>
      <c r="C391" s="6"/>
      <c r="D391" s="6"/>
      <c r="E391" s="43"/>
      <c r="F391" s="43"/>
      <c r="G391" s="43"/>
      <c r="H391" s="6"/>
      <c r="I391" s="115"/>
      <c r="J391" s="6"/>
      <c r="K391" s="6"/>
      <c r="L391" s="6"/>
      <c r="M391" s="6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L391" s="20"/>
    </row>
    <row r="392" spans="1:38" ht="15.75" customHeight="1" x14ac:dyDescent="0.2">
      <c r="A392" s="6"/>
      <c r="B392" s="6"/>
      <c r="C392" s="6"/>
      <c r="D392" s="6"/>
      <c r="E392" s="43"/>
      <c r="F392" s="43"/>
      <c r="G392" s="43"/>
      <c r="H392" s="6"/>
      <c r="I392" s="115"/>
      <c r="J392" s="6"/>
      <c r="K392" s="6"/>
      <c r="L392" s="6"/>
      <c r="M392" s="6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L392" s="20"/>
    </row>
    <row r="393" spans="1:38" ht="15.75" customHeight="1" x14ac:dyDescent="0.2">
      <c r="A393" s="6"/>
      <c r="B393" s="6"/>
      <c r="C393" s="6"/>
      <c r="D393" s="6"/>
      <c r="E393" s="43"/>
      <c r="F393" s="43"/>
      <c r="G393" s="43"/>
      <c r="H393" s="6"/>
      <c r="I393" s="115"/>
      <c r="J393" s="6"/>
      <c r="K393" s="6"/>
      <c r="L393" s="6"/>
      <c r="M393" s="6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L393" s="20"/>
    </row>
    <row r="394" spans="1:38" ht="15.75" customHeight="1" x14ac:dyDescent="0.2">
      <c r="A394" s="6"/>
      <c r="B394" s="6"/>
      <c r="C394" s="6"/>
      <c r="D394" s="6"/>
      <c r="E394" s="43"/>
      <c r="F394" s="43"/>
      <c r="G394" s="43"/>
      <c r="H394" s="6"/>
      <c r="I394" s="115"/>
      <c r="J394" s="6"/>
      <c r="K394" s="6"/>
      <c r="L394" s="6"/>
      <c r="M394" s="6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L394" s="20"/>
    </row>
    <row r="395" spans="1:38" ht="15.75" customHeight="1" x14ac:dyDescent="0.2">
      <c r="A395" s="6"/>
      <c r="B395" s="6"/>
      <c r="C395" s="6"/>
      <c r="D395" s="6"/>
      <c r="E395" s="43"/>
      <c r="F395" s="43"/>
      <c r="G395" s="43"/>
      <c r="H395" s="6"/>
      <c r="I395" s="115"/>
      <c r="J395" s="6"/>
      <c r="K395" s="6"/>
      <c r="L395" s="6"/>
      <c r="M395" s="6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L395" s="20"/>
    </row>
    <row r="396" spans="1:38" ht="15.75" customHeight="1" x14ac:dyDescent="0.2">
      <c r="A396" s="6"/>
      <c r="B396" s="6"/>
      <c r="C396" s="6"/>
      <c r="D396" s="6"/>
      <c r="E396" s="43"/>
      <c r="F396" s="43"/>
      <c r="G396" s="43"/>
      <c r="H396" s="6"/>
      <c r="I396" s="115"/>
      <c r="J396" s="6"/>
      <c r="K396" s="6"/>
      <c r="L396" s="6"/>
      <c r="M396" s="6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L396" s="20"/>
    </row>
    <row r="397" spans="1:38" ht="15.75" customHeight="1" x14ac:dyDescent="0.2">
      <c r="A397" s="6"/>
      <c r="B397" s="6"/>
      <c r="C397" s="6"/>
      <c r="D397" s="6"/>
      <c r="E397" s="43"/>
      <c r="F397" s="43"/>
      <c r="G397" s="43"/>
      <c r="H397" s="6"/>
      <c r="I397" s="115"/>
      <c r="J397" s="6"/>
      <c r="K397" s="6"/>
      <c r="L397" s="6"/>
      <c r="M397" s="6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L397" s="20"/>
    </row>
    <row r="398" spans="1:38" ht="15.75" customHeight="1" x14ac:dyDescent="0.2">
      <c r="A398" s="6"/>
      <c r="B398" s="6"/>
      <c r="C398" s="6"/>
      <c r="D398" s="6"/>
      <c r="E398" s="43"/>
      <c r="F398" s="43"/>
      <c r="G398" s="43"/>
      <c r="H398" s="6"/>
      <c r="I398" s="115"/>
      <c r="J398" s="6"/>
      <c r="K398" s="6"/>
      <c r="L398" s="6"/>
      <c r="M398" s="6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L398" s="20"/>
    </row>
    <row r="399" spans="1:38" ht="15.75" customHeight="1" x14ac:dyDescent="0.2">
      <c r="A399" s="6"/>
      <c r="B399" s="6"/>
      <c r="C399" s="6"/>
      <c r="D399" s="6"/>
      <c r="E399" s="43"/>
      <c r="F399" s="43"/>
      <c r="G399" s="43"/>
      <c r="H399" s="6"/>
      <c r="I399" s="115"/>
      <c r="J399" s="6"/>
      <c r="K399" s="6"/>
      <c r="L399" s="6"/>
      <c r="M399" s="6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L399" s="20"/>
    </row>
    <row r="400" spans="1:38" ht="15.75" customHeight="1" x14ac:dyDescent="0.2">
      <c r="A400" s="6"/>
      <c r="B400" s="6"/>
      <c r="C400" s="6"/>
      <c r="D400" s="6"/>
      <c r="E400" s="43"/>
      <c r="F400" s="43"/>
      <c r="G400" s="43"/>
      <c r="H400" s="6"/>
      <c r="I400" s="115"/>
      <c r="J400" s="6"/>
      <c r="K400" s="6"/>
      <c r="L400" s="6"/>
      <c r="M400" s="6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L400" s="20"/>
    </row>
    <row r="401" spans="1:38" ht="15.75" customHeight="1" x14ac:dyDescent="0.2">
      <c r="A401" s="6"/>
      <c r="B401" s="6"/>
      <c r="C401" s="6"/>
      <c r="D401" s="6"/>
      <c r="E401" s="43"/>
      <c r="F401" s="43"/>
      <c r="G401" s="43"/>
      <c r="H401" s="6"/>
      <c r="I401" s="115"/>
      <c r="J401" s="6"/>
      <c r="K401" s="6"/>
      <c r="L401" s="6"/>
      <c r="M401" s="6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L401" s="20"/>
    </row>
    <row r="402" spans="1:38" ht="15.75" customHeight="1" x14ac:dyDescent="0.2">
      <c r="A402" s="6"/>
      <c r="B402" s="6"/>
      <c r="C402" s="6"/>
      <c r="D402" s="6"/>
      <c r="E402" s="43"/>
      <c r="F402" s="43"/>
      <c r="G402" s="43"/>
      <c r="H402" s="6"/>
      <c r="I402" s="115"/>
      <c r="J402" s="6"/>
      <c r="K402" s="6"/>
      <c r="L402" s="6"/>
      <c r="M402" s="6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L402" s="20"/>
    </row>
    <row r="403" spans="1:38" ht="15.75" customHeight="1" x14ac:dyDescent="0.2">
      <c r="A403" s="6"/>
      <c r="B403" s="6"/>
      <c r="C403" s="6"/>
      <c r="D403" s="6"/>
      <c r="E403" s="43"/>
      <c r="F403" s="43"/>
      <c r="G403" s="43"/>
      <c r="H403" s="6"/>
      <c r="I403" s="115"/>
      <c r="J403" s="6"/>
      <c r="K403" s="6"/>
      <c r="L403" s="6"/>
      <c r="M403" s="6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L403" s="20"/>
    </row>
    <row r="404" spans="1:38" ht="15.75" customHeight="1" x14ac:dyDescent="0.2">
      <c r="A404" s="6"/>
      <c r="B404" s="6"/>
      <c r="C404" s="6"/>
      <c r="D404" s="6"/>
      <c r="E404" s="43"/>
      <c r="F404" s="43"/>
      <c r="G404" s="43"/>
      <c r="H404" s="6"/>
      <c r="I404" s="115"/>
      <c r="J404" s="6"/>
      <c r="K404" s="6"/>
      <c r="L404" s="6"/>
      <c r="M404" s="6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L404" s="20"/>
    </row>
    <row r="405" spans="1:38" ht="15.75" customHeight="1" x14ac:dyDescent="0.2">
      <c r="A405" s="6"/>
      <c r="B405" s="6"/>
      <c r="C405" s="6"/>
      <c r="D405" s="6"/>
      <c r="E405" s="43"/>
      <c r="F405" s="43"/>
      <c r="G405" s="43"/>
      <c r="H405" s="6"/>
      <c r="I405" s="115"/>
      <c r="J405" s="6"/>
      <c r="K405" s="6"/>
      <c r="L405" s="6"/>
      <c r="M405" s="6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L405" s="20"/>
    </row>
    <row r="406" spans="1:38" ht="15.75" customHeight="1" x14ac:dyDescent="0.2">
      <c r="A406" s="6"/>
      <c r="B406" s="6"/>
      <c r="C406" s="6"/>
      <c r="D406" s="6"/>
      <c r="E406" s="43"/>
      <c r="F406" s="43"/>
      <c r="G406" s="43"/>
      <c r="H406" s="6"/>
      <c r="I406" s="115"/>
      <c r="J406" s="6"/>
      <c r="K406" s="6"/>
      <c r="L406" s="6"/>
      <c r="M406" s="6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L406" s="20"/>
    </row>
    <row r="407" spans="1:38" ht="15.75" customHeight="1" x14ac:dyDescent="0.2">
      <c r="A407" s="6"/>
      <c r="B407" s="6"/>
      <c r="C407" s="6"/>
      <c r="D407" s="6"/>
      <c r="E407" s="43"/>
      <c r="F407" s="43"/>
      <c r="G407" s="43"/>
      <c r="H407" s="6"/>
      <c r="I407" s="115"/>
      <c r="J407" s="6"/>
      <c r="K407" s="6"/>
      <c r="L407" s="6"/>
      <c r="M407" s="6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L407" s="20"/>
    </row>
    <row r="408" spans="1:38" ht="15.75" customHeight="1" x14ac:dyDescent="0.2">
      <c r="A408" s="6"/>
      <c r="B408" s="6"/>
      <c r="C408" s="6"/>
      <c r="D408" s="6"/>
      <c r="E408" s="43"/>
      <c r="F408" s="43"/>
      <c r="G408" s="43"/>
      <c r="H408" s="6"/>
      <c r="I408" s="115"/>
      <c r="J408" s="6"/>
      <c r="K408" s="6"/>
      <c r="L408" s="6"/>
      <c r="M408" s="6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L408" s="20"/>
    </row>
    <row r="409" spans="1:38" ht="15.75" customHeight="1" x14ac:dyDescent="0.2">
      <c r="A409" s="6"/>
      <c r="B409" s="6"/>
      <c r="C409" s="6"/>
      <c r="D409" s="6"/>
      <c r="E409" s="43"/>
      <c r="F409" s="43"/>
      <c r="G409" s="43"/>
      <c r="H409" s="6"/>
      <c r="I409" s="115">
        <f>MIN(I383:I407)</f>
        <v>0</v>
      </c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L409" s="20"/>
    </row>
    <row r="410" spans="1:38" ht="15.75" customHeight="1" x14ac:dyDescent="0.2">
      <c r="E410" s="43"/>
      <c r="F410" s="43"/>
      <c r="G410" s="43"/>
      <c r="I410" s="115">
        <f>MAX(I383:I407)</f>
        <v>0</v>
      </c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L410" s="20"/>
    </row>
    <row r="411" spans="1:38" ht="15.75" customHeight="1" x14ac:dyDescent="0.2">
      <c r="E411" s="43"/>
      <c r="F411" s="43"/>
      <c r="G411" s="43"/>
      <c r="I411" s="115" t="e">
        <f>AVERAGE(I383:I407)</f>
        <v>#DIV/0!</v>
      </c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L411" s="20"/>
    </row>
    <row r="412" spans="1:38" ht="15.75" customHeight="1" x14ac:dyDescent="0.2">
      <c r="E412" s="43"/>
      <c r="F412" s="43"/>
      <c r="G412" s="43"/>
      <c r="I412" s="115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L412" s="20"/>
    </row>
    <row r="413" spans="1:38" ht="15.75" customHeight="1" x14ac:dyDescent="0.2">
      <c r="E413" s="43"/>
      <c r="F413" s="43"/>
      <c r="G413" s="43"/>
      <c r="I413" s="115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L413" s="20"/>
    </row>
    <row r="414" spans="1:38" ht="15.75" customHeight="1" x14ac:dyDescent="0.2">
      <c r="E414" s="43"/>
      <c r="F414" s="43"/>
      <c r="G414" s="43"/>
      <c r="I414" s="115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L414" s="20"/>
    </row>
    <row r="415" spans="1:38" ht="15.75" customHeight="1" x14ac:dyDescent="0.2">
      <c r="E415" s="43"/>
      <c r="F415" s="43"/>
      <c r="G415" s="43"/>
      <c r="I415" s="115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L415" s="20"/>
    </row>
    <row r="416" spans="1:38" ht="15.75" customHeight="1" x14ac:dyDescent="0.2">
      <c r="E416" s="43"/>
      <c r="F416" s="43"/>
      <c r="G416" s="43"/>
      <c r="I416" s="115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L416" s="20"/>
    </row>
    <row r="417" spans="5:38" ht="15.75" customHeight="1" x14ac:dyDescent="0.2">
      <c r="E417" s="43"/>
      <c r="F417" s="43"/>
      <c r="G417" s="43"/>
      <c r="I417" s="115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L417" s="20"/>
    </row>
    <row r="418" spans="5:38" ht="15.75" customHeight="1" x14ac:dyDescent="0.2">
      <c r="E418" s="43"/>
      <c r="F418" s="43"/>
      <c r="G418" s="43"/>
      <c r="I418" s="115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L418" s="20"/>
    </row>
    <row r="419" spans="5:38" ht="15.75" customHeight="1" x14ac:dyDescent="0.2">
      <c r="E419" s="43"/>
      <c r="F419" s="43"/>
      <c r="G419" s="43"/>
      <c r="I419" s="115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L419" s="20"/>
    </row>
    <row r="420" spans="5:38" ht="15.75" customHeight="1" x14ac:dyDescent="0.2">
      <c r="E420" s="43"/>
      <c r="F420" s="43"/>
      <c r="G420" s="43"/>
      <c r="I420" s="115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L420" s="20"/>
    </row>
    <row r="421" spans="5:38" ht="15.75" customHeight="1" x14ac:dyDescent="0.2">
      <c r="E421" s="43"/>
      <c r="F421" s="43"/>
      <c r="G421" s="43"/>
      <c r="I421" s="115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L421" s="20"/>
    </row>
    <row r="422" spans="5:38" ht="15.75" customHeight="1" x14ac:dyDescent="0.2">
      <c r="E422" s="43"/>
      <c r="F422" s="43"/>
      <c r="G422" s="43"/>
      <c r="I422" s="115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L422" s="20"/>
    </row>
    <row r="423" spans="5:38" ht="15.75" customHeight="1" x14ac:dyDescent="0.2">
      <c r="E423" s="43"/>
      <c r="F423" s="43"/>
      <c r="G423" s="43"/>
      <c r="I423" s="115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L423" s="20"/>
    </row>
    <row r="424" spans="5:38" ht="15.75" customHeight="1" x14ac:dyDescent="0.2">
      <c r="E424" s="43"/>
      <c r="F424" s="43"/>
      <c r="G424" s="43"/>
      <c r="I424" s="115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L424" s="20"/>
    </row>
    <row r="425" spans="5:38" ht="15.75" customHeight="1" x14ac:dyDescent="0.2">
      <c r="E425" s="43"/>
      <c r="F425" s="43"/>
      <c r="G425" s="43"/>
      <c r="I425" s="115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L425" s="20"/>
    </row>
    <row r="426" spans="5:38" ht="15.75" customHeight="1" x14ac:dyDescent="0.2">
      <c r="E426" s="43"/>
      <c r="F426" s="43"/>
      <c r="G426" s="43"/>
      <c r="I426" s="115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L426" s="20"/>
    </row>
    <row r="427" spans="5:38" ht="15.75" customHeight="1" x14ac:dyDescent="0.2">
      <c r="E427" s="43"/>
      <c r="F427" s="43"/>
      <c r="G427" s="43"/>
      <c r="I427" s="115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L427" s="20"/>
    </row>
    <row r="428" spans="5:38" ht="15.75" customHeight="1" x14ac:dyDescent="0.2">
      <c r="E428" s="43"/>
      <c r="F428" s="43"/>
      <c r="G428" s="43"/>
      <c r="I428" s="115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L428" s="20"/>
    </row>
    <row r="429" spans="5:38" ht="15.75" customHeight="1" x14ac:dyDescent="0.2">
      <c r="E429" s="43"/>
      <c r="F429" s="43"/>
      <c r="G429" s="43"/>
      <c r="I429" s="115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L429" s="20"/>
    </row>
    <row r="430" spans="5:38" ht="15.75" customHeight="1" x14ac:dyDescent="0.2">
      <c r="E430" s="43"/>
      <c r="F430" s="43"/>
      <c r="G430" s="43"/>
      <c r="I430" s="115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L430" s="20"/>
    </row>
    <row r="431" spans="5:38" ht="15.75" customHeight="1" x14ac:dyDescent="0.2">
      <c r="E431" s="43"/>
      <c r="F431" s="43"/>
      <c r="G431" s="43"/>
      <c r="I431" s="115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L431" s="20"/>
    </row>
    <row r="432" spans="5:38" ht="15.75" customHeight="1" x14ac:dyDescent="0.2">
      <c r="E432" s="43"/>
      <c r="F432" s="43"/>
      <c r="G432" s="43"/>
      <c r="I432" s="115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L432" s="20"/>
    </row>
    <row r="433" spans="5:38" ht="15.75" customHeight="1" x14ac:dyDescent="0.2">
      <c r="E433" s="43"/>
      <c r="F433" s="43"/>
      <c r="G433" s="43"/>
      <c r="I433" s="115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L433" s="20"/>
    </row>
    <row r="434" spans="5:38" ht="15.75" customHeight="1" x14ac:dyDescent="0.2">
      <c r="E434" s="43"/>
      <c r="F434" s="43"/>
      <c r="G434" s="43"/>
      <c r="I434" s="115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L434" s="20"/>
    </row>
    <row r="435" spans="5:38" ht="15.75" customHeight="1" x14ac:dyDescent="0.2">
      <c r="E435" s="43"/>
      <c r="F435" s="43"/>
      <c r="G435" s="43"/>
      <c r="I435" s="115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L435" s="20"/>
    </row>
    <row r="436" spans="5:38" ht="15.75" customHeight="1" x14ac:dyDescent="0.2">
      <c r="E436" s="43"/>
      <c r="F436" s="43"/>
      <c r="G436" s="43"/>
      <c r="I436" s="115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L436" s="20"/>
    </row>
    <row r="437" spans="5:38" ht="15.75" customHeight="1" x14ac:dyDescent="0.2">
      <c r="E437" s="43"/>
      <c r="F437" s="43"/>
      <c r="G437" s="43"/>
      <c r="I437" s="115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L437" s="20"/>
    </row>
    <row r="438" spans="5:38" ht="15.75" customHeight="1" x14ac:dyDescent="0.2">
      <c r="E438" s="43"/>
      <c r="F438" s="43"/>
      <c r="G438" s="43"/>
      <c r="I438" s="115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L438" s="20"/>
    </row>
    <row r="439" spans="5:38" ht="15.75" customHeight="1" x14ac:dyDescent="0.2">
      <c r="E439" s="43"/>
      <c r="F439" s="43"/>
      <c r="G439" s="43"/>
      <c r="I439" s="115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L439" s="20"/>
    </row>
    <row r="440" spans="5:38" ht="15.75" customHeight="1" x14ac:dyDescent="0.2">
      <c r="E440" s="43"/>
      <c r="F440" s="43"/>
      <c r="G440" s="43"/>
      <c r="I440" s="115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L440" s="20"/>
    </row>
    <row r="441" spans="5:38" ht="15.75" customHeight="1" x14ac:dyDescent="0.2">
      <c r="E441" s="43"/>
      <c r="F441" s="43"/>
      <c r="G441" s="43"/>
      <c r="I441" s="115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L441" s="20"/>
    </row>
    <row r="442" spans="5:38" ht="15.75" customHeight="1" x14ac:dyDescent="0.2">
      <c r="E442" s="43"/>
      <c r="F442" s="43"/>
      <c r="G442" s="43"/>
      <c r="I442" s="115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L442" s="20"/>
    </row>
    <row r="443" spans="5:38" ht="15.75" customHeight="1" x14ac:dyDescent="0.2">
      <c r="E443" s="43"/>
      <c r="F443" s="43"/>
      <c r="G443" s="43"/>
      <c r="I443" s="115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L443" s="20"/>
    </row>
    <row r="444" spans="5:38" ht="15.75" customHeight="1" x14ac:dyDescent="0.2">
      <c r="E444" s="43"/>
      <c r="F444" s="43"/>
      <c r="G444" s="43"/>
      <c r="I444" s="115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L444" s="20"/>
    </row>
    <row r="445" spans="5:38" ht="15.75" customHeight="1" x14ac:dyDescent="0.2">
      <c r="E445" s="43"/>
      <c r="F445" s="43"/>
      <c r="G445" s="43"/>
      <c r="I445" s="115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L445" s="20"/>
    </row>
    <row r="446" spans="5:38" ht="15.75" customHeight="1" x14ac:dyDescent="0.2">
      <c r="E446" s="43"/>
      <c r="F446" s="43"/>
      <c r="G446" s="43"/>
      <c r="I446" s="115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L446" s="20"/>
    </row>
    <row r="447" spans="5:38" ht="15.75" customHeight="1" x14ac:dyDescent="0.2">
      <c r="E447" s="43"/>
      <c r="F447" s="43"/>
      <c r="G447" s="43"/>
      <c r="I447" s="115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L447" s="20"/>
    </row>
    <row r="448" spans="5:38" ht="15.75" customHeight="1" x14ac:dyDescent="0.2">
      <c r="E448" s="43"/>
      <c r="F448" s="43"/>
      <c r="G448" s="43"/>
      <c r="I448" s="115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L448" s="20"/>
    </row>
    <row r="449" spans="5:38" ht="15.75" customHeight="1" x14ac:dyDescent="0.2">
      <c r="E449" s="43"/>
      <c r="F449" s="43"/>
      <c r="G449" s="43"/>
      <c r="I449" s="115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L449" s="20"/>
    </row>
    <row r="450" spans="5:38" ht="15.75" customHeight="1" x14ac:dyDescent="0.2">
      <c r="E450" s="43"/>
      <c r="F450" s="43"/>
      <c r="G450" s="43"/>
      <c r="I450" s="115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L450" s="20"/>
    </row>
    <row r="451" spans="5:38" ht="15.75" customHeight="1" x14ac:dyDescent="0.2">
      <c r="E451" s="43"/>
      <c r="F451" s="43"/>
      <c r="G451" s="43"/>
      <c r="I451" s="115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L451" s="20"/>
    </row>
    <row r="452" spans="5:38" ht="15.75" customHeight="1" x14ac:dyDescent="0.2">
      <c r="E452" s="43"/>
      <c r="F452" s="43"/>
      <c r="G452" s="43"/>
      <c r="I452" s="115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L452" s="20"/>
    </row>
    <row r="453" spans="5:38" ht="15.75" customHeight="1" x14ac:dyDescent="0.2">
      <c r="E453" s="43"/>
      <c r="F453" s="43"/>
      <c r="G453" s="43"/>
      <c r="I453" s="115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L453" s="20"/>
    </row>
    <row r="454" spans="5:38" ht="15.75" customHeight="1" x14ac:dyDescent="0.2">
      <c r="E454" s="43"/>
      <c r="F454" s="43"/>
      <c r="G454" s="43"/>
      <c r="I454" s="115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L454" s="20"/>
    </row>
    <row r="455" spans="5:38" ht="15.75" customHeight="1" x14ac:dyDescent="0.2">
      <c r="E455" s="43"/>
      <c r="F455" s="43"/>
      <c r="G455" s="43"/>
      <c r="I455" s="115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L455" s="20"/>
    </row>
    <row r="456" spans="5:38" ht="15.75" customHeight="1" x14ac:dyDescent="0.2">
      <c r="E456" s="43"/>
      <c r="F456" s="43"/>
      <c r="G456" s="43"/>
      <c r="I456" s="115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L456" s="20"/>
    </row>
    <row r="457" spans="5:38" ht="15.75" customHeight="1" x14ac:dyDescent="0.2">
      <c r="E457" s="43"/>
      <c r="F457" s="43"/>
      <c r="G457" s="43"/>
      <c r="I457" s="115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L457" s="20"/>
    </row>
    <row r="458" spans="5:38" ht="15.75" customHeight="1" x14ac:dyDescent="0.2">
      <c r="E458" s="43"/>
      <c r="F458" s="43"/>
      <c r="G458" s="43"/>
      <c r="I458" s="115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L458" s="20"/>
    </row>
    <row r="459" spans="5:38" ht="15.75" customHeight="1" x14ac:dyDescent="0.2">
      <c r="E459" s="43"/>
      <c r="F459" s="43"/>
      <c r="G459" s="43"/>
      <c r="I459" s="115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L459" s="20"/>
    </row>
    <row r="460" spans="5:38" ht="15.75" customHeight="1" x14ac:dyDescent="0.2">
      <c r="E460" s="43"/>
      <c r="F460" s="43"/>
      <c r="G460" s="43"/>
      <c r="I460" s="115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L460" s="20"/>
    </row>
    <row r="461" spans="5:38" ht="15.75" customHeight="1" x14ac:dyDescent="0.2">
      <c r="E461" s="43"/>
      <c r="F461" s="43"/>
      <c r="G461" s="43"/>
      <c r="I461" s="115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L461" s="20"/>
    </row>
    <row r="462" spans="5:38" ht="15.75" customHeight="1" x14ac:dyDescent="0.2">
      <c r="E462" s="43"/>
      <c r="F462" s="43"/>
      <c r="G462" s="43"/>
      <c r="I462" s="115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L462" s="20"/>
    </row>
    <row r="463" spans="5:38" ht="15.75" customHeight="1" x14ac:dyDescent="0.2">
      <c r="E463" s="43"/>
      <c r="F463" s="43"/>
      <c r="G463" s="43"/>
      <c r="I463" s="115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L463" s="20"/>
    </row>
    <row r="464" spans="5:38" ht="15.75" customHeight="1" x14ac:dyDescent="0.2">
      <c r="E464" s="43"/>
      <c r="F464" s="43"/>
      <c r="G464" s="43"/>
      <c r="I464" s="115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L464" s="20"/>
    </row>
    <row r="465" spans="5:38" ht="15.75" customHeight="1" x14ac:dyDescent="0.2">
      <c r="E465" s="43"/>
      <c r="F465" s="43"/>
      <c r="G465" s="43"/>
      <c r="I465" s="115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L465" s="20"/>
    </row>
    <row r="466" spans="5:38" ht="15.75" customHeight="1" x14ac:dyDescent="0.2">
      <c r="E466" s="43"/>
      <c r="F466" s="43"/>
      <c r="G466" s="43"/>
      <c r="I466" s="115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L466" s="20"/>
    </row>
    <row r="467" spans="5:38" ht="15.75" customHeight="1" x14ac:dyDescent="0.2">
      <c r="E467" s="43"/>
      <c r="F467" s="43"/>
      <c r="G467" s="43"/>
      <c r="I467" s="115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L467" s="20"/>
    </row>
    <row r="468" spans="5:38" ht="15.75" customHeight="1" x14ac:dyDescent="0.2">
      <c r="E468" s="43"/>
      <c r="F468" s="43"/>
      <c r="G468" s="43"/>
      <c r="I468" s="115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L468" s="20"/>
    </row>
    <row r="469" spans="5:38" ht="15.75" customHeight="1" x14ac:dyDescent="0.2">
      <c r="E469" s="43"/>
      <c r="F469" s="43"/>
      <c r="G469" s="43"/>
      <c r="I469" s="115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L469" s="20"/>
    </row>
    <row r="470" spans="5:38" ht="15.75" customHeight="1" x14ac:dyDescent="0.2">
      <c r="E470" s="43"/>
      <c r="F470" s="43"/>
      <c r="G470" s="43"/>
      <c r="I470" s="115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L470" s="20"/>
    </row>
    <row r="471" spans="5:38" ht="15.75" customHeight="1" x14ac:dyDescent="0.2">
      <c r="E471" s="43"/>
      <c r="F471" s="43"/>
      <c r="G471" s="43"/>
      <c r="I471" s="115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L471" s="20"/>
    </row>
    <row r="472" spans="5:38" ht="15.75" customHeight="1" x14ac:dyDescent="0.2">
      <c r="E472" s="43"/>
      <c r="F472" s="43"/>
      <c r="G472" s="43"/>
      <c r="I472" s="115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L472" s="20"/>
    </row>
    <row r="473" spans="5:38" ht="15.75" customHeight="1" x14ac:dyDescent="0.2">
      <c r="E473" s="43"/>
      <c r="F473" s="43"/>
      <c r="G473" s="43"/>
      <c r="I473" s="115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L473" s="20"/>
    </row>
    <row r="474" spans="5:38" ht="15.75" customHeight="1" x14ac:dyDescent="0.2">
      <c r="E474" s="43"/>
      <c r="F474" s="43"/>
      <c r="G474" s="43"/>
      <c r="I474" s="115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L474" s="20"/>
    </row>
    <row r="475" spans="5:38" ht="15.75" customHeight="1" x14ac:dyDescent="0.2">
      <c r="E475" s="43"/>
      <c r="F475" s="43"/>
      <c r="G475" s="43"/>
      <c r="I475" s="115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L475" s="20"/>
    </row>
    <row r="476" spans="5:38" ht="15.75" customHeight="1" x14ac:dyDescent="0.2">
      <c r="E476" s="43"/>
      <c r="F476" s="43"/>
      <c r="G476" s="43"/>
      <c r="I476" s="115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L476" s="20"/>
    </row>
    <row r="477" spans="5:38" ht="15.75" customHeight="1" x14ac:dyDescent="0.2">
      <c r="E477" s="43"/>
      <c r="F477" s="43"/>
      <c r="G477" s="43"/>
      <c r="I477" s="115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L477" s="20"/>
    </row>
    <row r="478" spans="5:38" ht="15.75" customHeight="1" x14ac:dyDescent="0.2">
      <c r="E478" s="43"/>
      <c r="F478" s="43"/>
      <c r="G478" s="43"/>
      <c r="I478" s="115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L478" s="20"/>
    </row>
    <row r="479" spans="5:38" ht="15.75" customHeight="1" x14ac:dyDescent="0.2">
      <c r="E479" s="43"/>
      <c r="F479" s="43"/>
      <c r="G479" s="43"/>
      <c r="I479" s="115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L479" s="20"/>
    </row>
    <row r="480" spans="5:38" ht="15.75" customHeight="1" x14ac:dyDescent="0.2">
      <c r="E480" s="43"/>
      <c r="F480" s="43"/>
      <c r="G480" s="43"/>
      <c r="I480" s="115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L480" s="20"/>
    </row>
    <row r="481" spans="5:38" ht="15.75" customHeight="1" x14ac:dyDescent="0.2">
      <c r="E481" s="43"/>
      <c r="F481" s="43"/>
      <c r="G481" s="43"/>
      <c r="I481" s="115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L481" s="20"/>
    </row>
    <row r="482" spans="5:38" ht="15.75" customHeight="1" x14ac:dyDescent="0.2">
      <c r="E482" s="43"/>
      <c r="F482" s="43"/>
      <c r="G482" s="43"/>
      <c r="I482" s="115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L482" s="20"/>
    </row>
    <row r="483" spans="5:38" ht="15.75" customHeight="1" x14ac:dyDescent="0.2">
      <c r="E483" s="43"/>
      <c r="F483" s="43"/>
      <c r="G483" s="43"/>
      <c r="I483" s="115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L483" s="20"/>
    </row>
    <row r="484" spans="5:38" ht="15.75" customHeight="1" x14ac:dyDescent="0.2">
      <c r="E484" s="43"/>
      <c r="F484" s="43"/>
      <c r="G484" s="43"/>
      <c r="I484" s="115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L484" s="20"/>
    </row>
    <row r="485" spans="5:38" ht="15.75" customHeight="1" x14ac:dyDescent="0.2">
      <c r="E485" s="43"/>
      <c r="F485" s="43"/>
      <c r="G485" s="43"/>
      <c r="I485" s="115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L485" s="20"/>
    </row>
    <row r="486" spans="5:38" ht="15.75" customHeight="1" x14ac:dyDescent="0.2">
      <c r="E486" s="43"/>
      <c r="F486" s="43"/>
      <c r="G486" s="43"/>
      <c r="I486" s="115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L486" s="20"/>
    </row>
    <row r="487" spans="5:38" ht="15.75" customHeight="1" x14ac:dyDescent="0.2">
      <c r="E487" s="43"/>
      <c r="F487" s="43"/>
      <c r="G487" s="43"/>
      <c r="I487" s="115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L487" s="20"/>
    </row>
    <row r="488" spans="5:38" ht="15.75" customHeight="1" x14ac:dyDescent="0.2">
      <c r="E488" s="43"/>
      <c r="F488" s="43"/>
      <c r="G488" s="43"/>
      <c r="I488" s="115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L488" s="20"/>
    </row>
    <row r="489" spans="5:38" ht="15.75" customHeight="1" x14ac:dyDescent="0.2">
      <c r="E489" s="43"/>
      <c r="F489" s="43"/>
      <c r="G489" s="43"/>
      <c r="I489" s="115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L489" s="20"/>
    </row>
    <row r="490" spans="5:38" ht="15.75" customHeight="1" x14ac:dyDescent="0.2">
      <c r="E490" s="43"/>
      <c r="F490" s="43"/>
      <c r="G490" s="43"/>
      <c r="I490" s="115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L490" s="20"/>
    </row>
    <row r="491" spans="5:38" ht="15.75" customHeight="1" x14ac:dyDescent="0.2">
      <c r="E491" s="43"/>
      <c r="F491" s="43"/>
      <c r="G491" s="43"/>
      <c r="I491" s="115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L491" s="20"/>
    </row>
    <row r="492" spans="5:38" ht="15.75" customHeight="1" x14ac:dyDescent="0.2">
      <c r="E492" s="43"/>
      <c r="F492" s="43"/>
      <c r="G492" s="43"/>
      <c r="I492" s="115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L492" s="20"/>
    </row>
    <row r="493" spans="5:38" ht="15.75" customHeight="1" x14ac:dyDescent="0.2">
      <c r="E493" s="43"/>
      <c r="F493" s="43"/>
      <c r="G493" s="43"/>
      <c r="I493" s="115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L493" s="20"/>
    </row>
    <row r="494" spans="5:38" ht="15.75" customHeight="1" x14ac:dyDescent="0.2">
      <c r="E494" s="43"/>
      <c r="F494" s="43"/>
      <c r="G494" s="43"/>
      <c r="I494" s="115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L494" s="20"/>
    </row>
    <row r="495" spans="5:38" ht="15.75" customHeight="1" x14ac:dyDescent="0.2">
      <c r="E495" s="43"/>
      <c r="F495" s="43"/>
      <c r="G495" s="43"/>
      <c r="I495" s="115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L495" s="20"/>
    </row>
    <row r="496" spans="5:38" ht="15.75" customHeight="1" x14ac:dyDescent="0.2">
      <c r="E496" s="43"/>
      <c r="F496" s="43"/>
      <c r="G496" s="43"/>
      <c r="I496" s="115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L496" s="20"/>
    </row>
    <row r="497" spans="5:38" ht="15.75" customHeight="1" x14ac:dyDescent="0.2">
      <c r="E497" s="43"/>
      <c r="F497" s="43"/>
      <c r="G497" s="43"/>
      <c r="I497" s="115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L497" s="20"/>
    </row>
    <row r="498" spans="5:38" ht="15.75" customHeight="1" x14ac:dyDescent="0.2">
      <c r="E498" s="43"/>
      <c r="F498" s="43"/>
      <c r="G498" s="43"/>
      <c r="I498" s="115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L498" s="20"/>
    </row>
    <row r="499" spans="5:38" ht="15.75" customHeight="1" x14ac:dyDescent="0.2">
      <c r="E499" s="43"/>
      <c r="F499" s="43"/>
      <c r="G499" s="43"/>
      <c r="I499" s="115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L499" s="20"/>
    </row>
    <row r="500" spans="5:38" ht="15.75" customHeight="1" x14ac:dyDescent="0.2">
      <c r="E500" s="43"/>
      <c r="F500" s="43"/>
      <c r="G500" s="43"/>
      <c r="I500" s="115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L500" s="20"/>
    </row>
    <row r="501" spans="5:38" ht="15.75" customHeight="1" x14ac:dyDescent="0.2">
      <c r="E501" s="43"/>
      <c r="F501" s="43"/>
      <c r="G501" s="43"/>
      <c r="I501" s="115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L501" s="20"/>
    </row>
    <row r="502" spans="5:38" ht="15.75" customHeight="1" x14ac:dyDescent="0.2">
      <c r="E502" s="43"/>
      <c r="F502" s="43"/>
      <c r="G502" s="43"/>
      <c r="I502" s="115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L502" s="20"/>
    </row>
    <row r="503" spans="5:38" ht="15.75" customHeight="1" x14ac:dyDescent="0.2">
      <c r="E503" s="43"/>
      <c r="F503" s="43"/>
      <c r="G503" s="43"/>
      <c r="I503" s="115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L503" s="20"/>
    </row>
    <row r="504" spans="5:38" ht="15.75" customHeight="1" x14ac:dyDescent="0.2">
      <c r="E504" s="43"/>
      <c r="F504" s="43"/>
      <c r="G504" s="43"/>
      <c r="I504" s="115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L504" s="20"/>
    </row>
    <row r="505" spans="5:38" ht="15.75" customHeight="1" x14ac:dyDescent="0.2">
      <c r="E505" s="43"/>
      <c r="F505" s="43"/>
      <c r="G505" s="43"/>
      <c r="I505" s="115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L505" s="20"/>
    </row>
    <row r="506" spans="5:38" ht="15.75" customHeight="1" x14ac:dyDescent="0.2">
      <c r="E506" s="43"/>
      <c r="F506" s="43"/>
      <c r="G506" s="43"/>
      <c r="I506" s="115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L506" s="20"/>
    </row>
    <row r="507" spans="5:38" ht="15.75" customHeight="1" x14ac:dyDescent="0.2">
      <c r="E507" s="43"/>
      <c r="F507" s="43"/>
      <c r="G507" s="43"/>
      <c r="I507" s="115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L507" s="20"/>
    </row>
    <row r="508" spans="5:38" ht="15.75" customHeight="1" x14ac:dyDescent="0.2">
      <c r="E508" s="43"/>
      <c r="F508" s="43"/>
      <c r="G508" s="43"/>
      <c r="I508" s="115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L508" s="20"/>
    </row>
    <row r="509" spans="5:38" ht="15.75" customHeight="1" x14ac:dyDescent="0.2">
      <c r="E509" s="43"/>
      <c r="F509" s="43"/>
      <c r="G509" s="43"/>
      <c r="I509" s="115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L509" s="20"/>
    </row>
    <row r="510" spans="5:38" ht="15.75" customHeight="1" x14ac:dyDescent="0.2">
      <c r="E510" s="43"/>
      <c r="F510" s="43"/>
      <c r="G510" s="43"/>
      <c r="I510" s="115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L510" s="20"/>
    </row>
    <row r="511" spans="5:38" ht="15.75" customHeight="1" x14ac:dyDescent="0.2">
      <c r="E511" s="43"/>
      <c r="F511" s="43"/>
      <c r="G511" s="43"/>
      <c r="I511" s="115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L511" s="20"/>
    </row>
    <row r="512" spans="5:38" ht="15.75" customHeight="1" x14ac:dyDescent="0.2">
      <c r="E512" s="43"/>
      <c r="F512" s="43"/>
      <c r="G512" s="43"/>
      <c r="I512" s="115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L512" s="20"/>
    </row>
    <row r="513" spans="5:38" ht="15.75" customHeight="1" x14ac:dyDescent="0.2">
      <c r="E513" s="43"/>
      <c r="F513" s="43"/>
      <c r="G513" s="43"/>
      <c r="I513" s="115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L513" s="20"/>
    </row>
    <row r="514" spans="5:38" ht="15.75" customHeight="1" x14ac:dyDescent="0.2">
      <c r="E514" s="43"/>
      <c r="F514" s="43"/>
      <c r="G514" s="43"/>
      <c r="I514" s="115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L514" s="20"/>
    </row>
    <row r="515" spans="5:38" ht="15.75" customHeight="1" x14ac:dyDescent="0.2">
      <c r="E515" s="43"/>
      <c r="F515" s="43"/>
      <c r="G515" s="43"/>
      <c r="I515" s="115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L515" s="20"/>
    </row>
    <row r="516" spans="5:38" ht="15.75" customHeight="1" x14ac:dyDescent="0.2">
      <c r="E516" s="43"/>
      <c r="F516" s="43"/>
      <c r="G516" s="43"/>
      <c r="I516" s="115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L516" s="20"/>
    </row>
    <row r="517" spans="5:38" ht="15.75" customHeight="1" x14ac:dyDescent="0.2">
      <c r="E517" s="43"/>
      <c r="F517" s="43"/>
      <c r="G517" s="43"/>
      <c r="I517" s="115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L517" s="20"/>
    </row>
    <row r="518" spans="5:38" ht="15.75" customHeight="1" x14ac:dyDescent="0.2">
      <c r="E518" s="43"/>
      <c r="F518" s="43"/>
      <c r="G518" s="43"/>
      <c r="I518" s="115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L518" s="20"/>
    </row>
    <row r="519" spans="5:38" ht="15.75" customHeight="1" x14ac:dyDescent="0.2">
      <c r="E519" s="43"/>
      <c r="F519" s="43"/>
      <c r="G519" s="43"/>
      <c r="I519" s="115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L519" s="20"/>
    </row>
    <row r="520" spans="5:38" ht="15.75" customHeight="1" x14ac:dyDescent="0.2">
      <c r="E520" s="43"/>
      <c r="F520" s="43"/>
      <c r="G520" s="43"/>
      <c r="I520" s="115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L520" s="20"/>
    </row>
    <row r="521" spans="5:38" ht="15.75" customHeight="1" x14ac:dyDescent="0.2">
      <c r="E521" s="43"/>
      <c r="F521" s="43"/>
      <c r="G521" s="43"/>
      <c r="I521" s="115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L521" s="20"/>
    </row>
    <row r="522" spans="5:38" ht="15.75" customHeight="1" x14ac:dyDescent="0.2">
      <c r="E522" s="43"/>
      <c r="F522" s="43"/>
      <c r="G522" s="43"/>
      <c r="I522" s="115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L522" s="20"/>
    </row>
    <row r="523" spans="5:38" ht="15.75" customHeight="1" x14ac:dyDescent="0.2">
      <c r="E523" s="43"/>
      <c r="F523" s="43"/>
      <c r="G523" s="43"/>
      <c r="I523" s="115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L523" s="20"/>
    </row>
    <row r="524" spans="5:38" ht="15.75" customHeight="1" x14ac:dyDescent="0.2">
      <c r="E524" s="43"/>
      <c r="F524" s="43"/>
      <c r="G524" s="43"/>
      <c r="I524" s="115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L524" s="20"/>
    </row>
    <row r="525" spans="5:38" ht="15.75" customHeight="1" x14ac:dyDescent="0.2">
      <c r="E525" s="43"/>
      <c r="F525" s="43"/>
      <c r="G525" s="43"/>
      <c r="I525" s="115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L525" s="20"/>
    </row>
    <row r="526" spans="5:38" ht="15.75" customHeight="1" x14ac:dyDescent="0.2">
      <c r="E526" s="43"/>
      <c r="F526" s="43"/>
      <c r="G526" s="43"/>
      <c r="I526" s="115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L526" s="20"/>
    </row>
    <row r="527" spans="5:38" ht="15.75" customHeight="1" x14ac:dyDescent="0.2">
      <c r="E527" s="43"/>
      <c r="F527" s="43"/>
      <c r="G527" s="43"/>
      <c r="I527" s="115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L527" s="20"/>
    </row>
    <row r="528" spans="5:38" ht="15.75" customHeight="1" x14ac:dyDescent="0.2">
      <c r="E528" s="43"/>
      <c r="F528" s="43"/>
      <c r="G528" s="43"/>
      <c r="I528" s="115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L528" s="20"/>
    </row>
    <row r="529" spans="5:38" ht="15.75" customHeight="1" x14ac:dyDescent="0.2">
      <c r="E529" s="43"/>
      <c r="F529" s="43"/>
      <c r="G529" s="43"/>
      <c r="I529" s="115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L529" s="20"/>
    </row>
    <row r="530" spans="5:38" ht="15.75" customHeight="1" x14ac:dyDescent="0.2">
      <c r="E530" s="43"/>
      <c r="F530" s="43"/>
      <c r="G530" s="43"/>
      <c r="I530" s="115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L530" s="20"/>
    </row>
    <row r="531" spans="5:38" ht="15.75" customHeight="1" x14ac:dyDescent="0.2">
      <c r="E531" s="43"/>
      <c r="F531" s="43"/>
      <c r="G531" s="43"/>
      <c r="I531" s="115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L531" s="20"/>
    </row>
    <row r="532" spans="5:38" ht="15.75" customHeight="1" x14ac:dyDescent="0.2">
      <c r="E532" s="43"/>
      <c r="F532" s="43"/>
      <c r="G532" s="43"/>
      <c r="I532" s="115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L532" s="20"/>
    </row>
    <row r="533" spans="5:38" ht="15.75" customHeight="1" x14ac:dyDescent="0.2">
      <c r="E533" s="43"/>
      <c r="F533" s="43"/>
      <c r="G533" s="43"/>
      <c r="I533" s="115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L533" s="20"/>
    </row>
    <row r="534" spans="5:38" ht="15.75" customHeight="1" x14ac:dyDescent="0.2">
      <c r="E534" s="43"/>
      <c r="F534" s="43"/>
      <c r="G534" s="43"/>
      <c r="I534" s="115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L534" s="20"/>
    </row>
    <row r="535" spans="5:38" ht="15.75" customHeight="1" x14ac:dyDescent="0.2">
      <c r="E535" s="43"/>
      <c r="F535" s="43"/>
      <c r="G535" s="43"/>
      <c r="I535" s="115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L535" s="20"/>
    </row>
    <row r="536" spans="5:38" ht="15.75" customHeight="1" x14ac:dyDescent="0.2">
      <c r="E536" s="43"/>
      <c r="F536" s="43"/>
      <c r="G536" s="43"/>
      <c r="I536" s="115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L536" s="20"/>
    </row>
    <row r="537" spans="5:38" ht="15.75" customHeight="1" x14ac:dyDescent="0.2">
      <c r="E537" s="43"/>
      <c r="F537" s="43"/>
      <c r="G537" s="43"/>
      <c r="I537" s="115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L537" s="20"/>
    </row>
    <row r="538" spans="5:38" ht="15.75" customHeight="1" x14ac:dyDescent="0.2">
      <c r="E538" s="43"/>
      <c r="F538" s="43"/>
      <c r="G538" s="43"/>
      <c r="I538" s="115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L538" s="20"/>
    </row>
    <row r="539" spans="5:38" ht="15.75" customHeight="1" x14ac:dyDescent="0.2">
      <c r="E539" s="43"/>
      <c r="F539" s="43"/>
      <c r="G539" s="43"/>
      <c r="I539" s="115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L539" s="20"/>
    </row>
    <row r="540" spans="5:38" ht="15.75" customHeight="1" x14ac:dyDescent="0.2">
      <c r="E540" s="43"/>
      <c r="F540" s="43"/>
      <c r="G540" s="43"/>
      <c r="I540" s="115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L540" s="20"/>
    </row>
    <row r="541" spans="5:38" ht="15.75" customHeight="1" x14ac:dyDescent="0.2">
      <c r="E541" s="43"/>
      <c r="F541" s="43"/>
      <c r="G541" s="43"/>
      <c r="I541" s="115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L541" s="20"/>
    </row>
    <row r="542" spans="5:38" ht="15.75" customHeight="1" x14ac:dyDescent="0.2">
      <c r="E542" s="43"/>
      <c r="F542" s="43"/>
      <c r="G542" s="43"/>
      <c r="I542" s="115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L542" s="20"/>
    </row>
    <row r="543" spans="5:38" ht="15.75" customHeight="1" x14ac:dyDescent="0.2">
      <c r="E543" s="43"/>
      <c r="F543" s="43"/>
      <c r="G543" s="43"/>
      <c r="I543" s="115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L543" s="20"/>
    </row>
    <row r="544" spans="5:38" ht="15.75" customHeight="1" x14ac:dyDescent="0.2">
      <c r="E544" s="43"/>
      <c r="F544" s="43"/>
      <c r="G544" s="43"/>
      <c r="I544" s="115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L544" s="20"/>
    </row>
    <row r="545" spans="5:38" ht="15.75" customHeight="1" x14ac:dyDescent="0.2">
      <c r="E545" s="43"/>
      <c r="F545" s="43"/>
      <c r="G545" s="43"/>
      <c r="I545" s="115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L545" s="20"/>
    </row>
    <row r="546" spans="5:38" ht="15.75" customHeight="1" x14ac:dyDescent="0.2">
      <c r="E546" s="43"/>
      <c r="F546" s="43"/>
      <c r="G546" s="43"/>
      <c r="I546" s="115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L546" s="20"/>
    </row>
    <row r="547" spans="5:38" ht="15.75" customHeight="1" x14ac:dyDescent="0.2">
      <c r="E547" s="43"/>
      <c r="F547" s="43"/>
      <c r="G547" s="43"/>
      <c r="I547" s="115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L547" s="20"/>
    </row>
    <row r="548" spans="5:38" ht="15.75" customHeight="1" x14ac:dyDescent="0.2">
      <c r="E548" s="43"/>
      <c r="F548" s="43"/>
      <c r="G548" s="43"/>
      <c r="I548" s="115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L548" s="20"/>
    </row>
    <row r="549" spans="5:38" ht="15.75" customHeight="1" x14ac:dyDescent="0.2">
      <c r="E549" s="43"/>
      <c r="F549" s="43"/>
      <c r="G549" s="43"/>
      <c r="I549" s="115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L549" s="20"/>
    </row>
    <row r="550" spans="5:38" ht="15.75" customHeight="1" x14ac:dyDescent="0.2">
      <c r="E550" s="43"/>
      <c r="F550" s="43"/>
      <c r="G550" s="43"/>
      <c r="I550" s="115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L550" s="20"/>
    </row>
    <row r="551" spans="5:38" ht="15.75" customHeight="1" x14ac:dyDescent="0.2">
      <c r="E551" s="43"/>
      <c r="F551" s="43"/>
      <c r="G551" s="43"/>
      <c r="I551" s="115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L551" s="20"/>
    </row>
    <row r="552" spans="5:38" ht="15.75" customHeight="1" x14ac:dyDescent="0.2">
      <c r="E552" s="43"/>
      <c r="F552" s="43"/>
      <c r="G552" s="43"/>
      <c r="I552" s="115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L552" s="20"/>
    </row>
    <row r="553" spans="5:38" ht="15.75" customHeight="1" x14ac:dyDescent="0.2">
      <c r="E553" s="43"/>
      <c r="F553" s="43"/>
      <c r="G553" s="43"/>
      <c r="I553" s="115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L553" s="20"/>
    </row>
    <row r="554" spans="5:38" ht="15.75" customHeight="1" x14ac:dyDescent="0.2">
      <c r="E554" s="43"/>
      <c r="F554" s="43"/>
      <c r="G554" s="43"/>
      <c r="I554" s="115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L554" s="20"/>
    </row>
    <row r="555" spans="5:38" ht="15.75" customHeight="1" x14ac:dyDescent="0.2">
      <c r="E555" s="43"/>
      <c r="F555" s="43"/>
      <c r="G555" s="43"/>
      <c r="I555" s="115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L555" s="20"/>
    </row>
    <row r="556" spans="5:38" ht="15.75" customHeight="1" x14ac:dyDescent="0.2">
      <c r="E556" s="43"/>
      <c r="F556" s="43"/>
      <c r="G556" s="43"/>
      <c r="I556" s="115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L556" s="20"/>
    </row>
    <row r="557" spans="5:38" ht="15.75" customHeight="1" x14ac:dyDescent="0.2">
      <c r="E557" s="43"/>
      <c r="F557" s="43"/>
      <c r="G557" s="43"/>
      <c r="I557" s="115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L557" s="20"/>
    </row>
    <row r="558" spans="5:38" ht="15.75" customHeight="1" x14ac:dyDescent="0.2">
      <c r="E558" s="43"/>
      <c r="F558" s="43"/>
      <c r="G558" s="43"/>
      <c r="I558" s="115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L558" s="20"/>
    </row>
    <row r="559" spans="5:38" ht="15.75" customHeight="1" x14ac:dyDescent="0.2">
      <c r="E559" s="43"/>
      <c r="F559" s="43"/>
      <c r="G559" s="43"/>
      <c r="I559" s="115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L559" s="20"/>
    </row>
    <row r="560" spans="5:38" ht="15.75" customHeight="1" x14ac:dyDescent="0.2">
      <c r="E560" s="43"/>
      <c r="F560" s="43"/>
      <c r="G560" s="43"/>
      <c r="I560" s="115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L560" s="20"/>
    </row>
    <row r="561" spans="5:38" ht="15.75" customHeight="1" x14ac:dyDescent="0.2">
      <c r="E561" s="43"/>
      <c r="F561" s="43"/>
      <c r="G561" s="43"/>
      <c r="I561" s="115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L561" s="20"/>
    </row>
    <row r="562" spans="5:38" ht="15.75" customHeight="1" x14ac:dyDescent="0.2">
      <c r="E562" s="43"/>
      <c r="F562" s="43"/>
      <c r="G562" s="43"/>
      <c r="I562" s="115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L562" s="20"/>
    </row>
    <row r="563" spans="5:38" ht="15.75" customHeight="1" x14ac:dyDescent="0.2">
      <c r="E563" s="43"/>
      <c r="F563" s="43"/>
      <c r="G563" s="43"/>
      <c r="I563" s="115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L563" s="20"/>
    </row>
    <row r="564" spans="5:38" ht="15.75" customHeight="1" x14ac:dyDescent="0.2">
      <c r="E564" s="43"/>
      <c r="F564" s="43"/>
      <c r="G564" s="43"/>
      <c r="I564" s="115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L564" s="20"/>
    </row>
    <row r="565" spans="5:38" ht="15.75" customHeight="1" x14ac:dyDescent="0.2">
      <c r="E565" s="43"/>
      <c r="F565" s="43"/>
      <c r="G565" s="43"/>
      <c r="I565" s="115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L565" s="20"/>
    </row>
    <row r="566" spans="5:38" ht="15.75" customHeight="1" x14ac:dyDescent="0.2">
      <c r="E566" s="43"/>
      <c r="F566" s="43"/>
      <c r="G566" s="43"/>
      <c r="I566" s="115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L566" s="20"/>
    </row>
    <row r="567" spans="5:38" ht="15.75" customHeight="1" x14ac:dyDescent="0.2">
      <c r="E567" s="43"/>
      <c r="F567" s="43"/>
      <c r="G567" s="43"/>
      <c r="I567" s="115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L567" s="20"/>
    </row>
    <row r="568" spans="5:38" ht="15.75" customHeight="1" x14ac:dyDescent="0.2">
      <c r="E568" s="43"/>
      <c r="F568" s="43"/>
      <c r="G568" s="43"/>
      <c r="I568" s="115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L568" s="20"/>
    </row>
    <row r="569" spans="5:38" ht="15.75" customHeight="1" x14ac:dyDescent="0.2">
      <c r="E569" s="43"/>
      <c r="F569" s="43"/>
      <c r="G569" s="43"/>
      <c r="I569" s="115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L569" s="20"/>
    </row>
    <row r="570" spans="5:38" ht="15.75" customHeight="1" x14ac:dyDescent="0.2">
      <c r="E570" s="43"/>
      <c r="F570" s="43"/>
      <c r="G570" s="43"/>
      <c r="I570" s="115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L570" s="20"/>
    </row>
    <row r="571" spans="5:38" ht="15.75" customHeight="1" x14ac:dyDescent="0.2">
      <c r="E571" s="43"/>
      <c r="F571" s="43"/>
      <c r="G571" s="43"/>
      <c r="I571" s="115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L571" s="20"/>
    </row>
    <row r="572" spans="5:38" ht="15.75" customHeight="1" x14ac:dyDescent="0.2">
      <c r="E572" s="43"/>
      <c r="F572" s="43"/>
      <c r="G572" s="43"/>
      <c r="I572" s="115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L572" s="20"/>
    </row>
    <row r="573" spans="5:38" ht="15.75" customHeight="1" x14ac:dyDescent="0.2">
      <c r="E573" s="43"/>
      <c r="F573" s="43"/>
      <c r="G573" s="43"/>
      <c r="I573" s="115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L573" s="20"/>
    </row>
    <row r="574" spans="5:38" ht="15.75" customHeight="1" x14ac:dyDescent="0.2">
      <c r="E574" s="43"/>
      <c r="F574" s="43"/>
      <c r="G574" s="43"/>
      <c r="I574" s="115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L574" s="20"/>
    </row>
    <row r="575" spans="5:38" ht="15.75" customHeight="1" x14ac:dyDescent="0.2">
      <c r="E575" s="43"/>
      <c r="F575" s="43"/>
      <c r="G575" s="43"/>
      <c r="I575" s="115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L575" s="20"/>
    </row>
    <row r="576" spans="5:38" ht="15.75" customHeight="1" x14ac:dyDescent="0.2">
      <c r="E576" s="43"/>
      <c r="F576" s="43"/>
      <c r="G576" s="43"/>
      <c r="I576" s="115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L576" s="20"/>
    </row>
    <row r="577" spans="5:38" ht="15.75" customHeight="1" x14ac:dyDescent="0.2">
      <c r="E577" s="43"/>
      <c r="F577" s="43"/>
      <c r="G577" s="43"/>
      <c r="I577" s="115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L577" s="20"/>
    </row>
    <row r="578" spans="5:38" ht="15.75" customHeight="1" x14ac:dyDescent="0.2">
      <c r="E578" s="43"/>
      <c r="F578" s="43"/>
      <c r="G578" s="43"/>
      <c r="I578" s="115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L578" s="20"/>
    </row>
    <row r="579" spans="5:38" ht="15.75" customHeight="1" x14ac:dyDescent="0.2">
      <c r="E579" s="43"/>
      <c r="F579" s="43"/>
      <c r="G579" s="43"/>
      <c r="I579" s="115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L579" s="20"/>
    </row>
    <row r="580" spans="5:38" ht="15.75" customHeight="1" x14ac:dyDescent="0.2">
      <c r="E580" s="43"/>
      <c r="F580" s="43"/>
      <c r="G580" s="43"/>
      <c r="I580" s="115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L580" s="20"/>
    </row>
    <row r="581" spans="5:38" ht="15.75" customHeight="1" x14ac:dyDescent="0.2">
      <c r="E581" s="43"/>
      <c r="F581" s="43"/>
      <c r="G581" s="43"/>
      <c r="I581" s="115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L581" s="20"/>
    </row>
    <row r="582" spans="5:38" ht="15.75" customHeight="1" x14ac:dyDescent="0.2">
      <c r="E582" s="43"/>
      <c r="F582" s="43"/>
      <c r="G582" s="43"/>
      <c r="I582" s="115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L582" s="20"/>
    </row>
    <row r="583" spans="5:38" ht="15.75" customHeight="1" x14ac:dyDescent="0.2">
      <c r="E583" s="43"/>
      <c r="F583" s="43"/>
      <c r="G583" s="43"/>
      <c r="I583" s="115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L583" s="20"/>
    </row>
    <row r="584" spans="5:38" ht="15.75" customHeight="1" x14ac:dyDescent="0.2">
      <c r="E584" s="43"/>
      <c r="F584" s="43"/>
      <c r="G584" s="43"/>
      <c r="I584" s="115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L584" s="20"/>
    </row>
    <row r="585" spans="5:38" ht="15.75" customHeight="1" x14ac:dyDescent="0.2">
      <c r="E585" s="43"/>
      <c r="F585" s="43"/>
      <c r="G585" s="43"/>
      <c r="I585" s="115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L585" s="20"/>
    </row>
    <row r="586" spans="5:38" ht="15.75" customHeight="1" x14ac:dyDescent="0.2">
      <c r="E586" s="43"/>
      <c r="F586" s="43"/>
      <c r="G586" s="43"/>
      <c r="I586" s="115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L586" s="20"/>
    </row>
    <row r="587" spans="5:38" ht="15.75" customHeight="1" x14ac:dyDescent="0.2">
      <c r="E587" s="43"/>
      <c r="F587" s="43"/>
      <c r="G587" s="43"/>
      <c r="I587" s="115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L587" s="20"/>
    </row>
    <row r="588" spans="5:38" ht="15.75" customHeight="1" x14ac:dyDescent="0.2">
      <c r="E588" s="43"/>
      <c r="F588" s="43"/>
      <c r="G588" s="43"/>
      <c r="I588" s="115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L588" s="20"/>
    </row>
    <row r="589" spans="5:38" ht="15.75" customHeight="1" x14ac:dyDescent="0.2">
      <c r="E589" s="43"/>
      <c r="F589" s="43"/>
      <c r="G589" s="43"/>
      <c r="I589" s="115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L589" s="20"/>
    </row>
    <row r="590" spans="5:38" ht="15.75" customHeight="1" x14ac:dyDescent="0.2">
      <c r="E590" s="43"/>
      <c r="F590" s="43"/>
      <c r="G590" s="43"/>
      <c r="I590" s="115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L590" s="20"/>
    </row>
    <row r="591" spans="5:38" ht="15.75" customHeight="1" x14ac:dyDescent="0.2">
      <c r="E591" s="43"/>
      <c r="F591" s="43"/>
      <c r="G591" s="43"/>
      <c r="I591" s="115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L591" s="20"/>
    </row>
    <row r="592" spans="5:38" ht="15.75" customHeight="1" x14ac:dyDescent="0.2">
      <c r="E592" s="43"/>
      <c r="F592" s="43"/>
      <c r="G592" s="43"/>
      <c r="I592" s="115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L592" s="20"/>
    </row>
    <row r="593" spans="5:38" ht="15.75" customHeight="1" x14ac:dyDescent="0.2">
      <c r="E593" s="43"/>
      <c r="F593" s="43"/>
      <c r="G593" s="43"/>
      <c r="I593" s="115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L593" s="20"/>
    </row>
    <row r="594" spans="5:38" ht="15.75" customHeight="1" x14ac:dyDescent="0.2">
      <c r="E594" s="43"/>
      <c r="F594" s="43"/>
      <c r="G594" s="43"/>
      <c r="I594" s="115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L594" s="20"/>
    </row>
    <row r="595" spans="5:38" ht="15.75" customHeight="1" x14ac:dyDescent="0.2">
      <c r="E595" s="43"/>
      <c r="F595" s="43"/>
      <c r="G595" s="43"/>
      <c r="I595" s="115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L595" s="20"/>
    </row>
    <row r="596" spans="5:38" ht="15.75" customHeight="1" x14ac:dyDescent="0.2">
      <c r="E596" s="43"/>
      <c r="F596" s="43"/>
      <c r="G596" s="43"/>
      <c r="I596" s="115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L596" s="20"/>
    </row>
    <row r="597" spans="5:38" ht="15.75" customHeight="1" x14ac:dyDescent="0.2">
      <c r="E597" s="43"/>
      <c r="F597" s="43"/>
      <c r="G597" s="43"/>
      <c r="I597" s="115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L597" s="20"/>
    </row>
    <row r="598" spans="5:38" ht="15.75" customHeight="1" x14ac:dyDescent="0.2">
      <c r="E598" s="43"/>
      <c r="F598" s="43"/>
      <c r="G598" s="43"/>
      <c r="I598" s="115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L598" s="20"/>
    </row>
    <row r="599" spans="5:38" ht="15.75" customHeight="1" x14ac:dyDescent="0.2">
      <c r="E599" s="43"/>
      <c r="F599" s="43"/>
      <c r="G599" s="43"/>
      <c r="I599" s="115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L599" s="20"/>
    </row>
    <row r="600" spans="5:38" ht="15.75" customHeight="1" x14ac:dyDescent="0.2">
      <c r="E600" s="43"/>
      <c r="F600" s="43"/>
      <c r="G600" s="43"/>
      <c r="I600" s="115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L600" s="20"/>
    </row>
    <row r="601" spans="5:38" ht="15.75" customHeight="1" x14ac:dyDescent="0.2">
      <c r="E601" s="43"/>
      <c r="F601" s="43"/>
      <c r="G601" s="43"/>
      <c r="I601" s="115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L601" s="20"/>
    </row>
    <row r="602" spans="5:38" ht="15.75" customHeight="1" x14ac:dyDescent="0.2">
      <c r="E602" s="43"/>
      <c r="F602" s="43"/>
      <c r="G602" s="43"/>
      <c r="I602" s="115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L602" s="20"/>
    </row>
    <row r="603" spans="5:38" ht="15.75" customHeight="1" x14ac:dyDescent="0.2">
      <c r="E603" s="43"/>
      <c r="F603" s="43"/>
      <c r="G603" s="43"/>
      <c r="I603" s="115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L603" s="20"/>
    </row>
    <row r="604" spans="5:38" ht="15.75" customHeight="1" x14ac:dyDescent="0.2">
      <c r="E604" s="43"/>
      <c r="F604" s="43"/>
      <c r="G604" s="43"/>
      <c r="I604" s="115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L604" s="20"/>
    </row>
    <row r="605" spans="5:38" ht="15.75" customHeight="1" x14ac:dyDescent="0.2">
      <c r="E605" s="43"/>
      <c r="F605" s="43"/>
      <c r="G605" s="43"/>
      <c r="I605" s="115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L605" s="20"/>
    </row>
    <row r="606" spans="5:38" ht="15.75" customHeight="1" x14ac:dyDescent="0.2">
      <c r="E606" s="43"/>
      <c r="F606" s="43"/>
      <c r="G606" s="43"/>
      <c r="I606" s="115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L606" s="20"/>
    </row>
    <row r="607" spans="5:38" ht="15.75" customHeight="1" x14ac:dyDescent="0.2">
      <c r="E607" s="43"/>
      <c r="F607" s="43"/>
      <c r="G607" s="43"/>
      <c r="I607" s="115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L607" s="20"/>
    </row>
    <row r="608" spans="5:38" ht="15.75" customHeight="1" x14ac:dyDescent="0.2">
      <c r="E608" s="43"/>
      <c r="F608" s="43"/>
      <c r="G608" s="43"/>
      <c r="I608" s="115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L608" s="20"/>
    </row>
    <row r="609" spans="5:38" ht="15.75" customHeight="1" x14ac:dyDescent="0.2">
      <c r="E609" s="43"/>
      <c r="F609" s="43"/>
      <c r="G609" s="43"/>
      <c r="I609" s="115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L609" s="20"/>
    </row>
    <row r="610" spans="5:38" ht="15.75" customHeight="1" x14ac:dyDescent="0.2">
      <c r="E610" s="43"/>
      <c r="F610" s="43"/>
      <c r="G610" s="43"/>
      <c r="I610" s="115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L610" s="20"/>
    </row>
    <row r="611" spans="5:38" ht="15.75" customHeight="1" x14ac:dyDescent="0.2">
      <c r="E611" s="43"/>
      <c r="F611" s="43"/>
      <c r="G611" s="43"/>
      <c r="I611" s="115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L611" s="20"/>
    </row>
    <row r="612" spans="5:38" ht="15.75" customHeight="1" x14ac:dyDescent="0.2">
      <c r="E612" s="43"/>
      <c r="F612" s="43"/>
      <c r="G612" s="43"/>
      <c r="I612" s="115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L612" s="20"/>
    </row>
    <row r="613" spans="5:38" ht="15.75" customHeight="1" x14ac:dyDescent="0.2">
      <c r="E613" s="43"/>
      <c r="F613" s="43"/>
      <c r="G613" s="43"/>
      <c r="I613" s="115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L613" s="20"/>
    </row>
    <row r="614" spans="5:38" ht="15.75" customHeight="1" x14ac:dyDescent="0.2">
      <c r="E614" s="43"/>
      <c r="F614" s="43"/>
      <c r="G614" s="43"/>
      <c r="I614" s="115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L614" s="20"/>
    </row>
    <row r="615" spans="5:38" ht="15.75" customHeight="1" x14ac:dyDescent="0.2">
      <c r="E615" s="43"/>
      <c r="F615" s="43"/>
      <c r="G615" s="43"/>
      <c r="I615" s="115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L615" s="20"/>
    </row>
    <row r="616" spans="5:38" ht="15.75" customHeight="1" x14ac:dyDescent="0.2">
      <c r="E616" s="43"/>
      <c r="F616" s="43"/>
      <c r="G616" s="43"/>
      <c r="I616" s="115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L616" s="20"/>
    </row>
    <row r="617" spans="5:38" ht="15.75" customHeight="1" x14ac:dyDescent="0.2">
      <c r="E617" s="43"/>
      <c r="F617" s="43"/>
      <c r="G617" s="43"/>
      <c r="I617" s="115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L617" s="20"/>
    </row>
    <row r="618" spans="5:38" ht="15.75" customHeight="1" x14ac:dyDescent="0.2">
      <c r="E618" s="43"/>
      <c r="F618" s="43"/>
      <c r="G618" s="43"/>
      <c r="I618" s="115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L618" s="20"/>
    </row>
    <row r="619" spans="5:38" ht="15.75" customHeight="1" x14ac:dyDescent="0.2">
      <c r="E619" s="43"/>
      <c r="F619" s="43"/>
      <c r="G619" s="43"/>
      <c r="I619" s="115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L619" s="20"/>
    </row>
    <row r="620" spans="5:38" ht="15.75" customHeight="1" x14ac:dyDescent="0.2">
      <c r="E620" s="43"/>
      <c r="F620" s="43"/>
      <c r="G620" s="43"/>
      <c r="I620" s="115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L620" s="20"/>
    </row>
    <row r="621" spans="5:38" ht="15.75" customHeight="1" x14ac:dyDescent="0.2">
      <c r="E621" s="43"/>
      <c r="F621" s="43"/>
      <c r="G621" s="43"/>
      <c r="I621" s="115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L621" s="20"/>
    </row>
    <row r="622" spans="5:38" ht="15.75" customHeight="1" x14ac:dyDescent="0.2">
      <c r="E622" s="43"/>
      <c r="F622" s="43"/>
      <c r="G622" s="43"/>
      <c r="I622" s="115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L622" s="20"/>
    </row>
    <row r="623" spans="5:38" ht="15.75" customHeight="1" x14ac:dyDescent="0.2">
      <c r="E623" s="43"/>
      <c r="F623" s="43"/>
      <c r="G623" s="43"/>
      <c r="I623" s="115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L623" s="20"/>
    </row>
    <row r="624" spans="5:38" ht="15.75" customHeight="1" x14ac:dyDescent="0.2">
      <c r="E624" s="43"/>
      <c r="F624" s="43"/>
      <c r="G624" s="43"/>
      <c r="I624" s="115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L624" s="20"/>
    </row>
    <row r="625" spans="5:38" ht="15.75" customHeight="1" x14ac:dyDescent="0.2">
      <c r="E625" s="43"/>
      <c r="F625" s="43"/>
      <c r="G625" s="43"/>
      <c r="I625" s="115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L625" s="20"/>
    </row>
    <row r="626" spans="5:38" ht="15.75" customHeight="1" x14ac:dyDescent="0.2">
      <c r="E626" s="43"/>
      <c r="F626" s="43"/>
      <c r="G626" s="43"/>
      <c r="I626" s="115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L626" s="20"/>
    </row>
    <row r="627" spans="5:38" ht="15.75" customHeight="1" x14ac:dyDescent="0.2">
      <c r="E627" s="43"/>
      <c r="F627" s="43"/>
      <c r="G627" s="43"/>
      <c r="I627" s="115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L627" s="20"/>
    </row>
    <row r="628" spans="5:38" ht="15.75" customHeight="1" x14ac:dyDescent="0.2">
      <c r="E628" s="43"/>
      <c r="F628" s="43"/>
      <c r="G628" s="43"/>
      <c r="I628" s="115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L628" s="20"/>
    </row>
    <row r="629" spans="5:38" ht="15.75" customHeight="1" x14ac:dyDescent="0.2">
      <c r="E629" s="43"/>
      <c r="F629" s="43"/>
      <c r="G629" s="43"/>
      <c r="I629" s="115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L629" s="20"/>
    </row>
    <row r="630" spans="5:38" ht="15.75" customHeight="1" x14ac:dyDescent="0.2">
      <c r="E630" s="43"/>
      <c r="F630" s="43"/>
      <c r="G630" s="43"/>
      <c r="I630" s="115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L630" s="20"/>
    </row>
    <row r="631" spans="5:38" ht="15.75" customHeight="1" x14ac:dyDescent="0.2">
      <c r="E631" s="43"/>
      <c r="F631" s="43"/>
      <c r="G631" s="43"/>
      <c r="I631" s="115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L631" s="20"/>
    </row>
    <row r="632" spans="5:38" ht="15.75" customHeight="1" x14ac:dyDescent="0.2">
      <c r="E632" s="43"/>
      <c r="F632" s="43"/>
      <c r="G632" s="43"/>
      <c r="I632" s="115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L632" s="20"/>
    </row>
    <row r="633" spans="5:38" ht="15.75" customHeight="1" x14ac:dyDescent="0.2">
      <c r="E633" s="43"/>
      <c r="F633" s="43"/>
      <c r="G633" s="43"/>
      <c r="I633" s="115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L633" s="20"/>
    </row>
    <row r="634" spans="5:38" ht="15.75" customHeight="1" x14ac:dyDescent="0.2">
      <c r="E634" s="43"/>
      <c r="F634" s="43"/>
      <c r="G634" s="43"/>
      <c r="I634" s="115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L634" s="20"/>
    </row>
    <row r="635" spans="5:38" ht="15.75" customHeight="1" x14ac:dyDescent="0.2">
      <c r="E635" s="43"/>
      <c r="F635" s="43"/>
      <c r="G635" s="43"/>
      <c r="I635" s="115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L635" s="20"/>
    </row>
    <row r="636" spans="5:38" ht="15.75" customHeight="1" x14ac:dyDescent="0.2">
      <c r="E636" s="43"/>
      <c r="F636" s="43"/>
      <c r="G636" s="43"/>
      <c r="I636" s="115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L636" s="20"/>
    </row>
    <row r="637" spans="5:38" ht="15.75" customHeight="1" x14ac:dyDescent="0.2">
      <c r="E637" s="43"/>
      <c r="F637" s="43"/>
      <c r="G637" s="43"/>
      <c r="I637" s="115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L637" s="20"/>
    </row>
    <row r="638" spans="5:38" ht="15.75" customHeight="1" x14ac:dyDescent="0.2">
      <c r="E638" s="43"/>
      <c r="F638" s="43"/>
      <c r="G638" s="43"/>
      <c r="I638" s="115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L638" s="20"/>
    </row>
    <row r="639" spans="5:38" ht="15.75" customHeight="1" x14ac:dyDescent="0.2">
      <c r="E639" s="43"/>
      <c r="F639" s="43"/>
      <c r="G639" s="43"/>
      <c r="I639" s="115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L639" s="20"/>
    </row>
    <row r="640" spans="5:38" ht="15.75" customHeight="1" x14ac:dyDescent="0.2">
      <c r="E640" s="43"/>
      <c r="F640" s="43"/>
      <c r="G640" s="43"/>
      <c r="I640" s="115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L640" s="20"/>
    </row>
    <row r="641" spans="5:38" ht="15.75" customHeight="1" x14ac:dyDescent="0.2">
      <c r="E641" s="43"/>
      <c r="F641" s="43"/>
      <c r="G641" s="43"/>
      <c r="I641" s="115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L641" s="20"/>
    </row>
    <row r="642" spans="5:38" ht="15.75" customHeight="1" x14ac:dyDescent="0.2">
      <c r="E642" s="43"/>
      <c r="F642" s="43"/>
      <c r="G642" s="43"/>
      <c r="I642" s="115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L642" s="20"/>
    </row>
    <row r="643" spans="5:38" ht="15.75" customHeight="1" x14ac:dyDescent="0.2">
      <c r="E643" s="43"/>
      <c r="F643" s="43"/>
      <c r="G643" s="43"/>
      <c r="I643" s="115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L643" s="20"/>
    </row>
    <row r="644" spans="5:38" ht="15.75" customHeight="1" x14ac:dyDescent="0.2">
      <c r="E644" s="43"/>
      <c r="F644" s="43"/>
      <c r="G644" s="43"/>
      <c r="I644" s="115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L644" s="20"/>
    </row>
    <row r="645" spans="5:38" ht="15.75" customHeight="1" x14ac:dyDescent="0.2">
      <c r="E645" s="43"/>
      <c r="F645" s="43"/>
      <c r="G645" s="43"/>
      <c r="I645" s="115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L645" s="20"/>
    </row>
    <row r="646" spans="5:38" ht="15.75" customHeight="1" x14ac:dyDescent="0.2">
      <c r="E646" s="43"/>
      <c r="F646" s="43"/>
      <c r="G646" s="43"/>
      <c r="I646" s="115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L646" s="20"/>
    </row>
    <row r="647" spans="5:38" ht="15.75" customHeight="1" x14ac:dyDescent="0.2">
      <c r="E647" s="43"/>
      <c r="F647" s="43"/>
      <c r="G647" s="43"/>
      <c r="I647" s="115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L647" s="20"/>
    </row>
    <row r="648" spans="5:38" ht="15.75" customHeight="1" x14ac:dyDescent="0.2">
      <c r="E648" s="43"/>
      <c r="F648" s="43"/>
      <c r="G648" s="43"/>
      <c r="I648" s="115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L648" s="20"/>
    </row>
    <row r="649" spans="5:38" ht="15.75" customHeight="1" x14ac:dyDescent="0.2">
      <c r="E649" s="43"/>
      <c r="F649" s="43"/>
      <c r="G649" s="43"/>
      <c r="I649" s="115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L649" s="20"/>
    </row>
    <row r="650" spans="5:38" ht="15.75" customHeight="1" x14ac:dyDescent="0.2">
      <c r="E650" s="43"/>
      <c r="F650" s="43"/>
      <c r="G650" s="43"/>
      <c r="I650" s="115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L650" s="20"/>
    </row>
    <row r="651" spans="5:38" ht="15.75" customHeight="1" x14ac:dyDescent="0.2">
      <c r="E651" s="43"/>
      <c r="F651" s="43"/>
      <c r="G651" s="43"/>
      <c r="I651" s="115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L651" s="20"/>
    </row>
    <row r="652" spans="5:38" ht="15.75" customHeight="1" x14ac:dyDescent="0.2">
      <c r="E652" s="43"/>
      <c r="F652" s="43"/>
      <c r="G652" s="43"/>
      <c r="I652" s="115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L652" s="20"/>
    </row>
    <row r="653" spans="5:38" ht="15.75" customHeight="1" x14ac:dyDescent="0.2">
      <c r="E653" s="43"/>
      <c r="F653" s="43"/>
      <c r="G653" s="43"/>
      <c r="I653" s="115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L653" s="20"/>
    </row>
    <row r="654" spans="5:38" ht="15.75" customHeight="1" x14ac:dyDescent="0.2">
      <c r="E654" s="43"/>
      <c r="F654" s="43"/>
      <c r="G654" s="43"/>
      <c r="I654" s="115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L654" s="20"/>
    </row>
    <row r="655" spans="5:38" ht="15.75" customHeight="1" x14ac:dyDescent="0.2">
      <c r="E655" s="43"/>
      <c r="F655" s="43"/>
      <c r="G655" s="43"/>
      <c r="I655" s="115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L655" s="20"/>
    </row>
    <row r="656" spans="5:38" ht="15.75" customHeight="1" x14ac:dyDescent="0.2">
      <c r="E656" s="43"/>
      <c r="F656" s="43"/>
      <c r="G656" s="43"/>
      <c r="I656" s="115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L656" s="20"/>
    </row>
    <row r="657" spans="5:38" ht="15.75" customHeight="1" x14ac:dyDescent="0.2">
      <c r="E657" s="43"/>
      <c r="F657" s="43"/>
      <c r="G657" s="43"/>
      <c r="I657" s="115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L657" s="20"/>
    </row>
    <row r="658" spans="5:38" ht="15.75" customHeight="1" x14ac:dyDescent="0.2">
      <c r="E658" s="43"/>
      <c r="F658" s="43"/>
      <c r="G658" s="43"/>
      <c r="I658" s="115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L658" s="20"/>
    </row>
    <row r="659" spans="5:38" ht="15.75" customHeight="1" x14ac:dyDescent="0.2">
      <c r="E659" s="43"/>
      <c r="F659" s="43"/>
      <c r="G659" s="43"/>
      <c r="I659" s="115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L659" s="20"/>
    </row>
    <row r="660" spans="5:38" ht="15.75" customHeight="1" x14ac:dyDescent="0.2">
      <c r="E660" s="43"/>
      <c r="F660" s="43"/>
      <c r="G660" s="43"/>
      <c r="I660" s="115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L660" s="20"/>
    </row>
    <row r="661" spans="5:38" ht="15.75" customHeight="1" x14ac:dyDescent="0.2">
      <c r="E661" s="43"/>
      <c r="F661" s="43"/>
      <c r="G661" s="43"/>
      <c r="I661" s="115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L661" s="20"/>
    </row>
    <row r="662" spans="5:38" ht="15.75" customHeight="1" x14ac:dyDescent="0.2">
      <c r="E662" s="43"/>
      <c r="F662" s="43"/>
      <c r="G662" s="43"/>
      <c r="I662" s="115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L662" s="20"/>
    </row>
    <row r="663" spans="5:38" ht="15.75" customHeight="1" x14ac:dyDescent="0.2">
      <c r="E663" s="43"/>
      <c r="F663" s="43"/>
      <c r="G663" s="43"/>
      <c r="I663" s="115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L663" s="20"/>
    </row>
    <row r="664" spans="5:38" ht="15.75" customHeight="1" x14ac:dyDescent="0.2">
      <c r="E664" s="43"/>
      <c r="F664" s="43"/>
      <c r="G664" s="43"/>
      <c r="I664" s="115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L664" s="20"/>
    </row>
    <row r="665" spans="5:38" ht="15.75" customHeight="1" x14ac:dyDescent="0.2">
      <c r="E665" s="43"/>
      <c r="F665" s="43"/>
      <c r="G665" s="43"/>
      <c r="I665" s="115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L665" s="20"/>
    </row>
    <row r="666" spans="5:38" ht="15.75" customHeight="1" x14ac:dyDescent="0.2">
      <c r="E666" s="43"/>
      <c r="F666" s="43"/>
      <c r="G666" s="43"/>
      <c r="I666" s="115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L666" s="20"/>
    </row>
    <row r="667" spans="5:38" ht="15.75" customHeight="1" x14ac:dyDescent="0.2">
      <c r="E667" s="43"/>
      <c r="F667" s="43"/>
      <c r="G667" s="43"/>
      <c r="I667" s="115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L667" s="20"/>
    </row>
    <row r="668" spans="5:38" ht="15.75" customHeight="1" x14ac:dyDescent="0.2">
      <c r="E668" s="43"/>
      <c r="F668" s="43"/>
      <c r="G668" s="43"/>
      <c r="I668" s="115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L668" s="20"/>
    </row>
    <row r="669" spans="5:38" ht="15.75" customHeight="1" x14ac:dyDescent="0.2">
      <c r="E669" s="43"/>
      <c r="F669" s="43"/>
      <c r="G669" s="43"/>
      <c r="I669" s="115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L669" s="20"/>
    </row>
    <row r="670" spans="5:38" ht="15.75" customHeight="1" x14ac:dyDescent="0.2">
      <c r="E670" s="43"/>
      <c r="F670" s="43"/>
      <c r="G670" s="43"/>
      <c r="I670" s="115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L670" s="20"/>
    </row>
    <row r="671" spans="5:38" ht="15.75" customHeight="1" x14ac:dyDescent="0.2">
      <c r="E671" s="43"/>
      <c r="F671" s="43"/>
      <c r="G671" s="43"/>
      <c r="I671" s="115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L671" s="20"/>
    </row>
    <row r="672" spans="5:38" ht="15.75" customHeight="1" x14ac:dyDescent="0.2">
      <c r="E672" s="43"/>
      <c r="F672" s="43"/>
      <c r="G672" s="43"/>
      <c r="I672" s="115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L672" s="20"/>
    </row>
    <row r="673" spans="5:38" ht="15.75" customHeight="1" x14ac:dyDescent="0.2">
      <c r="E673" s="43"/>
      <c r="F673" s="43"/>
      <c r="G673" s="43"/>
      <c r="I673" s="115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L673" s="20"/>
    </row>
    <row r="674" spans="5:38" ht="15.75" customHeight="1" x14ac:dyDescent="0.2">
      <c r="E674" s="43"/>
      <c r="F674" s="43"/>
      <c r="G674" s="43"/>
      <c r="I674" s="115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L674" s="20"/>
    </row>
    <row r="675" spans="5:38" ht="15.75" customHeight="1" x14ac:dyDescent="0.2">
      <c r="E675" s="43"/>
      <c r="F675" s="43"/>
      <c r="G675" s="43"/>
      <c r="I675" s="115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L675" s="20"/>
    </row>
    <row r="676" spans="5:38" ht="15.75" customHeight="1" x14ac:dyDescent="0.2">
      <c r="E676" s="43"/>
      <c r="F676" s="43"/>
      <c r="G676" s="43"/>
      <c r="I676" s="115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L676" s="20"/>
    </row>
    <row r="677" spans="5:38" ht="15.75" customHeight="1" x14ac:dyDescent="0.2">
      <c r="E677" s="43"/>
      <c r="F677" s="43"/>
      <c r="G677" s="43"/>
      <c r="I677" s="115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L677" s="20"/>
    </row>
    <row r="678" spans="5:38" ht="15.75" customHeight="1" x14ac:dyDescent="0.2">
      <c r="E678" s="43"/>
      <c r="F678" s="43"/>
      <c r="G678" s="43"/>
      <c r="I678" s="115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L678" s="20"/>
    </row>
    <row r="679" spans="5:38" ht="15.75" customHeight="1" x14ac:dyDescent="0.2">
      <c r="E679" s="43"/>
      <c r="F679" s="43"/>
      <c r="G679" s="43"/>
      <c r="I679" s="115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L679" s="20"/>
    </row>
    <row r="680" spans="5:38" ht="15.75" customHeight="1" x14ac:dyDescent="0.2">
      <c r="E680" s="43"/>
      <c r="F680" s="43"/>
      <c r="G680" s="43"/>
      <c r="I680" s="115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L680" s="20"/>
    </row>
    <row r="681" spans="5:38" ht="15.75" customHeight="1" x14ac:dyDescent="0.2">
      <c r="E681" s="43"/>
      <c r="F681" s="43"/>
      <c r="G681" s="43"/>
      <c r="I681" s="115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L681" s="20"/>
    </row>
    <row r="682" spans="5:38" ht="15.75" customHeight="1" x14ac:dyDescent="0.2">
      <c r="E682" s="43"/>
      <c r="F682" s="43"/>
      <c r="G682" s="43"/>
      <c r="I682" s="115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L682" s="20"/>
    </row>
    <row r="683" spans="5:38" ht="15.75" customHeight="1" x14ac:dyDescent="0.2">
      <c r="E683" s="43"/>
      <c r="F683" s="43"/>
      <c r="G683" s="43"/>
      <c r="I683" s="115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L683" s="20"/>
    </row>
    <row r="684" spans="5:38" ht="15.75" customHeight="1" x14ac:dyDescent="0.2">
      <c r="E684" s="43"/>
      <c r="F684" s="43"/>
      <c r="G684" s="43"/>
      <c r="I684" s="115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L684" s="20"/>
    </row>
    <row r="685" spans="5:38" ht="15.75" customHeight="1" x14ac:dyDescent="0.2">
      <c r="E685" s="43"/>
      <c r="F685" s="43"/>
      <c r="G685" s="43"/>
      <c r="I685" s="115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L685" s="20"/>
    </row>
    <row r="686" spans="5:38" ht="15.75" customHeight="1" x14ac:dyDescent="0.2">
      <c r="E686" s="43"/>
      <c r="F686" s="43"/>
      <c r="G686" s="43"/>
      <c r="I686" s="115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L686" s="20"/>
    </row>
    <row r="687" spans="5:38" ht="15.75" customHeight="1" x14ac:dyDescent="0.2">
      <c r="E687" s="43"/>
      <c r="F687" s="43"/>
      <c r="G687" s="43"/>
      <c r="I687" s="115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L687" s="20"/>
    </row>
    <row r="688" spans="5:38" ht="15.75" customHeight="1" x14ac:dyDescent="0.2">
      <c r="E688" s="43"/>
      <c r="F688" s="43"/>
      <c r="G688" s="43"/>
      <c r="I688" s="115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L688" s="20"/>
    </row>
    <row r="689" spans="5:38" ht="15.75" customHeight="1" x14ac:dyDescent="0.2">
      <c r="E689" s="43"/>
      <c r="F689" s="43"/>
      <c r="G689" s="43"/>
      <c r="I689" s="115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L689" s="20"/>
    </row>
    <row r="690" spans="5:38" ht="15.75" customHeight="1" x14ac:dyDescent="0.2">
      <c r="E690" s="43"/>
      <c r="F690" s="43"/>
      <c r="G690" s="43"/>
      <c r="I690" s="115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L690" s="20"/>
    </row>
    <row r="691" spans="5:38" ht="15.75" customHeight="1" x14ac:dyDescent="0.2">
      <c r="E691" s="43"/>
      <c r="F691" s="43"/>
      <c r="G691" s="43"/>
      <c r="I691" s="115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L691" s="20"/>
    </row>
    <row r="692" spans="5:38" ht="15.75" customHeight="1" x14ac:dyDescent="0.2">
      <c r="E692" s="43"/>
      <c r="F692" s="43"/>
      <c r="G692" s="43"/>
      <c r="I692" s="115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L692" s="20"/>
    </row>
    <row r="693" spans="5:38" ht="15.75" customHeight="1" x14ac:dyDescent="0.2">
      <c r="E693" s="43"/>
      <c r="F693" s="43"/>
      <c r="G693" s="43"/>
      <c r="I693" s="115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L693" s="20"/>
    </row>
    <row r="694" spans="5:38" ht="15.75" customHeight="1" x14ac:dyDescent="0.2">
      <c r="E694" s="43"/>
      <c r="F694" s="43"/>
      <c r="G694" s="43"/>
      <c r="I694" s="115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L694" s="20"/>
    </row>
    <row r="695" spans="5:38" ht="15.75" customHeight="1" x14ac:dyDescent="0.2">
      <c r="E695" s="43"/>
      <c r="F695" s="43"/>
      <c r="G695" s="43"/>
      <c r="I695" s="115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L695" s="20"/>
    </row>
    <row r="696" spans="5:38" ht="15.75" customHeight="1" x14ac:dyDescent="0.2">
      <c r="E696" s="43"/>
      <c r="F696" s="43"/>
      <c r="G696" s="43"/>
      <c r="I696" s="115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L696" s="20"/>
    </row>
    <row r="697" spans="5:38" ht="15.75" customHeight="1" x14ac:dyDescent="0.2">
      <c r="E697" s="43"/>
      <c r="F697" s="43"/>
      <c r="G697" s="43"/>
      <c r="I697" s="115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L697" s="20"/>
    </row>
    <row r="698" spans="5:38" ht="15.75" customHeight="1" x14ac:dyDescent="0.2">
      <c r="E698" s="43"/>
      <c r="F698" s="43"/>
      <c r="G698" s="43"/>
      <c r="I698" s="115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L698" s="20"/>
    </row>
    <row r="699" spans="5:38" ht="15.75" customHeight="1" x14ac:dyDescent="0.2">
      <c r="E699" s="43"/>
      <c r="F699" s="43"/>
      <c r="G699" s="43"/>
      <c r="I699" s="115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L699" s="20"/>
    </row>
    <row r="700" spans="5:38" ht="15.75" customHeight="1" x14ac:dyDescent="0.2">
      <c r="E700" s="43"/>
      <c r="F700" s="43"/>
      <c r="G700" s="43"/>
      <c r="I700" s="115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L700" s="20"/>
    </row>
    <row r="701" spans="5:38" ht="15.75" customHeight="1" x14ac:dyDescent="0.2">
      <c r="E701" s="43"/>
      <c r="F701" s="43"/>
      <c r="G701" s="43"/>
      <c r="I701" s="115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L701" s="20"/>
    </row>
    <row r="702" spans="5:38" ht="15.75" customHeight="1" x14ac:dyDescent="0.2">
      <c r="E702" s="43"/>
      <c r="F702" s="43"/>
      <c r="G702" s="43"/>
      <c r="I702" s="115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L702" s="20"/>
    </row>
    <row r="703" spans="5:38" ht="15.75" customHeight="1" x14ac:dyDescent="0.2">
      <c r="E703" s="43"/>
      <c r="F703" s="43"/>
      <c r="G703" s="43"/>
      <c r="I703" s="115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L703" s="20"/>
    </row>
    <row r="704" spans="5:38" ht="15.75" customHeight="1" x14ac:dyDescent="0.2">
      <c r="E704" s="43"/>
      <c r="F704" s="43"/>
      <c r="G704" s="43"/>
      <c r="I704" s="115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L704" s="20"/>
    </row>
    <row r="705" spans="5:38" ht="15.75" customHeight="1" x14ac:dyDescent="0.2">
      <c r="E705" s="43"/>
      <c r="F705" s="43"/>
      <c r="G705" s="43"/>
      <c r="I705" s="115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L705" s="20"/>
    </row>
    <row r="706" spans="5:38" ht="15.75" customHeight="1" x14ac:dyDescent="0.2">
      <c r="E706" s="43"/>
      <c r="F706" s="43"/>
      <c r="G706" s="43"/>
      <c r="I706" s="115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L706" s="20"/>
    </row>
    <row r="707" spans="5:38" ht="15.75" customHeight="1" x14ac:dyDescent="0.2">
      <c r="E707" s="43"/>
      <c r="F707" s="43"/>
      <c r="G707" s="43"/>
      <c r="I707" s="115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L707" s="20"/>
    </row>
    <row r="708" spans="5:38" ht="15.75" customHeight="1" x14ac:dyDescent="0.2">
      <c r="E708" s="43"/>
      <c r="F708" s="43"/>
      <c r="G708" s="43"/>
      <c r="I708" s="115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L708" s="20"/>
    </row>
    <row r="709" spans="5:38" ht="15.75" customHeight="1" x14ac:dyDescent="0.2">
      <c r="E709" s="43"/>
      <c r="F709" s="43"/>
      <c r="G709" s="43"/>
      <c r="I709" s="115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L709" s="20"/>
    </row>
    <row r="710" spans="5:38" ht="15.75" customHeight="1" x14ac:dyDescent="0.2">
      <c r="E710" s="43"/>
      <c r="F710" s="43"/>
      <c r="G710" s="43"/>
      <c r="I710" s="115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L710" s="20"/>
    </row>
    <row r="711" spans="5:38" ht="15.75" customHeight="1" x14ac:dyDescent="0.2">
      <c r="E711" s="43"/>
      <c r="F711" s="43"/>
      <c r="G711" s="43"/>
      <c r="I711" s="115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L711" s="20"/>
    </row>
    <row r="712" spans="5:38" ht="15.75" customHeight="1" x14ac:dyDescent="0.2">
      <c r="E712" s="43"/>
      <c r="F712" s="43"/>
      <c r="G712" s="43"/>
      <c r="I712" s="115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L712" s="20"/>
    </row>
    <row r="713" spans="5:38" ht="15.75" customHeight="1" x14ac:dyDescent="0.2">
      <c r="E713" s="43"/>
      <c r="F713" s="43"/>
      <c r="G713" s="43"/>
      <c r="I713" s="115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L713" s="20"/>
    </row>
    <row r="714" spans="5:38" ht="15.75" customHeight="1" x14ac:dyDescent="0.2">
      <c r="E714" s="43"/>
      <c r="F714" s="43"/>
      <c r="G714" s="43"/>
      <c r="I714" s="115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L714" s="20"/>
    </row>
    <row r="715" spans="5:38" ht="15.75" customHeight="1" x14ac:dyDescent="0.2">
      <c r="E715" s="43"/>
      <c r="F715" s="43"/>
      <c r="G715" s="43"/>
      <c r="I715" s="115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L715" s="20"/>
    </row>
    <row r="716" spans="5:38" ht="15.75" customHeight="1" x14ac:dyDescent="0.2">
      <c r="E716" s="43"/>
      <c r="F716" s="43"/>
      <c r="G716" s="43"/>
      <c r="I716" s="115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L716" s="20"/>
    </row>
    <row r="717" spans="5:38" ht="15.75" customHeight="1" x14ac:dyDescent="0.2">
      <c r="E717" s="43"/>
      <c r="F717" s="43"/>
      <c r="G717" s="43"/>
      <c r="I717" s="115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L717" s="20"/>
    </row>
    <row r="718" spans="5:38" ht="15.75" customHeight="1" x14ac:dyDescent="0.2">
      <c r="E718" s="43"/>
      <c r="F718" s="43"/>
      <c r="G718" s="43"/>
      <c r="I718" s="115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L718" s="20"/>
    </row>
    <row r="719" spans="5:38" ht="15.75" customHeight="1" x14ac:dyDescent="0.2">
      <c r="E719" s="43"/>
      <c r="F719" s="43"/>
      <c r="G719" s="43"/>
      <c r="I719" s="115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L719" s="20"/>
    </row>
    <row r="720" spans="5:38" ht="15.75" customHeight="1" x14ac:dyDescent="0.2">
      <c r="E720" s="43"/>
      <c r="F720" s="43"/>
      <c r="G720" s="43"/>
      <c r="I720" s="115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L720" s="20"/>
    </row>
    <row r="721" spans="5:38" ht="15.75" customHeight="1" x14ac:dyDescent="0.2">
      <c r="E721" s="43"/>
      <c r="F721" s="43"/>
      <c r="G721" s="43"/>
      <c r="I721" s="115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L721" s="20"/>
    </row>
    <row r="722" spans="5:38" ht="15.75" customHeight="1" x14ac:dyDescent="0.2">
      <c r="E722" s="43"/>
      <c r="F722" s="43"/>
      <c r="G722" s="43"/>
      <c r="I722" s="115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L722" s="20"/>
    </row>
    <row r="723" spans="5:38" ht="15.75" customHeight="1" x14ac:dyDescent="0.2">
      <c r="E723" s="43"/>
      <c r="F723" s="43"/>
      <c r="G723" s="43"/>
      <c r="I723" s="115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L723" s="20"/>
    </row>
    <row r="724" spans="5:38" ht="15.75" customHeight="1" x14ac:dyDescent="0.2">
      <c r="E724" s="43"/>
      <c r="F724" s="43"/>
      <c r="G724" s="43"/>
      <c r="I724" s="115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L724" s="20"/>
    </row>
    <row r="725" spans="5:38" ht="15.75" customHeight="1" x14ac:dyDescent="0.2">
      <c r="E725" s="43"/>
      <c r="F725" s="43"/>
      <c r="G725" s="43"/>
      <c r="I725" s="115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L725" s="20"/>
    </row>
    <row r="726" spans="5:38" ht="15.75" customHeight="1" x14ac:dyDescent="0.2">
      <c r="E726" s="43"/>
      <c r="F726" s="43"/>
      <c r="G726" s="43"/>
      <c r="I726" s="115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L726" s="20"/>
    </row>
    <row r="727" spans="5:38" ht="15.75" customHeight="1" x14ac:dyDescent="0.2">
      <c r="E727" s="43"/>
      <c r="F727" s="43"/>
      <c r="G727" s="43"/>
      <c r="I727" s="115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L727" s="20"/>
    </row>
    <row r="728" spans="5:38" ht="15.75" customHeight="1" x14ac:dyDescent="0.2">
      <c r="E728" s="43"/>
      <c r="F728" s="43"/>
      <c r="G728" s="43"/>
      <c r="I728" s="115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L728" s="20"/>
    </row>
    <row r="729" spans="5:38" ht="15.75" customHeight="1" x14ac:dyDescent="0.2">
      <c r="E729" s="43"/>
      <c r="F729" s="43"/>
      <c r="G729" s="43"/>
      <c r="I729" s="115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L729" s="20"/>
    </row>
    <row r="730" spans="5:38" ht="15.75" customHeight="1" x14ac:dyDescent="0.2">
      <c r="E730" s="43"/>
      <c r="F730" s="43"/>
      <c r="G730" s="43"/>
      <c r="I730" s="115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L730" s="20"/>
    </row>
    <row r="731" spans="5:38" ht="15.75" customHeight="1" x14ac:dyDescent="0.2">
      <c r="E731" s="43"/>
      <c r="F731" s="43"/>
      <c r="G731" s="43"/>
      <c r="I731" s="115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L731" s="20"/>
    </row>
    <row r="732" spans="5:38" ht="15.75" customHeight="1" x14ac:dyDescent="0.2">
      <c r="E732" s="43"/>
      <c r="F732" s="43"/>
      <c r="G732" s="43"/>
      <c r="I732" s="115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L732" s="20"/>
    </row>
    <row r="733" spans="5:38" ht="15.75" customHeight="1" x14ac:dyDescent="0.2">
      <c r="E733" s="43"/>
      <c r="F733" s="43"/>
      <c r="G733" s="43"/>
      <c r="I733" s="115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L733" s="20"/>
    </row>
    <row r="734" spans="5:38" ht="15.75" customHeight="1" x14ac:dyDescent="0.2">
      <c r="E734" s="43"/>
      <c r="F734" s="43"/>
      <c r="G734" s="43"/>
      <c r="I734" s="115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L734" s="20"/>
    </row>
    <row r="735" spans="5:38" ht="15.75" customHeight="1" x14ac:dyDescent="0.2">
      <c r="E735" s="43"/>
      <c r="F735" s="43"/>
      <c r="G735" s="43"/>
      <c r="I735" s="115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L735" s="20"/>
    </row>
    <row r="736" spans="5:38" ht="15.75" customHeight="1" x14ac:dyDescent="0.2">
      <c r="E736" s="43"/>
      <c r="F736" s="43"/>
      <c r="G736" s="43"/>
      <c r="I736" s="115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L736" s="20"/>
    </row>
    <row r="737" spans="5:38" ht="15.75" customHeight="1" x14ac:dyDescent="0.2">
      <c r="E737" s="43"/>
      <c r="F737" s="43"/>
      <c r="G737" s="43"/>
      <c r="I737" s="115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L737" s="20"/>
    </row>
    <row r="738" spans="5:38" ht="15.75" customHeight="1" x14ac:dyDescent="0.2">
      <c r="E738" s="43"/>
      <c r="F738" s="43"/>
      <c r="G738" s="43"/>
      <c r="I738" s="115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L738" s="20"/>
    </row>
    <row r="739" spans="5:38" ht="15.75" customHeight="1" x14ac:dyDescent="0.2">
      <c r="E739" s="43"/>
      <c r="F739" s="43"/>
      <c r="G739" s="43"/>
      <c r="I739" s="115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L739" s="20"/>
    </row>
    <row r="740" spans="5:38" ht="15.75" customHeight="1" x14ac:dyDescent="0.2">
      <c r="E740" s="43"/>
      <c r="F740" s="43"/>
      <c r="G740" s="43"/>
      <c r="I740" s="115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L740" s="20"/>
    </row>
    <row r="741" spans="5:38" ht="15.75" customHeight="1" x14ac:dyDescent="0.2">
      <c r="E741" s="43"/>
      <c r="F741" s="43"/>
      <c r="G741" s="43"/>
      <c r="I741" s="115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L741" s="20"/>
    </row>
    <row r="742" spans="5:38" ht="15.75" customHeight="1" x14ac:dyDescent="0.2">
      <c r="E742" s="43"/>
      <c r="F742" s="43"/>
      <c r="G742" s="43"/>
      <c r="I742" s="115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L742" s="20"/>
    </row>
    <row r="743" spans="5:38" ht="15.75" customHeight="1" x14ac:dyDescent="0.2">
      <c r="E743" s="43"/>
      <c r="F743" s="43"/>
      <c r="G743" s="43"/>
      <c r="I743" s="115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L743" s="20"/>
    </row>
    <row r="744" spans="5:38" ht="15.75" customHeight="1" x14ac:dyDescent="0.2">
      <c r="E744" s="43"/>
      <c r="F744" s="43"/>
      <c r="G744" s="43"/>
      <c r="I744" s="115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L744" s="20"/>
    </row>
    <row r="745" spans="5:38" ht="15.75" customHeight="1" x14ac:dyDescent="0.2">
      <c r="E745" s="43"/>
      <c r="F745" s="43"/>
      <c r="G745" s="43"/>
      <c r="I745" s="115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L745" s="20"/>
    </row>
    <row r="746" spans="5:38" ht="15.75" customHeight="1" x14ac:dyDescent="0.2">
      <c r="E746" s="43"/>
      <c r="F746" s="43"/>
      <c r="G746" s="43"/>
      <c r="I746" s="115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L746" s="20"/>
    </row>
    <row r="747" spans="5:38" ht="15.75" customHeight="1" x14ac:dyDescent="0.2">
      <c r="E747" s="43"/>
      <c r="F747" s="43"/>
      <c r="G747" s="43"/>
      <c r="I747" s="115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L747" s="20"/>
    </row>
    <row r="748" spans="5:38" ht="15.75" customHeight="1" x14ac:dyDescent="0.2">
      <c r="E748" s="43"/>
      <c r="F748" s="43"/>
      <c r="G748" s="43"/>
      <c r="I748" s="115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L748" s="20"/>
    </row>
    <row r="749" spans="5:38" ht="15.75" customHeight="1" x14ac:dyDescent="0.2">
      <c r="E749" s="43"/>
      <c r="F749" s="43"/>
      <c r="G749" s="43"/>
      <c r="I749" s="115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L749" s="20"/>
    </row>
    <row r="750" spans="5:38" ht="15.75" customHeight="1" x14ac:dyDescent="0.2">
      <c r="E750" s="43"/>
      <c r="F750" s="43"/>
      <c r="G750" s="43"/>
      <c r="I750" s="115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L750" s="20"/>
    </row>
    <row r="751" spans="5:38" ht="15.75" customHeight="1" x14ac:dyDescent="0.2">
      <c r="E751" s="43"/>
      <c r="F751" s="43"/>
      <c r="G751" s="43"/>
      <c r="I751" s="115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L751" s="20"/>
    </row>
    <row r="752" spans="5:38" ht="15.75" customHeight="1" x14ac:dyDescent="0.2">
      <c r="E752" s="43"/>
      <c r="F752" s="43"/>
      <c r="G752" s="43"/>
      <c r="I752" s="115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L752" s="20"/>
    </row>
    <row r="753" spans="5:38" ht="15.75" customHeight="1" x14ac:dyDescent="0.2">
      <c r="E753" s="43"/>
      <c r="F753" s="43"/>
      <c r="G753" s="43"/>
      <c r="I753" s="115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L753" s="20"/>
    </row>
    <row r="754" spans="5:38" ht="15.75" customHeight="1" x14ac:dyDescent="0.2">
      <c r="E754" s="43"/>
      <c r="F754" s="43"/>
      <c r="G754" s="43"/>
      <c r="I754" s="115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L754" s="20"/>
    </row>
    <row r="755" spans="5:38" ht="15.75" customHeight="1" x14ac:dyDescent="0.2">
      <c r="E755" s="43"/>
      <c r="F755" s="43"/>
      <c r="G755" s="43"/>
      <c r="I755" s="115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L755" s="20"/>
    </row>
    <row r="756" spans="5:38" ht="15.75" customHeight="1" x14ac:dyDescent="0.2">
      <c r="E756" s="43"/>
      <c r="F756" s="43"/>
      <c r="G756" s="43"/>
      <c r="I756" s="115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L756" s="20"/>
    </row>
    <row r="757" spans="5:38" ht="15.75" customHeight="1" x14ac:dyDescent="0.2">
      <c r="E757" s="43"/>
      <c r="F757" s="43"/>
      <c r="G757" s="43"/>
      <c r="I757" s="115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L757" s="20"/>
    </row>
    <row r="758" spans="5:38" ht="15.75" customHeight="1" x14ac:dyDescent="0.2">
      <c r="E758" s="43"/>
      <c r="F758" s="43"/>
      <c r="G758" s="43"/>
      <c r="I758" s="115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L758" s="20"/>
    </row>
    <row r="759" spans="5:38" ht="15.75" customHeight="1" x14ac:dyDescent="0.2">
      <c r="E759" s="43"/>
      <c r="F759" s="43"/>
      <c r="G759" s="43"/>
      <c r="I759" s="115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L759" s="20"/>
    </row>
    <row r="760" spans="5:38" ht="15.75" customHeight="1" x14ac:dyDescent="0.2">
      <c r="E760" s="43"/>
      <c r="F760" s="43"/>
      <c r="G760" s="43"/>
      <c r="I760" s="115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L760" s="20"/>
    </row>
    <row r="761" spans="5:38" ht="15.75" customHeight="1" x14ac:dyDescent="0.2">
      <c r="E761" s="43"/>
      <c r="F761" s="43"/>
      <c r="G761" s="43"/>
      <c r="I761" s="115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L761" s="20"/>
    </row>
    <row r="762" spans="5:38" ht="15.75" customHeight="1" x14ac:dyDescent="0.2">
      <c r="E762" s="43"/>
      <c r="F762" s="43"/>
      <c r="G762" s="43"/>
      <c r="I762" s="115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L762" s="20"/>
    </row>
    <row r="763" spans="5:38" ht="15.75" customHeight="1" x14ac:dyDescent="0.2">
      <c r="E763" s="43"/>
      <c r="F763" s="43"/>
      <c r="G763" s="43"/>
      <c r="I763" s="115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L763" s="20"/>
    </row>
    <row r="764" spans="5:38" ht="15.75" customHeight="1" x14ac:dyDescent="0.2">
      <c r="E764" s="43"/>
      <c r="F764" s="43"/>
      <c r="G764" s="43"/>
      <c r="I764" s="115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L764" s="20"/>
    </row>
    <row r="765" spans="5:38" ht="15.75" customHeight="1" x14ac:dyDescent="0.2">
      <c r="E765" s="43"/>
      <c r="F765" s="43"/>
      <c r="G765" s="43"/>
      <c r="I765" s="115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L765" s="20"/>
    </row>
    <row r="766" spans="5:38" ht="15.75" customHeight="1" x14ac:dyDescent="0.2">
      <c r="E766" s="43"/>
      <c r="F766" s="43"/>
      <c r="G766" s="43"/>
      <c r="I766" s="115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L766" s="20"/>
    </row>
    <row r="767" spans="5:38" ht="15.75" customHeight="1" x14ac:dyDescent="0.2">
      <c r="E767" s="43"/>
      <c r="F767" s="43"/>
      <c r="G767" s="43"/>
      <c r="I767" s="115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L767" s="20"/>
    </row>
    <row r="768" spans="5:38" ht="15.75" customHeight="1" x14ac:dyDescent="0.2">
      <c r="E768" s="43"/>
      <c r="F768" s="43"/>
      <c r="G768" s="43"/>
      <c r="I768" s="115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L768" s="20"/>
    </row>
    <row r="769" spans="5:38" ht="15.75" customHeight="1" x14ac:dyDescent="0.2">
      <c r="E769" s="43"/>
      <c r="F769" s="43"/>
      <c r="G769" s="43"/>
      <c r="I769" s="115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L769" s="20"/>
    </row>
    <row r="770" spans="5:38" ht="15.75" customHeight="1" x14ac:dyDescent="0.2">
      <c r="E770" s="43"/>
      <c r="F770" s="43"/>
      <c r="G770" s="43"/>
      <c r="I770" s="115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L770" s="20"/>
    </row>
    <row r="771" spans="5:38" ht="15.75" customHeight="1" x14ac:dyDescent="0.2">
      <c r="E771" s="43"/>
      <c r="F771" s="43"/>
      <c r="G771" s="43"/>
      <c r="I771" s="115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L771" s="20"/>
    </row>
    <row r="772" spans="5:38" ht="15.75" customHeight="1" x14ac:dyDescent="0.2">
      <c r="E772" s="43"/>
      <c r="F772" s="43"/>
      <c r="G772" s="43"/>
      <c r="I772" s="115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L772" s="20"/>
    </row>
    <row r="773" spans="5:38" ht="15.75" customHeight="1" x14ac:dyDescent="0.2">
      <c r="E773" s="43"/>
      <c r="F773" s="43"/>
      <c r="G773" s="43"/>
      <c r="I773" s="115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L773" s="20"/>
    </row>
    <row r="774" spans="5:38" ht="15.75" customHeight="1" x14ac:dyDescent="0.2">
      <c r="E774" s="43"/>
      <c r="F774" s="43"/>
      <c r="G774" s="43"/>
      <c r="I774" s="115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L774" s="20"/>
    </row>
    <row r="775" spans="5:38" ht="15.75" customHeight="1" x14ac:dyDescent="0.2">
      <c r="E775" s="43"/>
      <c r="F775" s="43"/>
      <c r="G775" s="43"/>
      <c r="I775" s="115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L775" s="20"/>
    </row>
    <row r="776" spans="5:38" ht="15.75" customHeight="1" x14ac:dyDescent="0.2">
      <c r="E776" s="43"/>
      <c r="F776" s="43"/>
      <c r="G776" s="43"/>
      <c r="I776" s="115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L776" s="20"/>
    </row>
    <row r="777" spans="5:38" ht="15.75" customHeight="1" x14ac:dyDescent="0.2">
      <c r="E777" s="43"/>
      <c r="F777" s="43"/>
      <c r="G777" s="43"/>
      <c r="I777" s="115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L777" s="20"/>
    </row>
    <row r="778" spans="5:38" ht="15.75" customHeight="1" x14ac:dyDescent="0.2">
      <c r="E778" s="43"/>
      <c r="F778" s="43"/>
      <c r="G778" s="43"/>
      <c r="I778" s="115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L778" s="20"/>
    </row>
    <row r="779" spans="5:38" ht="15.75" customHeight="1" x14ac:dyDescent="0.2">
      <c r="E779" s="43"/>
      <c r="F779" s="43"/>
      <c r="G779" s="43"/>
      <c r="I779" s="115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L779" s="20"/>
    </row>
    <row r="780" spans="5:38" ht="15.75" customHeight="1" x14ac:dyDescent="0.2">
      <c r="E780" s="43"/>
      <c r="F780" s="43"/>
      <c r="G780" s="43"/>
      <c r="I780" s="115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L780" s="20"/>
    </row>
    <row r="781" spans="5:38" ht="15.75" customHeight="1" x14ac:dyDescent="0.2">
      <c r="E781" s="43"/>
      <c r="F781" s="43"/>
      <c r="G781" s="43"/>
      <c r="I781" s="115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L781" s="20"/>
    </row>
    <row r="782" spans="5:38" ht="15.75" customHeight="1" x14ac:dyDescent="0.2">
      <c r="E782" s="43"/>
      <c r="F782" s="43"/>
      <c r="G782" s="43"/>
      <c r="I782" s="115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L782" s="20"/>
    </row>
    <row r="783" spans="5:38" ht="15.75" customHeight="1" x14ac:dyDescent="0.2">
      <c r="E783" s="43"/>
      <c r="F783" s="43"/>
      <c r="G783" s="43"/>
      <c r="I783" s="115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L783" s="20"/>
    </row>
    <row r="784" spans="5:38" ht="15.75" customHeight="1" x14ac:dyDescent="0.2">
      <c r="E784" s="43"/>
      <c r="F784" s="43"/>
      <c r="G784" s="43"/>
      <c r="I784" s="115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L784" s="20"/>
    </row>
    <row r="785" spans="5:38" ht="15.75" customHeight="1" x14ac:dyDescent="0.2">
      <c r="E785" s="43"/>
      <c r="F785" s="43"/>
      <c r="G785" s="43"/>
      <c r="I785" s="115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L785" s="20"/>
    </row>
    <row r="786" spans="5:38" ht="15.75" customHeight="1" x14ac:dyDescent="0.2">
      <c r="E786" s="43"/>
      <c r="F786" s="43"/>
      <c r="G786" s="43"/>
      <c r="I786" s="115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L786" s="20"/>
    </row>
    <row r="787" spans="5:38" ht="15.75" customHeight="1" x14ac:dyDescent="0.2">
      <c r="E787" s="43"/>
      <c r="F787" s="43"/>
      <c r="G787" s="43"/>
      <c r="I787" s="115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L787" s="20"/>
    </row>
    <row r="788" spans="5:38" ht="15.75" customHeight="1" x14ac:dyDescent="0.2">
      <c r="E788" s="43"/>
      <c r="F788" s="43"/>
      <c r="G788" s="43"/>
      <c r="I788" s="115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L788" s="20"/>
    </row>
    <row r="789" spans="5:38" ht="15.75" customHeight="1" x14ac:dyDescent="0.2">
      <c r="E789" s="43"/>
      <c r="F789" s="43"/>
      <c r="G789" s="43"/>
      <c r="I789" s="115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L789" s="20"/>
    </row>
    <row r="790" spans="5:38" ht="15.75" customHeight="1" x14ac:dyDescent="0.2">
      <c r="E790" s="43"/>
      <c r="F790" s="43"/>
      <c r="G790" s="43"/>
      <c r="I790" s="115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L790" s="20"/>
    </row>
    <row r="791" spans="5:38" ht="15.75" customHeight="1" x14ac:dyDescent="0.2">
      <c r="E791" s="43"/>
      <c r="F791" s="43"/>
      <c r="G791" s="43"/>
      <c r="I791" s="115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L791" s="20"/>
    </row>
    <row r="792" spans="5:38" ht="15.75" customHeight="1" x14ac:dyDescent="0.2">
      <c r="E792" s="43"/>
      <c r="F792" s="43"/>
      <c r="G792" s="43"/>
      <c r="I792" s="115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L792" s="20"/>
    </row>
    <row r="793" spans="5:38" ht="15.75" customHeight="1" x14ac:dyDescent="0.2">
      <c r="E793" s="43"/>
      <c r="F793" s="43"/>
      <c r="G793" s="43"/>
      <c r="I793" s="115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L793" s="20"/>
    </row>
    <row r="794" spans="5:38" ht="15.75" customHeight="1" x14ac:dyDescent="0.2">
      <c r="E794" s="43"/>
      <c r="F794" s="43"/>
      <c r="G794" s="43"/>
      <c r="I794" s="115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L794" s="20"/>
    </row>
    <row r="795" spans="5:38" ht="15.75" customHeight="1" x14ac:dyDescent="0.2">
      <c r="E795" s="43"/>
      <c r="F795" s="43"/>
      <c r="G795" s="43"/>
      <c r="I795" s="115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L795" s="20"/>
    </row>
    <row r="796" spans="5:38" ht="15.75" customHeight="1" x14ac:dyDescent="0.2">
      <c r="E796" s="43"/>
      <c r="F796" s="43"/>
      <c r="G796" s="43"/>
      <c r="I796" s="115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L796" s="20"/>
    </row>
    <row r="797" spans="5:38" ht="15.75" customHeight="1" x14ac:dyDescent="0.2">
      <c r="E797" s="43"/>
      <c r="F797" s="43"/>
      <c r="G797" s="43"/>
      <c r="I797" s="115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L797" s="20"/>
    </row>
    <row r="798" spans="5:38" ht="15.75" customHeight="1" x14ac:dyDescent="0.2">
      <c r="E798" s="43"/>
      <c r="F798" s="43"/>
      <c r="G798" s="43"/>
      <c r="I798" s="115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L798" s="20"/>
    </row>
    <row r="799" spans="5:38" ht="15.75" customHeight="1" x14ac:dyDescent="0.2">
      <c r="E799" s="43"/>
      <c r="F799" s="43"/>
      <c r="G799" s="43"/>
      <c r="I799" s="115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L799" s="20"/>
    </row>
    <row r="800" spans="5:38" ht="15.75" customHeight="1" x14ac:dyDescent="0.2">
      <c r="E800" s="43"/>
      <c r="F800" s="43"/>
      <c r="G800" s="43"/>
      <c r="I800" s="115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L800" s="20"/>
    </row>
    <row r="801" spans="5:38" ht="15.75" customHeight="1" x14ac:dyDescent="0.2">
      <c r="E801" s="43"/>
      <c r="F801" s="43"/>
      <c r="G801" s="43"/>
      <c r="I801" s="115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L801" s="20"/>
    </row>
    <row r="802" spans="5:38" ht="15.75" customHeight="1" x14ac:dyDescent="0.2">
      <c r="E802" s="43"/>
      <c r="F802" s="43"/>
      <c r="G802" s="43"/>
      <c r="I802" s="115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L802" s="20"/>
    </row>
    <row r="803" spans="5:38" ht="15.75" customHeight="1" x14ac:dyDescent="0.2">
      <c r="E803" s="43"/>
      <c r="F803" s="43"/>
      <c r="G803" s="43"/>
      <c r="I803" s="115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L803" s="20"/>
    </row>
    <row r="804" spans="5:38" ht="15.75" customHeight="1" x14ac:dyDescent="0.2">
      <c r="E804" s="43"/>
      <c r="F804" s="43"/>
      <c r="G804" s="43"/>
      <c r="I804" s="115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L804" s="20"/>
    </row>
    <row r="805" spans="5:38" ht="15.75" customHeight="1" x14ac:dyDescent="0.2">
      <c r="E805" s="43"/>
      <c r="F805" s="43"/>
      <c r="G805" s="43"/>
      <c r="I805" s="115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L805" s="20"/>
    </row>
    <row r="806" spans="5:38" ht="15.75" customHeight="1" x14ac:dyDescent="0.2">
      <c r="E806" s="43"/>
      <c r="F806" s="43"/>
      <c r="G806" s="43"/>
      <c r="I806" s="115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L806" s="20"/>
    </row>
    <row r="807" spans="5:38" ht="15.75" customHeight="1" x14ac:dyDescent="0.2">
      <c r="E807" s="43"/>
      <c r="F807" s="43"/>
      <c r="G807" s="43"/>
      <c r="I807" s="115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L807" s="20"/>
    </row>
    <row r="808" spans="5:38" ht="15.75" customHeight="1" x14ac:dyDescent="0.2">
      <c r="E808" s="43"/>
      <c r="F808" s="43"/>
      <c r="G808" s="43"/>
      <c r="I808" s="115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L808" s="20"/>
    </row>
    <row r="809" spans="5:38" ht="15.75" customHeight="1" x14ac:dyDescent="0.2">
      <c r="E809" s="43"/>
      <c r="F809" s="43"/>
      <c r="G809" s="43"/>
      <c r="I809" s="115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L809" s="20"/>
    </row>
    <row r="810" spans="5:38" ht="15.75" customHeight="1" x14ac:dyDescent="0.2">
      <c r="E810" s="43"/>
      <c r="F810" s="43"/>
      <c r="G810" s="43"/>
      <c r="I810" s="115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L810" s="20"/>
    </row>
    <row r="811" spans="5:38" ht="15.75" customHeight="1" x14ac:dyDescent="0.2">
      <c r="E811" s="43"/>
      <c r="F811" s="43"/>
      <c r="G811" s="43"/>
      <c r="I811" s="115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L811" s="20"/>
    </row>
    <row r="812" spans="5:38" ht="15.75" customHeight="1" x14ac:dyDescent="0.2">
      <c r="E812" s="43"/>
      <c r="F812" s="43"/>
      <c r="G812" s="43"/>
      <c r="I812" s="115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L812" s="20"/>
    </row>
    <row r="813" spans="5:38" ht="15.75" customHeight="1" x14ac:dyDescent="0.2">
      <c r="E813" s="43"/>
      <c r="F813" s="43"/>
      <c r="G813" s="43"/>
      <c r="I813" s="115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L813" s="20"/>
    </row>
    <row r="814" spans="5:38" ht="15.75" customHeight="1" x14ac:dyDescent="0.2">
      <c r="E814" s="43"/>
      <c r="F814" s="43"/>
      <c r="G814" s="43"/>
      <c r="I814" s="115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L814" s="20"/>
    </row>
    <row r="815" spans="5:38" ht="15.75" customHeight="1" x14ac:dyDescent="0.2">
      <c r="E815" s="43"/>
      <c r="F815" s="43"/>
      <c r="G815" s="43"/>
      <c r="I815" s="115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L815" s="20"/>
    </row>
    <row r="816" spans="5:38" ht="15.75" customHeight="1" x14ac:dyDescent="0.2">
      <c r="E816" s="43"/>
      <c r="F816" s="43"/>
      <c r="G816" s="43"/>
      <c r="I816" s="115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L816" s="20"/>
    </row>
    <row r="817" spans="5:38" ht="15.75" customHeight="1" x14ac:dyDescent="0.2">
      <c r="E817" s="43"/>
      <c r="F817" s="43"/>
      <c r="G817" s="43"/>
      <c r="I817" s="115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L817" s="20"/>
    </row>
    <row r="818" spans="5:38" ht="15.75" customHeight="1" x14ac:dyDescent="0.2">
      <c r="E818" s="43"/>
      <c r="F818" s="43"/>
      <c r="G818" s="43"/>
      <c r="I818" s="115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L818" s="20"/>
    </row>
    <row r="819" spans="5:38" ht="15.75" customHeight="1" x14ac:dyDescent="0.2">
      <c r="E819" s="43"/>
      <c r="F819" s="43"/>
      <c r="G819" s="43"/>
      <c r="I819" s="115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L819" s="20"/>
    </row>
    <row r="820" spans="5:38" ht="15.75" customHeight="1" x14ac:dyDescent="0.2">
      <c r="E820" s="43"/>
      <c r="F820" s="43"/>
      <c r="G820" s="43"/>
      <c r="I820" s="115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L820" s="20"/>
    </row>
    <row r="821" spans="5:38" ht="15.75" customHeight="1" x14ac:dyDescent="0.2">
      <c r="E821" s="43"/>
      <c r="F821" s="43"/>
      <c r="G821" s="43"/>
      <c r="I821" s="115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L821" s="20"/>
    </row>
    <row r="822" spans="5:38" ht="15.75" customHeight="1" x14ac:dyDescent="0.2">
      <c r="E822" s="43"/>
      <c r="F822" s="43"/>
      <c r="G822" s="43"/>
      <c r="I822" s="115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L822" s="20"/>
    </row>
    <row r="823" spans="5:38" ht="15.75" customHeight="1" x14ac:dyDescent="0.2">
      <c r="E823" s="43"/>
      <c r="F823" s="43"/>
      <c r="G823" s="43"/>
      <c r="I823" s="115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L823" s="20"/>
    </row>
    <row r="824" spans="5:38" ht="15.75" customHeight="1" x14ac:dyDescent="0.2">
      <c r="E824" s="43"/>
      <c r="F824" s="43"/>
      <c r="G824" s="43"/>
      <c r="I824" s="115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L824" s="20"/>
    </row>
    <row r="825" spans="5:38" ht="15.75" customHeight="1" x14ac:dyDescent="0.2">
      <c r="E825" s="43"/>
      <c r="F825" s="43"/>
      <c r="G825" s="43"/>
      <c r="I825" s="115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L825" s="20"/>
    </row>
    <row r="826" spans="5:38" ht="15.75" customHeight="1" x14ac:dyDescent="0.2">
      <c r="E826" s="43"/>
      <c r="F826" s="43"/>
      <c r="G826" s="43"/>
      <c r="I826" s="115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L826" s="20"/>
    </row>
    <row r="827" spans="5:38" ht="15.75" customHeight="1" x14ac:dyDescent="0.2">
      <c r="E827" s="43"/>
      <c r="F827" s="43"/>
      <c r="G827" s="43"/>
      <c r="I827" s="115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L827" s="20"/>
    </row>
    <row r="828" spans="5:38" ht="15.75" customHeight="1" x14ac:dyDescent="0.2">
      <c r="E828" s="43"/>
      <c r="F828" s="43"/>
      <c r="G828" s="43"/>
      <c r="I828" s="115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L828" s="20"/>
    </row>
    <row r="829" spans="5:38" ht="15.75" customHeight="1" x14ac:dyDescent="0.2">
      <c r="E829" s="43"/>
      <c r="F829" s="43"/>
      <c r="G829" s="43"/>
      <c r="I829" s="115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L829" s="20"/>
    </row>
    <row r="830" spans="5:38" ht="15.75" customHeight="1" x14ac:dyDescent="0.2">
      <c r="E830" s="43"/>
      <c r="F830" s="43"/>
      <c r="G830" s="43"/>
      <c r="I830" s="115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L830" s="20"/>
    </row>
    <row r="831" spans="5:38" ht="15.75" customHeight="1" x14ac:dyDescent="0.2">
      <c r="E831" s="43"/>
      <c r="F831" s="43"/>
      <c r="G831" s="43"/>
      <c r="I831" s="115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L831" s="20"/>
    </row>
    <row r="832" spans="5:38" ht="15.75" customHeight="1" x14ac:dyDescent="0.2">
      <c r="E832" s="43"/>
      <c r="F832" s="43"/>
      <c r="G832" s="43"/>
      <c r="I832" s="115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L832" s="20"/>
    </row>
    <row r="833" spans="5:38" ht="15.75" customHeight="1" x14ac:dyDescent="0.2">
      <c r="E833" s="43"/>
      <c r="F833" s="43"/>
      <c r="G833" s="43"/>
      <c r="I833" s="115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L833" s="20"/>
    </row>
    <row r="834" spans="5:38" ht="15.75" customHeight="1" x14ac:dyDescent="0.2">
      <c r="E834" s="43"/>
      <c r="F834" s="43"/>
      <c r="G834" s="43"/>
      <c r="I834" s="115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L834" s="20"/>
    </row>
    <row r="835" spans="5:38" ht="15.75" customHeight="1" x14ac:dyDescent="0.2">
      <c r="E835" s="43"/>
      <c r="F835" s="43"/>
      <c r="G835" s="43"/>
      <c r="I835" s="115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L835" s="20"/>
    </row>
    <row r="836" spans="5:38" ht="15.75" customHeight="1" x14ac:dyDescent="0.2">
      <c r="E836" s="43"/>
      <c r="F836" s="43"/>
      <c r="G836" s="43"/>
      <c r="I836" s="115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L836" s="20"/>
    </row>
    <row r="837" spans="5:38" ht="15.75" customHeight="1" x14ac:dyDescent="0.2">
      <c r="E837" s="43"/>
      <c r="F837" s="43"/>
      <c r="G837" s="43"/>
      <c r="I837" s="115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L837" s="20"/>
    </row>
    <row r="838" spans="5:38" ht="15.75" customHeight="1" x14ac:dyDescent="0.2">
      <c r="E838" s="43"/>
      <c r="F838" s="43"/>
      <c r="G838" s="43"/>
      <c r="I838" s="115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L838" s="20"/>
    </row>
    <row r="839" spans="5:38" ht="15.75" customHeight="1" x14ac:dyDescent="0.2">
      <c r="E839" s="43"/>
      <c r="F839" s="43"/>
      <c r="G839" s="43"/>
      <c r="I839" s="115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L839" s="20"/>
    </row>
    <row r="840" spans="5:38" ht="15.75" customHeight="1" x14ac:dyDescent="0.2">
      <c r="E840" s="43"/>
      <c r="F840" s="43"/>
      <c r="G840" s="43"/>
      <c r="I840" s="115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L840" s="20"/>
    </row>
    <row r="841" spans="5:38" ht="15.75" customHeight="1" x14ac:dyDescent="0.2">
      <c r="E841" s="43"/>
      <c r="F841" s="43"/>
      <c r="G841" s="43"/>
      <c r="I841" s="115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L841" s="20"/>
    </row>
    <row r="842" spans="5:38" ht="15.75" customHeight="1" x14ac:dyDescent="0.2">
      <c r="E842" s="43"/>
      <c r="F842" s="43"/>
      <c r="G842" s="43"/>
      <c r="I842" s="115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L842" s="20"/>
    </row>
    <row r="843" spans="5:38" ht="15.75" customHeight="1" x14ac:dyDescent="0.2">
      <c r="E843" s="43"/>
      <c r="F843" s="43"/>
      <c r="G843" s="43"/>
      <c r="I843" s="115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L843" s="20"/>
    </row>
    <row r="844" spans="5:38" ht="15.75" customHeight="1" x14ac:dyDescent="0.2">
      <c r="E844" s="43"/>
      <c r="F844" s="43"/>
      <c r="G844" s="43"/>
      <c r="I844" s="115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L844" s="20"/>
    </row>
    <row r="845" spans="5:38" ht="15.75" customHeight="1" x14ac:dyDescent="0.2">
      <c r="E845" s="43"/>
      <c r="F845" s="43"/>
      <c r="G845" s="43"/>
      <c r="I845" s="115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L845" s="20"/>
    </row>
    <row r="846" spans="5:38" ht="15.75" customHeight="1" x14ac:dyDescent="0.2">
      <c r="E846" s="43"/>
      <c r="F846" s="43"/>
      <c r="G846" s="43"/>
      <c r="I846" s="115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L846" s="20"/>
    </row>
    <row r="847" spans="5:38" ht="15.75" customHeight="1" x14ac:dyDescent="0.2">
      <c r="E847" s="43"/>
      <c r="F847" s="43"/>
      <c r="G847" s="43"/>
      <c r="I847" s="115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L847" s="20"/>
    </row>
    <row r="848" spans="5:38" ht="15.75" customHeight="1" x14ac:dyDescent="0.2">
      <c r="E848" s="43"/>
      <c r="F848" s="43"/>
      <c r="G848" s="43"/>
      <c r="I848" s="115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L848" s="20"/>
    </row>
    <row r="849" spans="5:38" ht="15.75" customHeight="1" x14ac:dyDescent="0.2">
      <c r="E849" s="43"/>
      <c r="F849" s="43"/>
      <c r="G849" s="43"/>
      <c r="I849" s="115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L849" s="20"/>
    </row>
    <row r="850" spans="5:38" ht="15.75" customHeight="1" x14ac:dyDescent="0.2">
      <c r="E850" s="43"/>
      <c r="F850" s="43"/>
      <c r="G850" s="43"/>
      <c r="I850" s="115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L850" s="20"/>
    </row>
    <row r="851" spans="5:38" ht="15.75" customHeight="1" x14ac:dyDescent="0.2">
      <c r="E851" s="43"/>
      <c r="F851" s="43"/>
      <c r="G851" s="43"/>
      <c r="I851" s="115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L851" s="20"/>
    </row>
    <row r="852" spans="5:38" ht="15.75" customHeight="1" x14ac:dyDescent="0.2">
      <c r="E852" s="43"/>
      <c r="F852" s="43"/>
      <c r="G852" s="43"/>
      <c r="I852" s="115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L852" s="20"/>
    </row>
    <row r="853" spans="5:38" ht="15.75" customHeight="1" x14ac:dyDescent="0.2">
      <c r="E853" s="43"/>
      <c r="F853" s="43"/>
      <c r="G853" s="43"/>
      <c r="I853" s="115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L853" s="20"/>
    </row>
    <row r="854" spans="5:38" ht="15.75" customHeight="1" x14ac:dyDescent="0.2">
      <c r="E854" s="43"/>
      <c r="F854" s="43"/>
      <c r="G854" s="43"/>
      <c r="I854" s="115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L854" s="20"/>
    </row>
    <row r="855" spans="5:38" ht="15.75" customHeight="1" x14ac:dyDescent="0.2">
      <c r="E855" s="43"/>
      <c r="F855" s="43"/>
      <c r="G855" s="43"/>
      <c r="I855" s="115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L855" s="20"/>
    </row>
    <row r="856" spans="5:38" ht="15.75" customHeight="1" x14ac:dyDescent="0.2">
      <c r="E856" s="43"/>
      <c r="F856" s="43"/>
      <c r="G856" s="43"/>
      <c r="I856" s="115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L856" s="20"/>
    </row>
    <row r="857" spans="5:38" ht="15.75" customHeight="1" x14ac:dyDescent="0.2">
      <c r="E857" s="43"/>
      <c r="F857" s="43"/>
      <c r="G857" s="43"/>
      <c r="I857" s="115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L857" s="20"/>
    </row>
    <row r="858" spans="5:38" ht="15.75" customHeight="1" x14ac:dyDescent="0.2">
      <c r="E858" s="43"/>
      <c r="F858" s="43"/>
      <c r="G858" s="43"/>
      <c r="I858" s="115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L858" s="20"/>
    </row>
    <row r="859" spans="5:38" ht="15.75" customHeight="1" x14ac:dyDescent="0.2">
      <c r="E859" s="43"/>
      <c r="F859" s="43"/>
      <c r="G859" s="43"/>
      <c r="I859" s="115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L859" s="20"/>
    </row>
    <row r="860" spans="5:38" ht="15.75" customHeight="1" x14ac:dyDescent="0.2">
      <c r="E860" s="43"/>
      <c r="F860" s="43"/>
      <c r="G860" s="43"/>
      <c r="I860" s="115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L860" s="20"/>
    </row>
    <row r="861" spans="5:38" ht="15.75" customHeight="1" x14ac:dyDescent="0.2">
      <c r="E861" s="43"/>
      <c r="F861" s="43"/>
      <c r="G861" s="43"/>
      <c r="I861" s="115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L861" s="20"/>
    </row>
    <row r="862" spans="5:38" ht="15.75" customHeight="1" x14ac:dyDescent="0.2">
      <c r="E862" s="43"/>
      <c r="F862" s="43"/>
      <c r="G862" s="43"/>
      <c r="I862" s="115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L862" s="20"/>
    </row>
    <row r="863" spans="5:38" ht="15.75" customHeight="1" x14ac:dyDescent="0.2">
      <c r="E863" s="43"/>
      <c r="F863" s="43"/>
      <c r="G863" s="43"/>
      <c r="I863" s="115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L863" s="20"/>
    </row>
    <row r="864" spans="5:38" ht="15.75" customHeight="1" x14ac:dyDescent="0.2">
      <c r="E864" s="43"/>
      <c r="F864" s="43"/>
      <c r="G864" s="43"/>
      <c r="I864" s="115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L864" s="20"/>
    </row>
    <row r="865" spans="5:38" ht="15.75" customHeight="1" x14ac:dyDescent="0.2">
      <c r="E865" s="43"/>
      <c r="F865" s="43"/>
      <c r="G865" s="43"/>
      <c r="I865" s="115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L865" s="20"/>
    </row>
    <row r="866" spans="5:38" ht="15.75" customHeight="1" x14ac:dyDescent="0.2">
      <c r="E866" s="43"/>
      <c r="F866" s="43"/>
      <c r="G866" s="43"/>
      <c r="I866" s="115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L866" s="20"/>
    </row>
    <row r="867" spans="5:38" ht="15.75" customHeight="1" x14ac:dyDescent="0.2">
      <c r="E867" s="43"/>
      <c r="F867" s="43"/>
      <c r="G867" s="43"/>
      <c r="I867" s="115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L867" s="20"/>
    </row>
    <row r="868" spans="5:38" ht="15.75" customHeight="1" x14ac:dyDescent="0.2">
      <c r="E868" s="43"/>
      <c r="F868" s="43"/>
      <c r="G868" s="43"/>
      <c r="I868" s="115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L868" s="20"/>
    </row>
    <row r="869" spans="5:38" ht="15.75" customHeight="1" x14ac:dyDescent="0.2">
      <c r="E869" s="43"/>
      <c r="F869" s="43"/>
      <c r="G869" s="43"/>
      <c r="I869" s="115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L869" s="20"/>
    </row>
    <row r="870" spans="5:38" ht="15.75" customHeight="1" x14ac:dyDescent="0.2">
      <c r="E870" s="43"/>
      <c r="F870" s="43"/>
      <c r="G870" s="43"/>
      <c r="I870" s="115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L870" s="20"/>
    </row>
    <row r="871" spans="5:38" ht="15.75" customHeight="1" x14ac:dyDescent="0.2">
      <c r="E871" s="43"/>
      <c r="F871" s="43"/>
      <c r="G871" s="43"/>
      <c r="I871" s="115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L871" s="20"/>
    </row>
    <row r="872" spans="5:38" ht="15.75" customHeight="1" x14ac:dyDescent="0.2">
      <c r="E872" s="43"/>
      <c r="F872" s="43"/>
      <c r="G872" s="43"/>
      <c r="I872" s="115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L872" s="20"/>
    </row>
    <row r="873" spans="5:38" ht="15.75" customHeight="1" x14ac:dyDescent="0.2">
      <c r="E873" s="43"/>
      <c r="F873" s="43"/>
      <c r="G873" s="43"/>
      <c r="I873" s="115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L873" s="20"/>
    </row>
    <row r="874" spans="5:38" ht="15.75" customHeight="1" x14ac:dyDescent="0.2">
      <c r="E874" s="43"/>
      <c r="F874" s="43"/>
      <c r="G874" s="43"/>
      <c r="I874" s="115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L874" s="20"/>
    </row>
    <row r="875" spans="5:38" ht="15.75" customHeight="1" x14ac:dyDescent="0.2">
      <c r="E875" s="43"/>
      <c r="F875" s="43"/>
      <c r="G875" s="43"/>
      <c r="I875" s="115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L875" s="20"/>
    </row>
    <row r="876" spans="5:38" ht="15.75" customHeight="1" x14ac:dyDescent="0.2">
      <c r="E876" s="43"/>
      <c r="F876" s="43"/>
      <c r="G876" s="43"/>
      <c r="I876" s="115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L876" s="20"/>
    </row>
    <row r="877" spans="5:38" ht="15.75" customHeight="1" x14ac:dyDescent="0.2">
      <c r="E877" s="43"/>
      <c r="F877" s="43"/>
      <c r="G877" s="43"/>
      <c r="I877" s="115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L877" s="20"/>
    </row>
    <row r="878" spans="5:38" ht="15.75" customHeight="1" x14ac:dyDescent="0.2">
      <c r="E878" s="43"/>
      <c r="F878" s="43"/>
      <c r="G878" s="43"/>
      <c r="I878" s="115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L878" s="20"/>
    </row>
    <row r="879" spans="5:38" ht="15.75" customHeight="1" x14ac:dyDescent="0.2">
      <c r="E879" s="43"/>
      <c r="F879" s="43"/>
      <c r="G879" s="43"/>
      <c r="I879" s="115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L879" s="20"/>
    </row>
    <row r="880" spans="5:38" ht="15.75" customHeight="1" x14ac:dyDescent="0.2">
      <c r="E880" s="43"/>
      <c r="F880" s="43"/>
      <c r="G880" s="43"/>
      <c r="I880" s="115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L880" s="20"/>
    </row>
    <row r="881" spans="5:38" ht="15.75" customHeight="1" x14ac:dyDescent="0.2">
      <c r="E881" s="43"/>
      <c r="F881" s="43"/>
      <c r="G881" s="43"/>
      <c r="I881" s="115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L881" s="20"/>
    </row>
    <row r="882" spans="5:38" ht="15.75" customHeight="1" x14ac:dyDescent="0.2">
      <c r="E882" s="43"/>
      <c r="F882" s="43"/>
      <c r="G882" s="43"/>
      <c r="I882" s="115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L882" s="20"/>
    </row>
    <row r="883" spans="5:38" ht="15.75" customHeight="1" x14ac:dyDescent="0.2">
      <c r="E883" s="43"/>
      <c r="F883" s="43"/>
      <c r="G883" s="43"/>
      <c r="I883" s="115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L883" s="20"/>
    </row>
    <row r="884" spans="5:38" ht="15.75" customHeight="1" x14ac:dyDescent="0.2">
      <c r="E884" s="43"/>
      <c r="F884" s="43"/>
      <c r="G884" s="43"/>
      <c r="I884" s="115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L884" s="20"/>
    </row>
    <row r="885" spans="5:38" ht="15.75" customHeight="1" x14ac:dyDescent="0.2">
      <c r="E885" s="43"/>
      <c r="F885" s="43"/>
      <c r="G885" s="43"/>
      <c r="I885" s="115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L885" s="20"/>
    </row>
    <row r="886" spans="5:38" ht="15.75" customHeight="1" x14ac:dyDescent="0.2">
      <c r="E886" s="43"/>
      <c r="F886" s="43"/>
      <c r="G886" s="43"/>
      <c r="I886" s="115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L886" s="20"/>
    </row>
    <row r="887" spans="5:38" ht="15.75" customHeight="1" x14ac:dyDescent="0.2">
      <c r="E887" s="43"/>
      <c r="F887" s="43"/>
      <c r="G887" s="43"/>
      <c r="I887" s="115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L887" s="20"/>
    </row>
    <row r="888" spans="5:38" ht="15.75" customHeight="1" x14ac:dyDescent="0.2">
      <c r="E888" s="43"/>
      <c r="F888" s="43"/>
      <c r="G888" s="43"/>
      <c r="I888" s="115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L888" s="20"/>
    </row>
    <row r="889" spans="5:38" ht="15.75" customHeight="1" x14ac:dyDescent="0.2">
      <c r="E889" s="43"/>
      <c r="F889" s="43"/>
      <c r="G889" s="43"/>
      <c r="I889" s="115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L889" s="20"/>
    </row>
    <row r="890" spans="5:38" ht="15.75" customHeight="1" x14ac:dyDescent="0.2">
      <c r="E890" s="43"/>
      <c r="F890" s="43"/>
      <c r="G890" s="43"/>
      <c r="I890" s="115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L890" s="20"/>
    </row>
    <row r="891" spans="5:38" ht="15.75" customHeight="1" x14ac:dyDescent="0.2">
      <c r="E891" s="43"/>
      <c r="F891" s="43"/>
      <c r="G891" s="43"/>
      <c r="I891" s="115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L891" s="20"/>
    </row>
    <row r="892" spans="5:38" ht="15.75" customHeight="1" x14ac:dyDescent="0.2">
      <c r="E892" s="43"/>
      <c r="F892" s="43"/>
      <c r="G892" s="43"/>
      <c r="I892" s="115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L892" s="20"/>
    </row>
    <row r="893" spans="5:38" ht="15.75" customHeight="1" x14ac:dyDescent="0.2">
      <c r="E893" s="43"/>
      <c r="F893" s="43"/>
      <c r="G893" s="43"/>
      <c r="I893" s="115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L893" s="20"/>
    </row>
    <row r="894" spans="5:38" ht="15.75" customHeight="1" x14ac:dyDescent="0.2">
      <c r="E894" s="43"/>
      <c r="F894" s="43"/>
      <c r="G894" s="43"/>
      <c r="I894" s="115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L894" s="20"/>
    </row>
    <row r="895" spans="5:38" ht="15.75" customHeight="1" x14ac:dyDescent="0.2">
      <c r="E895" s="43"/>
      <c r="F895" s="43"/>
      <c r="G895" s="43"/>
      <c r="I895" s="115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L895" s="20"/>
    </row>
    <row r="896" spans="5:38" ht="15.75" customHeight="1" x14ac:dyDescent="0.2">
      <c r="E896" s="43"/>
      <c r="F896" s="43"/>
      <c r="G896" s="43"/>
      <c r="I896" s="115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L896" s="20"/>
    </row>
    <row r="897" spans="5:38" ht="15.75" customHeight="1" x14ac:dyDescent="0.2">
      <c r="E897" s="43"/>
      <c r="F897" s="43"/>
      <c r="G897" s="43"/>
      <c r="I897" s="115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L897" s="20"/>
    </row>
    <row r="898" spans="5:38" ht="15.75" customHeight="1" x14ac:dyDescent="0.2">
      <c r="E898" s="43"/>
      <c r="F898" s="43"/>
      <c r="G898" s="43"/>
      <c r="I898" s="115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L898" s="20"/>
    </row>
    <row r="899" spans="5:38" ht="15.75" customHeight="1" x14ac:dyDescent="0.2">
      <c r="E899" s="43"/>
      <c r="F899" s="43"/>
      <c r="G899" s="43"/>
      <c r="I899" s="115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L899" s="20"/>
    </row>
    <row r="900" spans="5:38" ht="15.75" customHeight="1" x14ac:dyDescent="0.2">
      <c r="E900" s="43"/>
      <c r="F900" s="43"/>
      <c r="G900" s="43"/>
      <c r="I900" s="115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L900" s="20"/>
    </row>
    <row r="901" spans="5:38" ht="15.75" customHeight="1" x14ac:dyDescent="0.2">
      <c r="E901" s="43"/>
      <c r="F901" s="43"/>
      <c r="G901" s="43"/>
      <c r="I901" s="115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L901" s="20"/>
    </row>
    <row r="902" spans="5:38" ht="15.75" customHeight="1" x14ac:dyDescent="0.2">
      <c r="E902" s="43"/>
      <c r="F902" s="43"/>
      <c r="G902" s="43"/>
      <c r="I902" s="115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L902" s="20"/>
    </row>
    <row r="903" spans="5:38" ht="15.75" customHeight="1" x14ac:dyDescent="0.2">
      <c r="E903" s="43"/>
      <c r="F903" s="43"/>
      <c r="G903" s="43"/>
      <c r="I903" s="115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L903" s="20"/>
    </row>
    <row r="904" spans="5:38" ht="15.75" customHeight="1" x14ac:dyDescent="0.2">
      <c r="E904" s="43"/>
      <c r="F904" s="43"/>
      <c r="G904" s="43"/>
      <c r="I904" s="115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L904" s="20"/>
    </row>
    <row r="905" spans="5:38" ht="15.75" customHeight="1" x14ac:dyDescent="0.2">
      <c r="E905" s="43"/>
      <c r="F905" s="43"/>
      <c r="G905" s="43"/>
      <c r="I905" s="115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L905" s="20"/>
    </row>
    <row r="906" spans="5:38" ht="15.75" customHeight="1" x14ac:dyDescent="0.2">
      <c r="E906" s="43"/>
      <c r="F906" s="43"/>
      <c r="G906" s="43"/>
      <c r="I906" s="115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L906" s="20"/>
    </row>
    <row r="907" spans="5:38" ht="15.75" customHeight="1" x14ac:dyDescent="0.2">
      <c r="E907" s="43"/>
      <c r="F907" s="43"/>
      <c r="G907" s="43"/>
      <c r="I907" s="115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L907" s="20"/>
    </row>
    <row r="908" spans="5:38" ht="15.75" customHeight="1" x14ac:dyDescent="0.2">
      <c r="E908" s="43"/>
      <c r="F908" s="43"/>
      <c r="G908" s="43"/>
      <c r="I908" s="115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L908" s="20"/>
    </row>
    <row r="909" spans="5:38" ht="15.75" customHeight="1" x14ac:dyDescent="0.2">
      <c r="E909" s="43"/>
      <c r="F909" s="43"/>
      <c r="G909" s="43"/>
      <c r="I909" s="115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L909" s="20"/>
    </row>
    <row r="910" spans="5:38" ht="15.75" customHeight="1" x14ac:dyDescent="0.2">
      <c r="E910" s="43"/>
      <c r="F910" s="43"/>
      <c r="G910" s="43"/>
      <c r="I910" s="115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L910" s="20"/>
    </row>
    <row r="911" spans="5:38" ht="15.75" customHeight="1" x14ac:dyDescent="0.2">
      <c r="E911" s="43"/>
      <c r="F911" s="43"/>
      <c r="G911" s="43"/>
      <c r="I911" s="115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L911" s="20"/>
    </row>
    <row r="912" spans="5:38" ht="15.75" customHeight="1" x14ac:dyDescent="0.2">
      <c r="E912" s="43"/>
      <c r="F912" s="43"/>
      <c r="G912" s="43"/>
      <c r="I912" s="115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L912" s="20"/>
    </row>
    <row r="913" spans="5:38" ht="15.75" customHeight="1" x14ac:dyDescent="0.2">
      <c r="E913" s="43"/>
      <c r="F913" s="43"/>
      <c r="G913" s="43"/>
      <c r="I913" s="115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L913" s="20"/>
    </row>
    <row r="914" spans="5:38" ht="15.75" customHeight="1" x14ac:dyDescent="0.2">
      <c r="E914" s="43"/>
      <c r="F914" s="43"/>
      <c r="G914" s="43"/>
      <c r="I914" s="115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L914" s="20"/>
    </row>
    <row r="915" spans="5:38" ht="15.75" customHeight="1" x14ac:dyDescent="0.2">
      <c r="E915" s="43"/>
      <c r="F915" s="43"/>
      <c r="G915" s="43"/>
      <c r="I915" s="115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L915" s="20"/>
    </row>
    <row r="916" spans="5:38" ht="15.75" customHeight="1" x14ac:dyDescent="0.2">
      <c r="E916" s="43"/>
      <c r="F916" s="43"/>
      <c r="G916" s="43"/>
      <c r="I916" s="115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L916" s="20"/>
    </row>
    <row r="917" spans="5:38" ht="15.75" customHeight="1" x14ac:dyDescent="0.2">
      <c r="E917" s="43"/>
      <c r="F917" s="43"/>
      <c r="G917" s="43"/>
      <c r="I917" s="115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L917" s="20"/>
    </row>
    <row r="918" spans="5:38" ht="15.75" customHeight="1" x14ac:dyDescent="0.2">
      <c r="E918" s="43"/>
      <c r="F918" s="43"/>
      <c r="G918" s="43"/>
      <c r="I918" s="115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L918" s="20"/>
    </row>
    <row r="919" spans="5:38" ht="15.75" customHeight="1" x14ac:dyDescent="0.2">
      <c r="E919" s="43"/>
      <c r="F919" s="43"/>
      <c r="G919" s="43"/>
      <c r="I919" s="115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L919" s="20"/>
    </row>
    <row r="920" spans="5:38" ht="15.75" customHeight="1" x14ac:dyDescent="0.2">
      <c r="E920" s="43"/>
      <c r="F920" s="43"/>
      <c r="G920" s="43"/>
      <c r="I920" s="115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L920" s="20"/>
    </row>
    <row r="921" spans="5:38" ht="15.75" customHeight="1" x14ac:dyDescent="0.2">
      <c r="E921" s="43"/>
      <c r="F921" s="43"/>
      <c r="G921" s="43"/>
      <c r="I921" s="115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L921" s="20"/>
    </row>
    <row r="922" spans="5:38" ht="15.75" customHeight="1" x14ac:dyDescent="0.2">
      <c r="E922" s="43"/>
      <c r="F922" s="43"/>
      <c r="G922" s="43"/>
      <c r="I922" s="115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L922" s="20"/>
    </row>
    <row r="923" spans="5:38" ht="15.75" customHeight="1" x14ac:dyDescent="0.2">
      <c r="E923" s="43"/>
      <c r="F923" s="43"/>
      <c r="G923" s="43"/>
      <c r="I923" s="115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L923" s="20"/>
    </row>
    <row r="924" spans="5:38" ht="15.75" customHeight="1" x14ac:dyDescent="0.2">
      <c r="E924" s="43"/>
      <c r="F924" s="43"/>
      <c r="G924" s="43"/>
      <c r="I924" s="115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L924" s="20"/>
    </row>
    <row r="925" spans="5:38" ht="15.75" customHeight="1" x14ac:dyDescent="0.2">
      <c r="E925" s="43"/>
      <c r="F925" s="43"/>
      <c r="G925" s="43"/>
      <c r="I925" s="115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L925" s="20"/>
    </row>
    <row r="926" spans="5:38" ht="15.75" customHeight="1" x14ac:dyDescent="0.2">
      <c r="E926" s="43"/>
      <c r="F926" s="43"/>
      <c r="G926" s="43"/>
      <c r="I926" s="115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L926" s="20"/>
    </row>
    <row r="927" spans="5:38" ht="15.75" customHeight="1" x14ac:dyDescent="0.2">
      <c r="E927" s="43"/>
      <c r="F927" s="43"/>
      <c r="G927" s="43"/>
      <c r="I927" s="115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L927" s="20"/>
    </row>
    <row r="928" spans="5:38" ht="15.75" customHeight="1" x14ac:dyDescent="0.2">
      <c r="E928" s="43"/>
      <c r="F928" s="43"/>
      <c r="G928" s="43"/>
      <c r="I928" s="115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L928" s="20"/>
    </row>
    <row r="929" spans="5:38" ht="15.75" customHeight="1" x14ac:dyDescent="0.2">
      <c r="E929" s="43"/>
      <c r="F929" s="43"/>
      <c r="G929" s="43"/>
      <c r="I929" s="115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L929" s="20"/>
    </row>
    <row r="930" spans="5:38" ht="15.75" customHeight="1" x14ac:dyDescent="0.2">
      <c r="E930" s="43"/>
      <c r="F930" s="43"/>
      <c r="G930" s="43"/>
      <c r="I930" s="115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L930" s="20"/>
    </row>
    <row r="931" spans="5:38" ht="15.75" customHeight="1" x14ac:dyDescent="0.2">
      <c r="E931" s="43"/>
      <c r="F931" s="43"/>
      <c r="G931" s="43"/>
      <c r="I931" s="115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L931" s="20"/>
    </row>
    <row r="932" spans="5:38" ht="15.75" customHeight="1" x14ac:dyDescent="0.2">
      <c r="E932" s="43"/>
      <c r="F932" s="43"/>
      <c r="G932" s="43"/>
      <c r="I932" s="115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L932" s="20"/>
    </row>
    <row r="933" spans="5:38" ht="15.75" customHeight="1" x14ac:dyDescent="0.2">
      <c r="E933" s="43"/>
      <c r="F933" s="43"/>
      <c r="G933" s="43"/>
      <c r="I933" s="115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L933" s="20"/>
    </row>
    <row r="934" spans="5:38" ht="15.75" customHeight="1" x14ac:dyDescent="0.2">
      <c r="E934" s="43"/>
      <c r="F934" s="43"/>
      <c r="G934" s="43"/>
      <c r="I934" s="115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L934" s="20"/>
    </row>
    <row r="935" spans="5:38" ht="15.75" customHeight="1" x14ac:dyDescent="0.2">
      <c r="E935" s="43"/>
      <c r="F935" s="43"/>
      <c r="G935" s="43"/>
      <c r="I935" s="115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L935" s="20"/>
    </row>
    <row r="936" spans="5:38" ht="15.75" customHeight="1" x14ac:dyDescent="0.2">
      <c r="E936" s="43"/>
      <c r="F936" s="43"/>
      <c r="G936" s="43"/>
      <c r="I936" s="115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L936" s="20"/>
    </row>
    <row r="937" spans="5:38" ht="15.75" customHeight="1" x14ac:dyDescent="0.2">
      <c r="E937" s="43"/>
      <c r="F937" s="43"/>
      <c r="G937" s="43"/>
      <c r="I937" s="115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L937" s="20"/>
    </row>
    <row r="938" spans="5:38" ht="15.75" customHeight="1" x14ac:dyDescent="0.2">
      <c r="E938" s="43"/>
      <c r="F938" s="43"/>
      <c r="G938" s="43"/>
      <c r="I938" s="115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L938" s="20"/>
    </row>
    <row r="939" spans="5:38" ht="15.75" customHeight="1" x14ac:dyDescent="0.2">
      <c r="E939" s="43"/>
      <c r="F939" s="43"/>
      <c r="G939" s="43"/>
      <c r="I939" s="115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L939" s="20"/>
    </row>
    <row r="940" spans="5:38" ht="15.75" customHeight="1" x14ac:dyDescent="0.2">
      <c r="E940" s="43"/>
      <c r="F940" s="43"/>
      <c r="G940" s="43"/>
      <c r="I940" s="115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L940" s="20"/>
    </row>
    <row r="941" spans="5:38" ht="15.75" customHeight="1" x14ac:dyDescent="0.2">
      <c r="E941" s="43"/>
      <c r="F941" s="43"/>
      <c r="G941" s="43"/>
      <c r="I941" s="115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L941" s="20"/>
    </row>
    <row r="942" spans="5:38" ht="15.75" customHeight="1" x14ac:dyDescent="0.2">
      <c r="E942" s="43"/>
      <c r="F942" s="43"/>
      <c r="G942" s="43"/>
      <c r="I942" s="115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L942" s="20"/>
    </row>
    <row r="943" spans="5:38" ht="15.75" customHeight="1" x14ac:dyDescent="0.2">
      <c r="E943" s="43"/>
      <c r="F943" s="43"/>
      <c r="G943" s="43"/>
      <c r="I943" s="115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L943" s="20"/>
    </row>
    <row r="944" spans="5:38" ht="15.75" customHeight="1" x14ac:dyDescent="0.2">
      <c r="E944" s="43"/>
      <c r="F944" s="43"/>
      <c r="G944" s="43"/>
      <c r="I944" s="115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L944" s="20"/>
    </row>
    <row r="945" spans="5:38" ht="15.75" customHeight="1" x14ac:dyDescent="0.2">
      <c r="E945" s="43"/>
      <c r="F945" s="43"/>
      <c r="G945" s="43"/>
      <c r="I945" s="115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L945" s="20"/>
    </row>
    <row r="946" spans="5:38" ht="15.75" customHeight="1" x14ac:dyDescent="0.2">
      <c r="E946" s="43"/>
      <c r="F946" s="43"/>
      <c r="G946" s="43"/>
      <c r="I946" s="115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L946" s="20"/>
    </row>
    <row r="947" spans="5:38" ht="15.75" customHeight="1" x14ac:dyDescent="0.2">
      <c r="E947" s="43"/>
      <c r="F947" s="43"/>
      <c r="G947" s="43"/>
      <c r="I947" s="115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L947" s="20"/>
    </row>
    <row r="948" spans="5:38" ht="15.75" customHeight="1" x14ac:dyDescent="0.2">
      <c r="E948" s="43"/>
      <c r="F948" s="43"/>
      <c r="G948" s="43"/>
      <c r="I948" s="115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L948" s="20"/>
    </row>
    <row r="949" spans="5:38" ht="15.75" customHeight="1" x14ac:dyDescent="0.2">
      <c r="E949" s="43"/>
      <c r="F949" s="43"/>
      <c r="G949" s="43"/>
      <c r="I949" s="115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L949" s="20"/>
    </row>
    <row r="950" spans="5:38" ht="15.75" customHeight="1" x14ac:dyDescent="0.2">
      <c r="E950" s="43"/>
      <c r="F950" s="43"/>
      <c r="G950" s="43"/>
      <c r="I950" s="115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L950" s="20"/>
    </row>
    <row r="951" spans="5:38" ht="15.75" customHeight="1" x14ac:dyDescent="0.2">
      <c r="E951" s="43"/>
      <c r="F951" s="43"/>
      <c r="G951" s="43"/>
      <c r="I951" s="115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L951" s="20"/>
    </row>
    <row r="952" spans="5:38" ht="15.75" customHeight="1" x14ac:dyDescent="0.2">
      <c r="E952" s="43"/>
      <c r="F952" s="43"/>
      <c r="G952" s="43"/>
      <c r="I952" s="115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L952" s="20"/>
    </row>
    <row r="953" spans="5:38" ht="15.75" customHeight="1" x14ac:dyDescent="0.2">
      <c r="E953" s="43"/>
      <c r="F953" s="43"/>
      <c r="G953" s="43"/>
      <c r="I953" s="115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L953" s="20"/>
    </row>
    <row r="954" spans="5:38" ht="15.75" customHeight="1" x14ac:dyDescent="0.2">
      <c r="E954" s="43"/>
      <c r="F954" s="43"/>
      <c r="G954" s="43"/>
      <c r="I954" s="115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L954" s="20"/>
    </row>
    <row r="955" spans="5:38" ht="15.75" customHeight="1" x14ac:dyDescent="0.2">
      <c r="E955" s="43"/>
      <c r="F955" s="43"/>
      <c r="G955" s="43"/>
      <c r="I955" s="115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L955" s="20"/>
    </row>
    <row r="956" spans="5:38" ht="15.75" customHeight="1" x14ac:dyDescent="0.2">
      <c r="E956" s="43"/>
      <c r="F956" s="43"/>
      <c r="G956" s="43"/>
      <c r="I956" s="115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L956" s="20"/>
    </row>
    <row r="957" spans="5:38" ht="15.75" customHeight="1" x14ac:dyDescent="0.2">
      <c r="E957" s="43"/>
      <c r="F957" s="43"/>
      <c r="G957" s="43"/>
      <c r="I957" s="115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L957" s="20"/>
    </row>
    <row r="958" spans="5:38" ht="15.75" customHeight="1" x14ac:dyDescent="0.2">
      <c r="E958" s="43"/>
      <c r="F958" s="43"/>
      <c r="G958" s="43"/>
      <c r="I958" s="115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L958" s="20"/>
    </row>
    <row r="959" spans="5:38" ht="15.75" customHeight="1" x14ac:dyDescent="0.2">
      <c r="E959" s="43"/>
      <c r="F959" s="43"/>
      <c r="G959" s="43"/>
      <c r="I959" s="115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L959" s="20"/>
    </row>
    <row r="960" spans="5:38" ht="15.75" customHeight="1" x14ac:dyDescent="0.2">
      <c r="E960" s="43"/>
      <c r="F960" s="43"/>
      <c r="G960" s="43"/>
      <c r="I960" s="115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L960" s="20"/>
    </row>
    <row r="961" spans="5:38" ht="15.75" customHeight="1" x14ac:dyDescent="0.2">
      <c r="E961" s="43"/>
      <c r="F961" s="43"/>
      <c r="G961" s="43"/>
      <c r="I961" s="115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L961" s="20"/>
    </row>
    <row r="962" spans="5:38" ht="15.75" customHeight="1" x14ac:dyDescent="0.2">
      <c r="E962" s="43"/>
      <c r="F962" s="43"/>
      <c r="G962" s="43"/>
      <c r="I962" s="115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L962" s="20"/>
    </row>
    <row r="963" spans="5:38" ht="15.75" customHeight="1" x14ac:dyDescent="0.2">
      <c r="E963" s="43"/>
      <c r="F963" s="43"/>
      <c r="G963" s="43"/>
      <c r="I963" s="115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L963" s="20"/>
    </row>
    <row r="964" spans="5:38" ht="15.75" customHeight="1" x14ac:dyDescent="0.2">
      <c r="E964" s="43"/>
      <c r="F964" s="43"/>
      <c r="G964" s="43"/>
      <c r="I964" s="115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L964" s="20"/>
    </row>
    <row r="965" spans="5:38" ht="15.75" customHeight="1" x14ac:dyDescent="0.2">
      <c r="E965" s="43"/>
      <c r="F965" s="43"/>
      <c r="G965" s="43"/>
      <c r="I965" s="115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L965" s="20"/>
    </row>
    <row r="966" spans="5:38" ht="15.75" customHeight="1" x14ac:dyDescent="0.2">
      <c r="E966" s="43"/>
      <c r="F966" s="43"/>
      <c r="G966" s="43"/>
      <c r="I966" s="115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L966" s="20"/>
    </row>
    <row r="967" spans="5:38" ht="15.75" customHeight="1" x14ac:dyDescent="0.2">
      <c r="E967" s="43"/>
      <c r="F967" s="43"/>
      <c r="G967" s="43"/>
      <c r="I967" s="115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L967" s="20"/>
    </row>
    <row r="968" spans="5:38" ht="15.75" customHeight="1" x14ac:dyDescent="0.2">
      <c r="E968" s="43"/>
      <c r="F968" s="43"/>
      <c r="G968" s="43"/>
      <c r="I968" s="115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L968" s="20"/>
    </row>
    <row r="969" spans="5:38" ht="15.75" customHeight="1" x14ac:dyDescent="0.2">
      <c r="E969" s="43"/>
      <c r="F969" s="43"/>
      <c r="G969" s="43"/>
      <c r="I969" s="115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L969" s="20"/>
    </row>
    <row r="970" spans="5:38" ht="15.75" customHeight="1" x14ac:dyDescent="0.2">
      <c r="E970" s="43"/>
      <c r="F970" s="43"/>
      <c r="G970" s="43"/>
      <c r="I970" s="115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L970" s="20"/>
    </row>
    <row r="971" spans="5:38" ht="15.75" customHeight="1" x14ac:dyDescent="0.2">
      <c r="E971" s="43"/>
      <c r="F971" s="43"/>
      <c r="G971" s="43"/>
      <c r="I971" s="115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L971" s="20"/>
    </row>
    <row r="972" spans="5:38" ht="15.75" customHeight="1" x14ac:dyDescent="0.2">
      <c r="E972" s="43"/>
      <c r="F972" s="43"/>
      <c r="G972" s="43"/>
      <c r="I972" s="115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L972" s="20"/>
    </row>
    <row r="973" spans="5:38" ht="15.75" customHeight="1" x14ac:dyDescent="0.2">
      <c r="E973" s="43"/>
      <c r="F973" s="43"/>
      <c r="G973" s="43"/>
      <c r="I973" s="115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L973" s="20"/>
    </row>
    <row r="974" spans="5:38" ht="15.75" customHeight="1" x14ac:dyDescent="0.2">
      <c r="E974" s="43"/>
      <c r="F974" s="43"/>
      <c r="G974" s="43"/>
      <c r="I974" s="115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L974" s="20"/>
    </row>
    <row r="975" spans="5:38" ht="15.75" customHeight="1" x14ac:dyDescent="0.2">
      <c r="E975" s="43"/>
      <c r="F975" s="43"/>
      <c r="G975" s="43"/>
      <c r="I975" s="115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L975" s="20"/>
    </row>
    <row r="976" spans="5:38" ht="15.75" customHeight="1" x14ac:dyDescent="0.2">
      <c r="E976" s="43"/>
      <c r="F976" s="43"/>
      <c r="G976" s="43"/>
      <c r="I976" s="115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L976" s="20"/>
    </row>
    <row r="977" spans="5:38" ht="15.75" customHeight="1" x14ac:dyDescent="0.2">
      <c r="E977" s="43"/>
      <c r="F977" s="43"/>
      <c r="G977" s="43"/>
      <c r="I977" s="115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L977" s="20"/>
    </row>
    <row r="978" spans="5:38" ht="15.75" customHeight="1" x14ac:dyDescent="0.2">
      <c r="E978" s="43"/>
      <c r="F978" s="43"/>
      <c r="G978" s="43"/>
      <c r="I978" s="115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L978" s="20"/>
    </row>
    <row r="979" spans="5:38" ht="15.75" customHeight="1" x14ac:dyDescent="0.2">
      <c r="E979" s="43"/>
      <c r="F979" s="43"/>
      <c r="G979" s="43"/>
      <c r="I979" s="115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L979" s="20"/>
    </row>
    <row r="980" spans="5:38" ht="15.75" customHeight="1" x14ac:dyDescent="0.2">
      <c r="E980" s="43"/>
      <c r="F980" s="43"/>
      <c r="G980" s="43"/>
      <c r="I980" s="115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L980" s="20"/>
    </row>
    <row r="981" spans="5:38" ht="15.75" customHeight="1" x14ac:dyDescent="0.2">
      <c r="E981" s="43"/>
      <c r="F981" s="43"/>
      <c r="G981" s="43"/>
      <c r="I981" s="115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L981" s="20"/>
    </row>
    <row r="982" spans="5:38" ht="15.75" customHeight="1" x14ac:dyDescent="0.2">
      <c r="E982" s="43"/>
      <c r="F982" s="43"/>
      <c r="G982" s="43"/>
      <c r="I982" s="115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L982" s="20"/>
    </row>
    <row r="983" spans="5:38" ht="15.75" customHeight="1" x14ac:dyDescent="0.2">
      <c r="E983" s="43"/>
      <c r="F983" s="43"/>
      <c r="G983" s="43"/>
      <c r="I983" s="115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L983" s="20"/>
    </row>
    <row r="984" spans="5:38" ht="15.75" customHeight="1" x14ac:dyDescent="0.2">
      <c r="E984" s="43"/>
      <c r="F984" s="43"/>
      <c r="G984" s="43"/>
      <c r="I984" s="115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L984" s="20"/>
    </row>
    <row r="985" spans="5:38" ht="15.75" customHeight="1" x14ac:dyDescent="0.2">
      <c r="E985" s="43"/>
      <c r="F985" s="43"/>
      <c r="G985" s="43"/>
      <c r="I985" s="115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L985" s="20"/>
    </row>
    <row r="986" spans="5:38" ht="15.75" customHeight="1" x14ac:dyDescent="0.2">
      <c r="E986" s="43"/>
      <c r="F986" s="43"/>
      <c r="G986" s="43"/>
      <c r="I986" s="115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L986" s="20"/>
    </row>
    <row r="987" spans="5:38" ht="15.75" customHeight="1" x14ac:dyDescent="0.2">
      <c r="E987" s="43"/>
      <c r="F987" s="43"/>
      <c r="G987" s="43"/>
      <c r="I987" s="115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L987" s="20"/>
    </row>
    <row r="988" spans="5:38" ht="15.75" customHeight="1" x14ac:dyDescent="0.2">
      <c r="E988" s="43"/>
      <c r="F988" s="43"/>
      <c r="G988" s="43"/>
      <c r="I988" s="115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L988" s="20"/>
    </row>
    <row r="989" spans="5:38" ht="15.75" customHeight="1" x14ac:dyDescent="0.2">
      <c r="E989" s="43"/>
      <c r="F989" s="43"/>
      <c r="G989" s="43"/>
      <c r="I989" s="115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L989" s="20"/>
    </row>
    <row r="990" spans="5:38" ht="15.75" customHeight="1" x14ac:dyDescent="0.2">
      <c r="E990" s="43"/>
      <c r="F990" s="43"/>
      <c r="G990" s="43"/>
      <c r="I990" s="115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L990" s="20"/>
    </row>
    <row r="991" spans="5:38" ht="15.75" customHeight="1" x14ac:dyDescent="0.2">
      <c r="E991" s="43"/>
      <c r="F991" s="43"/>
      <c r="G991" s="43"/>
      <c r="I991" s="115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L991" s="20"/>
    </row>
    <row r="992" spans="5:38" ht="15.75" customHeight="1" x14ac:dyDescent="0.2">
      <c r="E992" s="43"/>
      <c r="F992" s="43"/>
      <c r="G992" s="43"/>
      <c r="I992" s="115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L992" s="20"/>
    </row>
    <row r="993" spans="5:38" ht="15.75" customHeight="1" x14ac:dyDescent="0.2">
      <c r="E993" s="43"/>
      <c r="F993" s="43"/>
      <c r="G993" s="43"/>
      <c r="I993" s="115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L993" s="20"/>
    </row>
    <row r="994" spans="5:38" ht="15.75" customHeight="1" x14ac:dyDescent="0.2">
      <c r="E994" s="43"/>
      <c r="F994" s="43"/>
      <c r="G994" s="43"/>
      <c r="I994" s="115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L994" s="20"/>
    </row>
    <row r="995" spans="5:38" ht="15.75" customHeight="1" x14ac:dyDescent="0.2">
      <c r="E995" s="43"/>
      <c r="F995" s="43"/>
      <c r="G995" s="43"/>
      <c r="I995" s="115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L995" s="20"/>
    </row>
    <row r="996" spans="5:38" ht="15.75" customHeight="1" x14ac:dyDescent="0.2">
      <c r="E996" s="43"/>
      <c r="F996" s="43"/>
      <c r="G996" s="43"/>
      <c r="I996" s="115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L996" s="20"/>
    </row>
    <row r="997" spans="5:38" ht="15.75" customHeight="1" x14ac:dyDescent="0.2">
      <c r="E997" s="43"/>
      <c r="F997" s="43"/>
      <c r="G997" s="43"/>
      <c r="I997" s="115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L997" s="20"/>
    </row>
    <row r="998" spans="5:38" ht="15.75" customHeight="1" x14ac:dyDescent="0.2">
      <c r="E998" s="43"/>
      <c r="F998" s="43"/>
      <c r="G998" s="43"/>
      <c r="I998" s="115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L998" s="20"/>
    </row>
    <row r="999" spans="5:38" ht="15.75" customHeight="1" x14ac:dyDescent="0.2">
      <c r="E999" s="43"/>
      <c r="F999" s="43"/>
      <c r="G999" s="43"/>
      <c r="I999" s="115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L999" s="20"/>
    </row>
    <row r="1000" spans="5:38" ht="15.75" customHeight="1" x14ac:dyDescent="0.2">
      <c r="E1000" s="43"/>
      <c r="F1000" s="43"/>
      <c r="G1000" s="43"/>
      <c r="I1000" s="115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L1000" s="20"/>
    </row>
    <row r="1001" spans="5:38" ht="15.75" customHeight="1" x14ac:dyDescent="0.2">
      <c r="E1001" s="43"/>
      <c r="F1001" s="43"/>
      <c r="G1001" s="43"/>
      <c r="I1001" s="115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L1001" s="20"/>
    </row>
    <row r="1002" spans="5:38" ht="15.75" customHeight="1" x14ac:dyDescent="0.2">
      <c r="E1002" s="43"/>
      <c r="F1002" s="43"/>
      <c r="G1002" s="43"/>
      <c r="I1002" s="115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L1002" s="20"/>
    </row>
    <row r="1003" spans="5:38" ht="15.75" customHeight="1" x14ac:dyDescent="0.2">
      <c r="E1003" s="43"/>
      <c r="F1003" s="43"/>
      <c r="G1003" s="43"/>
      <c r="I1003" s="115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L1003" s="20"/>
    </row>
    <row r="1004" spans="5:38" ht="15.75" customHeight="1" x14ac:dyDescent="0.2">
      <c r="E1004" s="43"/>
      <c r="F1004" s="43"/>
      <c r="G1004" s="43"/>
      <c r="I1004" s="115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L1004" s="20"/>
    </row>
    <row r="1005" spans="5:38" ht="15.75" customHeight="1" x14ac:dyDescent="0.2">
      <c r="E1005" s="43"/>
      <c r="F1005" s="43"/>
      <c r="G1005" s="43"/>
      <c r="I1005" s="115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  <c r="AI1005" s="23"/>
      <c r="AL1005" s="20"/>
    </row>
    <row r="1006" spans="5:38" ht="15.75" customHeight="1" x14ac:dyDescent="0.2">
      <c r="E1006" s="43"/>
      <c r="F1006" s="43"/>
      <c r="G1006" s="43"/>
      <c r="I1006" s="115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  <c r="AI1006" s="23"/>
      <c r="AL1006" s="20"/>
    </row>
    <row r="1007" spans="5:38" ht="15.75" customHeight="1" x14ac:dyDescent="0.2">
      <c r="E1007" s="43"/>
      <c r="F1007" s="43"/>
      <c r="G1007" s="43"/>
      <c r="I1007" s="115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  <c r="AH1007" s="23"/>
      <c r="AI1007" s="23"/>
      <c r="AL1007" s="20"/>
    </row>
    <row r="1008" spans="5:38" ht="15.75" customHeight="1" x14ac:dyDescent="0.2">
      <c r="E1008" s="43"/>
      <c r="F1008" s="43"/>
      <c r="G1008" s="43"/>
      <c r="I1008" s="115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  <c r="AI1008" s="23"/>
      <c r="AL1008" s="20"/>
    </row>
    <row r="1009" spans="5:38" ht="15.75" customHeight="1" x14ac:dyDescent="0.2">
      <c r="E1009" s="43"/>
      <c r="F1009" s="43"/>
      <c r="G1009" s="43"/>
      <c r="I1009" s="115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/>
      <c r="AH1009" s="23"/>
      <c r="AI1009" s="23"/>
      <c r="AL1009" s="20"/>
    </row>
    <row r="1010" spans="5:38" ht="15.75" customHeight="1" x14ac:dyDescent="0.2">
      <c r="E1010" s="43"/>
      <c r="F1010" s="43"/>
      <c r="G1010" s="43"/>
      <c r="I1010" s="115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  <c r="AF1010" s="23"/>
      <c r="AG1010" s="23"/>
      <c r="AH1010" s="23"/>
      <c r="AI1010" s="23"/>
      <c r="AL1010" s="20"/>
    </row>
    <row r="1011" spans="5:38" ht="15.75" customHeight="1" x14ac:dyDescent="0.2">
      <c r="E1011" s="43"/>
      <c r="F1011" s="43"/>
      <c r="G1011" s="43"/>
      <c r="I1011" s="115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  <c r="AF1011" s="23"/>
      <c r="AG1011" s="23"/>
      <c r="AH1011" s="23"/>
      <c r="AI1011" s="23"/>
      <c r="AL1011" s="20"/>
    </row>
    <row r="1012" spans="5:38" ht="15.75" customHeight="1" x14ac:dyDescent="0.2">
      <c r="E1012" s="43"/>
      <c r="F1012" s="43"/>
      <c r="G1012" s="43"/>
      <c r="I1012" s="115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  <c r="AF1012" s="23"/>
      <c r="AG1012" s="23"/>
      <c r="AH1012" s="23"/>
      <c r="AI1012" s="23"/>
      <c r="AL1012" s="20"/>
    </row>
  </sheetData>
  <autoFilter ref="A1:BB334" xr:uid="{00000000-0009-0000-0000-00000E000000}"/>
  <conditionalFormatting sqref="AM2:BB17">
    <cfRule type="colorScale" priority="1">
      <colorScale>
        <cfvo type="min"/>
        <cfvo type="max"/>
        <color rgb="FFFABF8F"/>
        <color rgb="FF00B050"/>
      </colorScale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CQ31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6.33203125" customWidth="1"/>
    <col min="2" max="2" width="18.83203125" customWidth="1"/>
    <col min="3" max="3" width="8.83203125" customWidth="1"/>
    <col min="4" max="4" width="7" customWidth="1"/>
    <col min="5" max="5" width="11" customWidth="1"/>
    <col min="6" max="6" width="13.1640625" customWidth="1"/>
    <col min="7" max="7" width="10.1640625" customWidth="1"/>
    <col min="8" max="8" width="8.6640625" customWidth="1"/>
    <col min="9" max="25" width="5.33203125" customWidth="1"/>
    <col min="26" max="26" width="8.83203125" customWidth="1"/>
    <col min="27" max="28" width="3.5" customWidth="1"/>
    <col min="29" max="29" width="4.33203125" customWidth="1"/>
    <col min="30" max="30" width="23.5" customWidth="1"/>
    <col min="31" max="46" width="6.6640625" customWidth="1"/>
    <col min="47" max="48" width="8.83203125" customWidth="1"/>
    <col min="49" max="64" width="5" customWidth="1"/>
    <col min="65" max="95" width="8.83203125" customWidth="1"/>
  </cols>
  <sheetData>
    <row r="1" spans="1:95" ht="120" customHeight="1" x14ac:dyDescent="0.2">
      <c r="A1" s="15" t="s">
        <v>880</v>
      </c>
      <c r="B1" s="295" t="s">
        <v>2</v>
      </c>
      <c r="C1" s="295" t="s">
        <v>881</v>
      </c>
      <c r="D1" s="295" t="s">
        <v>1</v>
      </c>
      <c r="E1" s="43" t="s">
        <v>304</v>
      </c>
      <c r="F1" s="43" t="s">
        <v>305</v>
      </c>
      <c r="G1" s="43" t="s">
        <v>306</v>
      </c>
      <c r="H1" s="295" t="s">
        <v>882</v>
      </c>
      <c r="I1" s="15" t="s">
        <v>319</v>
      </c>
      <c r="J1" s="15" t="s">
        <v>320</v>
      </c>
      <c r="K1" s="15" t="s">
        <v>321</v>
      </c>
      <c r="L1" s="15" t="s">
        <v>322</v>
      </c>
      <c r="M1" s="15" t="s">
        <v>323</v>
      </c>
      <c r="N1" s="15" t="s">
        <v>324</v>
      </c>
      <c r="O1" s="15" t="s">
        <v>325</v>
      </c>
      <c r="P1" s="15" t="s">
        <v>76</v>
      </c>
      <c r="Q1" s="15" t="s">
        <v>77</v>
      </c>
      <c r="R1" s="15" t="s">
        <v>78</v>
      </c>
      <c r="S1" s="15" t="s">
        <v>79</v>
      </c>
      <c r="T1" s="15" t="s">
        <v>80</v>
      </c>
      <c r="U1" s="15" t="s">
        <v>61</v>
      </c>
      <c r="V1" s="15" t="s">
        <v>62</v>
      </c>
      <c r="W1" s="15" t="s">
        <v>63</v>
      </c>
      <c r="X1" s="15" t="s">
        <v>64</v>
      </c>
      <c r="Y1" s="15"/>
      <c r="Z1" s="14"/>
      <c r="AA1" s="15"/>
      <c r="AB1" s="15"/>
      <c r="AC1" s="14"/>
      <c r="AD1" s="296"/>
      <c r="AE1" s="296" t="s">
        <v>319</v>
      </c>
      <c r="AF1" s="296" t="s">
        <v>320</v>
      </c>
      <c r="AG1" s="296" t="s">
        <v>321</v>
      </c>
      <c r="AH1" s="296" t="s">
        <v>322</v>
      </c>
      <c r="AI1" s="296" t="s">
        <v>323</v>
      </c>
      <c r="AJ1" s="296" t="s">
        <v>324</v>
      </c>
      <c r="AK1" s="296" t="s">
        <v>325</v>
      </c>
      <c r="AL1" s="296" t="s">
        <v>76</v>
      </c>
      <c r="AM1" s="296" t="s">
        <v>77</v>
      </c>
      <c r="AN1" s="296" t="s">
        <v>78</v>
      </c>
      <c r="AO1" s="296" t="s">
        <v>79</v>
      </c>
      <c r="AP1" s="296" t="s">
        <v>80</v>
      </c>
      <c r="AQ1" s="296" t="s">
        <v>61</v>
      </c>
      <c r="AR1" s="296" t="s">
        <v>62</v>
      </c>
      <c r="AS1" s="296" t="s">
        <v>63</v>
      </c>
      <c r="AT1" s="296" t="s">
        <v>64</v>
      </c>
      <c r="AU1" s="14"/>
      <c r="AV1" s="14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</row>
    <row r="2" spans="1:95" x14ac:dyDescent="0.2">
      <c r="A2" s="6" t="s">
        <v>883</v>
      </c>
      <c r="B2" s="6" t="s">
        <v>10</v>
      </c>
      <c r="C2" s="6">
        <v>26269</v>
      </c>
      <c r="D2" s="6">
        <v>1952</v>
      </c>
      <c r="E2" s="6">
        <v>3.81</v>
      </c>
      <c r="F2" s="6">
        <v>1206230</v>
      </c>
      <c r="G2" s="6">
        <v>26163</v>
      </c>
      <c r="H2" s="6">
        <v>51.04</v>
      </c>
      <c r="I2" s="6">
        <v>2</v>
      </c>
      <c r="J2" s="6">
        <v>3</v>
      </c>
      <c r="K2" s="6">
        <v>4</v>
      </c>
      <c r="L2" s="6">
        <v>3</v>
      </c>
      <c r="M2" s="6">
        <v>2</v>
      </c>
      <c r="N2" s="6">
        <v>4</v>
      </c>
      <c r="O2" s="6">
        <v>3</v>
      </c>
      <c r="P2" s="6">
        <v>0</v>
      </c>
      <c r="Q2" s="6">
        <v>0</v>
      </c>
      <c r="R2" s="6">
        <v>0</v>
      </c>
      <c r="S2" s="6">
        <v>0</v>
      </c>
      <c r="T2" s="6">
        <v>2</v>
      </c>
      <c r="U2" s="6">
        <v>1</v>
      </c>
      <c r="V2" s="6">
        <v>3</v>
      </c>
      <c r="W2" s="6">
        <v>1</v>
      </c>
      <c r="X2" s="6">
        <v>3</v>
      </c>
      <c r="AD2" s="6" t="s">
        <v>319</v>
      </c>
      <c r="AE2" s="6">
        <v>1</v>
      </c>
      <c r="AX2" s="150"/>
      <c r="AY2" s="150"/>
      <c r="AZ2" s="150"/>
      <c r="BA2" s="150"/>
      <c r="BB2" s="150"/>
      <c r="BC2" s="150"/>
      <c r="BD2" s="150"/>
      <c r="BE2" s="150"/>
      <c r="BF2" s="150"/>
      <c r="BG2" s="150"/>
      <c r="BH2" s="150"/>
      <c r="BI2" s="150"/>
      <c r="BJ2" s="150"/>
      <c r="BK2" s="150"/>
      <c r="BL2" s="150"/>
    </row>
    <row r="3" spans="1:95" x14ac:dyDescent="0.2">
      <c r="A3" s="6" t="s">
        <v>884</v>
      </c>
      <c r="B3" s="6" t="s">
        <v>12</v>
      </c>
      <c r="C3" s="6">
        <v>29908</v>
      </c>
      <c r="D3" s="6">
        <v>1945</v>
      </c>
      <c r="E3" s="6">
        <v>3.99</v>
      </c>
      <c r="F3" s="6">
        <v>4084025</v>
      </c>
      <c r="G3" s="6">
        <v>51254</v>
      </c>
      <c r="H3" s="6">
        <v>100</v>
      </c>
      <c r="I3" s="6">
        <v>3</v>
      </c>
      <c r="J3" s="6">
        <v>4</v>
      </c>
      <c r="K3" s="6">
        <v>4</v>
      </c>
      <c r="L3" s="6">
        <v>2</v>
      </c>
      <c r="M3" s="6">
        <v>3</v>
      </c>
      <c r="N3" s="6">
        <v>1</v>
      </c>
      <c r="O3" s="6">
        <v>2</v>
      </c>
      <c r="P3" s="6">
        <v>0</v>
      </c>
      <c r="Q3" s="6">
        <v>1</v>
      </c>
      <c r="R3" s="6">
        <v>0</v>
      </c>
      <c r="S3" s="6">
        <v>4</v>
      </c>
      <c r="T3" s="6">
        <v>3</v>
      </c>
      <c r="U3" s="6">
        <v>1</v>
      </c>
      <c r="V3" s="6">
        <v>2</v>
      </c>
      <c r="W3" s="6">
        <v>1</v>
      </c>
      <c r="X3" s="6">
        <v>2</v>
      </c>
      <c r="AD3" s="6" t="s">
        <v>320</v>
      </c>
      <c r="AE3" s="72">
        <v>0.85433904464988519</v>
      </c>
      <c r="AF3" s="72">
        <v>1</v>
      </c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X3" s="150"/>
      <c r="AY3" s="150"/>
      <c r="AZ3" s="150"/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0"/>
    </row>
    <row r="4" spans="1:95" x14ac:dyDescent="0.2">
      <c r="A4" s="6" t="s">
        <v>885</v>
      </c>
      <c r="B4" s="6" t="s">
        <v>54</v>
      </c>
      <c r="C4" s="6">
        <v>29673</v>
      </c>
      <c r="D4" s="6">
        <v>1937</v>
      </c>
      <c r="E4" s="6">
        <v>3.89</v>
      </c>
      <c r="F4" s="6">
        <v>2639747</v>
      </c>
      <c r="G4" s="6">
        <v>31023</v>
      </c>
      <c r="H4" s="6">
        <v>60.53</v>
      </c>
      <c r="I4" s="6">
        <v>3</v>
      </c>
      <c r="J4" s="6">
        <v>4</v>
      </c>
      <c r="K4" s="6">
        <v>4</v>
      </c>
      <c r="L4" s="6">
        <v>2</v>
      </c>
      <c r="M4" s="6">
        <v>3</v>
      </c>
      <c r="N4" s="6">
        <v>4</v>
      </c>
      <c r="O4" s="6">
        <v>3</v>
      </c>
      <c r="P4" s="6">
        <v>0</v>
      </c>
      <c r="Q4" s="6">
        <v>1</v>
      </c>
      <c r="R4" s="6">
        <v>0</v>
      </c>
      <c r="S4" s="6">
        <v>2</v>
      </c>
      <c r="T4" s="6">
        <v>4</v>
      </c>
      <c r="U4" s="6">
        <v>1</v>
      </c>
      <c r="V4" s="6">
        <v>2</v>
      </c>
      <c r="W4" s="6">
        <v>0</v>
      </c>
      <c r="X4" s="6">
        <v>3</v>
      </c>
      <c r="AD4" s="6" t="s">
        <v>321</v>
      </c>
      <c r="AE4" s="72">
        <v>0.43447724336991161</v>
      </c>
      <c r="AF4" s="72">
        <v>0.56604646812354598</v>
      </c>
      <c r="AG4" s="72">
        <v>1</v>
      </c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</row>
    <row r="5" spans="1:95" hidden="1" x14ac:dyDescent="0.2">
      <c r="A5" s="6" t="s">
        <v>886</v>
      </c>
      <c r="B5" s="6" t="s">
        <v>374</v>
      </c>
      <c r="C5" s="6">
        <v>27928</v>
      </c>
      <c r="D5" s="6">
        <v>1843</v>
      </c>
      <c r="E5" s="6">
        <v>4.08</v>
      </c>
      <c r="F5" s="6">
        <v>857761</v>
      </c>
      <c r="G5" s="6">
        <v>17475</v>
      </c>
      <c r="H5" s="6">
        <v>34.090000000000003</v>
      </c>
      <c r="I5" s="6">
        <v>2</v>
      </c>
      <c r="J5" s="6">
        <v>1</v>
      </c>
      <c r="K5" s="6">
        <v>2</v>
      </c>
      <c r="L5" s="6">
        <v>1</v>
      </c>
      <c r="M5" s="6">
        <v>3</v>
      </c>
      <c r="N5" s="6">
        <v>3</v>
      </c>
      <c r="O5" s="6">
        <v>2</v>
      </c>
      <c r="P5" s="6">
        <v>1</v>
      </c>
      <c r="Q5" s="6">
        <v>2</v>
      </c>
      <c r="R5" s="6">
        <v>0</v>
      </c>
      <c r="S5" s="6">
        <v>3</v>
      </c>
      <c r="T5" s="6">
        <v>1</v>
      </c>
      <c r="U5" s="6">
        <v>1</v>
      </c>
      <c r="V5" s="6">
        <v>1</v>
      </c>
      <c r="W5" s="6">
        <v>0</v>
      </c>
      <c r="X5" s="6">
        <v>2</v>
      </c>
      <c r="AD5" s="6" t="s">
        <v>322</v>
      </c>
      <c r="AE5" s="72">
        <v>0.58592469953681292</v>
      </c>
      <c r="AF5" s="72">
        <v>0.57231493352986162</v>
      </c>
      <c r="AG5" s="72">
        <v>0.39644372105533959</v>
      </c>
      <c r="AH5" s="72">
        <v>1</v>
      </c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</row>
    <row r="6" spans="1:95" hidden="1" x14ac:dyDescent="0.2">
      <c r="A6" s="6" t="s">
        <v>887</v>
      </c>
      <c r="B6" s="6" t="s">
        <v>504</v>
      </c>
      <c r="C6" s="6">
        <v>26055</v>
      </c>
      <c r="D6" s="6">
        <v>1886</v>
      </c>
      <c r="E6" s="6">
        <v>3.83</v>
      </c>
      <c r="F6" s="6">
        <v>612567</v>
      </c>
      <c r="G6" s="6">
        <v>15470</v>
      </c>
      <c r="H6" s="6">
        <v>30.18</v>
      </c>
      <c r="I6" s="6">
        <v>2</v>
      </c>
      <c r="J6" s="6">
        <v>3</v>
      </c>
      <c r="K6" s="6">
        <v>4</v>
      </c>
      <c r="L6" s="6">
        <v>1</v>
      </c>
      <c r="M6" s="6">
        <v>3</v>
      </c>
      <c r="N6" s="6">
        <v>2</v>
      </c>
      <c r="O6" s="6">
        <v>4</v>
      </c>
      <c r="P6" s="6">
        <v>0</v>
      </c>
      <c r="Q6" s="6">
        <v>3</v>
      </c>
      <c r="R6" s="6">
        <v>0</v>
      </c>
      <c r="S6" s="6">
        <v>1</v>
      </c>
      <c r="T6" s="6">
        <v>4</v>
      </c>
      <c r="U6" s="6">
        <v>1</v>
      </c>
      <c r="V6" s="6">
        <v>2</v>
      </c>
      <c r="W6" s="6">
        <v>0</v>
      </c>
      <c r="X6" s="6">
        <v>2</v>
      </c>
      <c r="AD6" s="6" t="s">
        <v>323</v>
      </c>
      <c r="AE6" s="72">
        <v>-8.337867720634129E-2</v>
      </c>
      <c r="AF6" s="72">
        <v>-8.2564681293273115E-2</v>
      </c>
      <c r="AG6" s="72">
        <v>-9.3346853084917983E-2</v>
      </c>
      <c r="AH6" s="72">
        <v>-6.5614373953933172E-2</v>
      </c>
      <c r="AI6" s="72">
        <v>1</v>
      </c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X6" s="150"/>
      <c r="AY6" s="150"/>
      <c r="AZ6" s="150"/>
      <c r="BA6" s="150"/>
      <c r="BB6" s="150"/>
      <c r="BC6" s="150"/>
      <c r="BD6" s="150"/>
      <c r="BE6" s="150"/>
      <c r="BF6" s="150"/>
      <c r="BG6" s="150"/>
      <c r="BH6" s="150"/>
      <c r="BI6" s="150"/>
      <c r="BJ6" s="150"/>
      <c r="BK6" s="150"/>
      <c r="BL6" s="150"/>
    </row>
    <row r="7" spans="1:95" hidden="1" x14ac:dyDescent="0.2">
      <c r="A7" s="6" t="s">
        <v>888</v>
      </c>
      <c r="B7" s="6" t="s">
        <v>457</v>
      </c>
      <c r="C7" s="6">
        <v>37985</v>
      </c>
      <c r="D7" s="6">
        <v>1902</v>
      </c>
      <c r="E7" s="6">
        <v>3.43</v>
      </c>
      <c r="F7" s="6">
        <v>527883</v>
      </c>
      <c r="G7" s="6">
        <v>13606</v>
      </c>
      <c r="H7" s="6">
        <v>26.54</v>
      </c>
      <c r="I7" s="6">
        <v>2</v>
      </c>
      <c r="J7" s="6">
        <v>3</v>
      </c>
      <c r="K7" s="6">
        <v>4</v>
      </c>
      <c r="L7" s="6">
        <v>3</v>
      </c>
      <c r="M7" s="6">
        <v>4</v>
      </c>
      <c r="N7" s="6">
        <v>2</v>
      </c>
      <c r="O7" s="6">
        <v>3</v>
      </c>
      <c r="P7" s="6">
        <v>0</v>
      </c>
      <c r="Q7" s="6">
        <v>2</v>
      </c>
      <c r="R7" s="6">
        <v>1</v>
      </c>
      <c r="S7" s="6">
        <v>3</v>
      </c>
      <c r="T7" s="6">
        <v>4</v>
      </c>
      <c r="U7" s="6">
        <v>1</v>
      </c>
      <c r="V7" s="6">
        <v>3</v>
      </c>
      <c r="W7" s="6">
        <v>0</v>
      </c>
      <c r="X7" s="6">
        <v>4</v>
      </c>
      <c r="AD7" s="6" t="s">
        <v>324</v>
      </c>
      <c r="AE7" s="72">
        <v>-0.14578706105361683</v>
      </c>
      <c r="AF7" s="72">
        <v>-0.10455633756766618</v>
      </c>
      <c r="AG7" s="72">
        <v>-5.9057541054060726E-2</v>
      </c>
      <c r="AH7" s="72">
        <v>-5.437593467075523E-2</v>
      </c>
      <c r="AI7" s="72">
        <v>-0.29542528707683768</v>
      </c>
      <c r="AJ7" s="72">
        <v>1</v>
      </c>
      <c r="AK7" s="72"/>
      <c r="AL7" s="72"/>
      <c r="AM7" s="72"/>
      <c r="AN7" s="72"/>
      <c r="AO7" s="72"/>
      <c r="AP7" s="72"/>
      <c r="AQ7" s="72"/>
      <c r="AR7" s="72"/>
      <c r="AS7" s="72"/>
      <c r="AT7" s="72"/>
      <c r="AX7" s="150"/>
      <c r="AY7" s="150"/>
      <c r="AZ7" s="150"/>
      <c r="BA7" s="150"/>
      <c r="BB7" s="150"/>
      <c r="BC7" s="150"/>
      <c r="BD7" s="150"/>
      <c r="BE7" s="150"/>
      <c r="BF7" s="150"/>
      <c r="BG7" s="150"/>
      <c r="BH7" s="150"/>
      <c r="BI7" s="150"/>
      <c r="BJ7" s="150"/>
      <c r="BK7" s="150"/>
      <c r="BL7" s="150"/>
    </row>
    <row r="8" spans="1:95" hidden="1" x14ac:dyDescent="0.2">
      <c r="A8" s="6" t="s">
        <v>889</v>
      </c>
      <c r="B8" s="6" t="s">
        <v>391</v>
      </c>
      <c r="C8" s="6">
        <v>84478</v>
      </c>
      <c r="D8" s="6">
        <v>1966</v>
      </c>
      <c r="E8" s="6">
        <v>4.22</v>
      </c>
      <c r="F8" s="6">
        <v>710940</v>
      </c>
      <c r="G8" s="6">
        <v>12162</v>
      </c>
      <c r="H8" s="6">
        <v>23.73</v>
      </c>
      <c r="I8" s="6">
        <v>3</v>
      </c>
      <c r="J8" s="6">
        <v>4</v>
      </c>
      <c r="K8" s="6">
        <v>4</v>
      </c>
      <c r="L8" s="6">
        <v>3</v>
      </c>
      <c r="M8" s="6">
        <v>4</v>
      </c>
      <c r="N8" s="6">
        <v>2</v>
      </c>
      <c r="O8" s="6">
        <v>4</v>
      </c>
      <c r="P8" s="6">
        <v>1</v>
      </c>
      <c r="Q8" s="6">
        <v>2</v>
      </c>
      <c r="R8" s="6">
        <v>2</v>
      </c>
      <c r="S8" s="6">
        <v>3</v>
      </c>
      <c r="T8" s="6">
        <v>4</v>
      </c>
      <c r="U8" s="6">
        <v>1</v>
      </c>
      <c r="V8" s="6">
        <v>3</v>
      </c>
      <c r="W8" s="6">
        <v>1</v>
      </c>
      <c r="X8" s="6">
        <v>4</v>
      </c>
      <c r="AD8" s="6" t="s">
        <v>325</v>
      </c>
      <c r="AE8" s="72">
        <v>-1.7991724866236573E-2</v>
      </c>
      <c r="AF8" s="72">
        <v>3.4859993694830234E-2</v>
      </c>
      <c r="AG8" s="72">
        <v>0.16753938626578618</v>
      </c>
      <c r="AH8" s="72">
        <v>0.15727939877103919</v>
      </c>
      <c r="AI8" s="72">
        <v>-2.6260304011080236E-2</v>
      </c>
      <c r="AJ8" s="72">
        <v>3.0010404387132265E-2</v>
      </c>
      <c r="AK8" s="72">
        <v>1</v>
      </c>
      <c r="AL8" s="72"/>
      <c r="AM8" s="72"/>
      <c r="AN8" s="72"/>
      <c r="AO8" s="72"/>
      <c r="AP8" s="72"/>
      <c r="AQ8" s="72"/>
      <c r="AR8" s="72"/>
      <c r="AS8" s="72"/>
      <c r="AT8" s="72"/>
      <c r="AX8" s="150"/>
      <c r="AY8" s="150"/>
      <c r="AZ8" s="150"/>
      <c r="BA8" s="150"/>
      <c r="BB8" s="150"/>
      <c r="BC8" s="150"/>
      <c r="BD8" s="150"/>
      <c r="BE8" s="150"/>
      <c r="BF8" s="150"/>
      <c r="BG8" s="150"/>
      <c r="BH8" s="150"/>
      <c r="BI8" s="150"/>
      <c r="BJ8" s="150"/>
      <c r="BK8" s="150"/>
      <c r="BL8" s="150"/>
    </row>
    <row r="9" spans="1:95" hidden="1" x14ac:dyDescent="0.2">
      <c r="A9" s="6" t="s">
        <v>890</v>
      </c>
      <c r="B9" s="6" t="s">
        <v>361</v>
      </c>
      <c r="C9" s="6">
        <v>58300</v>
      </c>
      <c r="D9" s="6">
        <v>1962</v>
      </c>
      <c r="E9" s="6">
        <v>4</v>
      </c>
      <c r="F9" s="6">
        <v>733340</v>
      </c>
      <c r="G9" s="6">
        <v>11579</v>
      </c>
      <c r="H9" s="6">
        <v>22.59</v>
      </c>
      <c r="I9" s="6">
        <v>3</v>
      </c>
      <c r="J9" s="6">
        <v>4</v>
      </c>
      <c r="K9" s="6">
        <v>4</v>
      </c>
      <c r="L9" s="6">
        <v>3</v>
      </c>
      <c r="M9" s="6">
        <v>4</v>
      </c>
      <c r="N9" s="6">
        <v>2</v>
      </c>
      <c r="O9" s="6">
        <v>3</v>
      </c>
      <c r="P9" s="6">
        <v>1</v>
      </c>
      <c r="Q9" s="6">
        <v>2</v>
      </c>
      <c r="R9" s="6">
        <v>1</v>
      </c>
      <c r="S9" s="6">
        <v>4</v>
      </c>
      <c r="T9" s="6">
        <v>3</v>
      </c>
      <c r="U9" s="6">
        <v>2</v>
      </c>
      <c r="V9" s="6">
        <v>3</v>
      </c>
      <c r="W9" s="6">
        <v>1</v>
      </c>
      <c r="X9" s="6">
        <v>4</v>
      </c>
      <c r="AD9" s="6" t="s">
        <v>76</v>
      </c>
      <c r="AE9" s="72">
        <v>2.1376602780441081E-2</v>
      </c>
      <c r="AF9" s="72">
        <v>1.9211284364102819E-2</v>
      </c>
      <c r="AG9" s="72">
        <v>-2.5120583220732563E-2</v>
      </c>
      <c r="AH9" s="72">
        <v>0.1470996010563278</v>
      </c>
      <c r="AI9" s="72">
        <v>7.5751597680338026E-2</v>
      </c>
      <c r="AJ9" s="72">
        <v>5.0430064201709854E-2</v>
      </c>
      <c r="AK9" s="72">
        <v>-5.2575210627788992E-2</v>
      </c>
      <c r="AL9" s="72">
        <v>1</v>
      </c>
      <c r="AM9" s="72"/>
      <c r="AN9" s="72"/>
      <c r="AO9" s="72"/>
      <c r="AP9" s="72"/>
      <c r="AQ9" s="72"/>
      <c r="AR9" s="72"/>
      <c r="AS9" s="72"/>
      <c r="AT9" s="72"/>
      <c r="AX9" s="150"/>
      <c r="AY9" s="150"/>
      <c r="AZ9" s="150"/>
      <c r="BA9" s="150"/>
      <c r="BB9" s="150"/>
      <c r="BC9" s="150"/>
      <c r="BD9" s="150"/>
      <c r="BE9" s="150"/>
      <c r="BF9" s="150"/>
      <c r="BG9" s="150"/>
      <c r="BH9" s="150"/>
      <c r="BI9" s="150"/>
      <c r="BJ9" s="150"/>
      <c r="BK9" s="150"/>
      <c r="BL9" s="150"/>
    </row>
    <row r="10" spans="1:95" hidden="1" x14ac:dyDescent="0.2">
      <c r="A10" s="6" t="s">
        <v>891</v>
      </c>
      <c r="B10" s="6" t="s">
        <v>533</v>
      </c>
      <c r="C10" s="6">
        <v>26337</v>
      </c>
      <c r="D10" s="6">
        <v>1958</v>
      </c>
      <c r="E10" s="6">
        <v>3.85</v>
      </c>
      <c r="F10" s="6">
        <v>246976</v>
      </c>
      <c r="G10" s="6">
        <v>10786</v>
      </c>
      <c r="H10" s="6">
        <v>21.04</v>
      </c>
      <c r="I10" s="6">
        <v>2</v>
      </c>
      <c r="J10" s="6">
        <v>3</v>
      </c>
      <c r="K10" s="6">
        <v>4</v>
      </c>
      <c r="L10" s="6">
        <v>2</v>
      </c>
      <c r="M10" s="6">
        <v>4</v>
      </c>
      <c r="N10" s="6">
        <v>1</v>
      </c>
      <c r="O10" s="6">
        <v>4</v>
      </c>
      <c r="P10" s="6">
        <v>1</v>
      </c>
      <c r="Q10" s="6">
        <v>2</v>
      </c>
      <c r="R10" s="6">
        <v>3</v>
      </c>
      <c r="S10" s="6">
        <v>2</v>
      </c>
      <c r="T10" s="6">
        <v>3</v>
      </c>
      <c r="U10" s="6">
        <v>1</v>
      </c>
      <c r="V10" s="6">
        <v>2</v>
      </c>
      <c r="W10" s="6">
        <v>4</v>
      </c>
      <c r="X10" s="6">
        <v>3</v>
      </c>
      <c r="AD10" s="6" t="s">
        <v>77</v>
      </c>
      <c r="AE10" s="72">
        <v>0.31988440658684925</v>
      </c>
      <c r="AF10" s="72">
        <v>0.31163055672308071</v>
      </c>
      <c r="AG10" s="72">
        <v>0.16213955764721244</v>
      </c>
      <c r="AH10" s="72">
        <v>0.11421808962632614</v>
      </c>
      <c r="AI10" s="72">
        <v>7.7699572709220288E-2</v>
      </c>
      <c r="AJ10" s="72">
        <v>-0.109880284447502</v>
      </c>
      <c r="AK10" s="72">
        <v>-0.22119464236003392</v>
      </c>
      <c r="AL10" s="72">
        <v>-3.1240067735375389E-2</v>
      </c>
      <c r="AM10" s="72">
        <v>1</v>
      </c>
      <c r="AN10" s="72"/>
      <c r="AO10" s="72"/>
      <c r="AP10" s="72"/>
      <c r="AQ10" s="72"/>
      <c r="AR10" s="72"/>
      <c r="AS10" s="72"/>
      <c r="AT10" s="72"/>
      <c r="AX10" s="150"/>
      <c r="AY10" s="150"/>
      <c r="AZ10" s="150"/>
      <c r="BA10" s="150"/>
      <c r="BB10" s="150"/>
      <c r="BC10" s="150"/>
      <c r="BD10" s="150"/>
      <c r="BE10" s="150"/>
      <c r="BF10" s="150"/>
      <c r="BG10" s="150"/>
      <c r="BH10" s="150"/>
      <c r="BI10" s="150"/>
      <c r="BJ10" s="150"/>
      <c r="BK10" s="150"/>
      <c r="BL10" s="150"/>
    </row>
    <row r="11" spans="1:95" hidden="1" x14ac:dyDescent="0.2">
      <c r="A11" s="6" t="s">
        <v>892</v>
      </c>
      <c r="B11" s="6" t="s">
        <v>434</v>
      </c>
      <c r="C11" s="6">
        <v>31730</v>
      </c>
      <c r="D11" s="6">
        <v>1906</v>
      </c>
      <c r="E11" s="6">
        <v>3.91</v>
      </c>
      <c r="F11" s="6">
        <v>444950</v>
      </c>
      <c r="G11" s="6">
        <v>9586</v>
      </c>
      <c r="H11" s="6">
        <v>18.7</v>
      </c>
      <c r="I11" s="6">
        <v>3</v>
      </c>
      <c r="J11" s="6">
        <v>4</v>
      </c>
      <c r="K11" s="6">
        <v>4</v>
      </c>
      <c r="L11" s="6">
        <v>3</v>
      </c>
      <c r="M11" s="6">
        <v>2</v>
      </c>
      <c r="N11" s="6">
        <v>3</v>
      </c>
      <c r="O11" s="6">
        <v>4</v>
      </c>
      <c r="P11" s="6">
        <v>0</v>
      </c>
      <c r="Q11" s="6">
        <v>1</v>
      </c>
      <c r="R11" s="6">
        <v>1</v>
      </c>
      <c r="S11" s="6">
        <v>0</v>
      </c>
      <c r="T11" s="6">
        <v>3</v>
      </c>
      <c r="U11" s="6">
        <v>2</v>
      </c>
      <c r="V11" s="6">
        <v>3</v>
      </c>
      <c r="W11" s="6">
        <v>2</v>
      </c>
      <c r="X11" s="6">
        <v>4</v>
      </c>
      <c r="AD11" s="6" t="s">
        <v>78</v>
      </c>
      <c r="AE11" s="72">
        <v>-4.4502977511515093E-2</v>
      </c>
      <c r="AF11" s="72">
        <v>2.4068029554519016E-3</v>
      </c>
      <c r="AG11" s="72">
        <v>2.7777985796562935E-2</v>
      </c>
      <c r="AH11" s="72">
        <v>-5.1871265622173812E-2</v>
      </c>
      <c r="AI11" s="72">
        <v>0.11946690166906525</v>
      </c>
      <c r="AJ11" s="72">
        <v>-3.6828806347067915E-2</v>
      </c>
      <c r="AK11" s="72">
        <v>0.12041208255001083</v>
      </c>
      <c r="AL11" s="72">
        <v>0.3994401267655503</v>
      </c>
      <c r="AM11" s="72">
        <v>-0.10390682166206183</v>
      </c>
      <c r="AN11" s="72">
        <v>1</v>
      </c>
      <c r="AO11" s="72"/>
      <c r="AP11" s="72"/>
      <c r="AQ11" s="72"/>
      <c r="AR11" s="72"/>
      <c r="AS11" s="72"/>
      <c r="AT11" s="72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150"/>
      <c r="BI11" s="150"/>
      <c r="BJ11" s="150"/>
      <c r="BK11" s="150"/>
      <c r="BL11" s="150"/>
    </row>
    <row r="12" spans="1:95" hidden="1" x14ac:dyDescent="0.2">
      <c r="A12" s="6" t="s">
        <v>893</v>
      </c>
      <c r="B12" s="6" t="s">
        <v>416</v>
      </c>
      <c r="C12" s="6">
        <v>32152</v>
      </c>
      <c r="D12" s="6">
        <v>1895</v>
      </c>
      <c r="E12" s="6">
        <v>3.89</v>
      </c>
      <c r="F12" s="6">
        <v>535423</v>
      </c>
      <c r="G12" s="6">
        <v>8450</v>
      </c>
      <c r="H12" s="6">
        <v>16.48</v>
      </c>
      <c r="I12" s="6">
        <v>3</v>
      </c>
      <c r="J12" s="6">
        <v>4</v>
      </c>
      <c r="K12" s="6">
        <v>4</v>
      </c>
      <c r="L12" s="6">
        <v>3</v>
      </c>
      <c r="M12" s="6">
        <v>2</v>
      </c>
      <c r="N12" s="6">
        <v>4</v>
      </c>
      <c r="O12" s="6">
        <v>3</v>
      </c>
      <c r="P12" s="6">
        <v>0</v>
      </c>
      <c r="Q12" s="6">
        <v>1</v>
      </c>
      <c r="R12" s="6">
        <v>0</v>
      </c>
      <c r="S12" s="6">
        <v>2</v>
      </c>
      <c r="T12" s="6">
        <v>1</v>
      </c>
      <c r="U12" s="6">
        <v>1</v>
      </c>
      <c r="V12" s="6">
        <v>2</v>
      </c>
      <c r="W12" s="6">
        <v>0</v>
      </c>
      <c r="X12" s="6">
        <v>3</v>
      </c>
      <c r="AD12" s="6" t="s">
        <v>79</v>
      </c>
      <c r="AE12" s="72">
        <v>4.9439912955304924E-3</v>
      </c>
      <c r="AF12" s="72">
        <v>-2.7451028870218577E-2</v>
      </c>
      <c r="AG12" s="72">
        <v>-9.5047368335327828E-2</v>
      </c>
      <c r="AH12" s="72">
        <v>3.457536102942621E-2</v>
      </c>
      <c r="AI12" s="72">
        <v>0.15815493996710947</v>
      </c>
      <c r="AJ12" s="72">
        <v>-0.11408747368090766</v>
      </c>
      <c r="AK12" s="72">
        <v>-6.472786298204658E-2</v>
      </c>
      <c r="AL12" s="72">
        <v>0.34262774305613514</v>
      </c>
      <c r="AM12" s="72">
        <v>-4.3560736799383395E-2</v>
      </c>
      <c r="AN12" s="72">
        <v>-8.1384768925280376E-2</v>
      </c>
      <c r="AO12" s="72">
        <v>1</v>
      </c>
      <c r="AP12" s="72"/>
      <c r="AQ12" s="72"/>
      <c r="AR12" s="72"/>
      <c r="AS12" s="72"/>
      <c r="AT12" s="72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</row>
    <row r="13" spans="1:95" hidden="1" x14ac:dyDescent="0.2">
      <c r="A13" s="6" t="s">
        <v>894</v>
      </c>
      <c r="B13" s="6" t="s">
        <v>420</v>
      </c>
      <c r="C13" s="6">
        <v>14351</v>
      </c>
      <c r="D13" s="6">
        <v>1853</v>
      </c>
      <c r="E13" s="6">
        <v>3.93</v>
      </c>
      <c r="F13" s="6">
        <v>68325</v>
      </c>
      <c r="G13" s="6">
        <v>8373</v>
      </c>
      <c r="H13" s="6">
        <v>16.329999999999998</v>
      </c>
      <c r="I13" s="6">
        <v>1</v>
      </c>
      <c r="J13" s="6">
        <v>2</v>
      </c>
      <c r="K13" s="6">
        <v>3</v>
      </c>
      <c r="L13" s="6">
        <v>1</v>
      </c>
      <c r="M13" s="6">
        <v>4</v>
      </c>
      <c r="N13" s="6">
        <v>2</v>
      </c>
      <c r="O13" s="6">
        <v>3</v>
      </c>
      <c r="P13" s="6">
        <v>0</v>
      </c>
      <c r="Q13" s="6">
        <v>1</v>
      </c>
      <c r="R13" s="6">
        <v>0</v>
      </c>
      <c r="S13" s="6">
        <v>2</v>
      </c>
      <c r="T13" s="6">
        <v>4</v>
      </c>
      <c r="U13" s="6">
        <v>0</v>
      </c>
      <c r="V13" s="6">
        <v>1</v>
      </c>
      <c r="W13" s="6">
        <v>0</v>
      </c>
      <c r="X13" s="6">
        <v>2</v>
      </c>
      <c r="AD13" s="6" t="s">
        <v>80</v>
      </c>
      <c r="AE13" s="72">
        <v>3.3686022868253278E-2</v>
      </c>
      <c r="AF13" s="72">
        <v>9.1772409986140169E-2</v>
      </c>
      <c r="AG13" s="72">
        <v>0.16170258847240729</v>
      </c>
      <c r="AH13" s="72">
        <v>-0.13144201141356512</v>
      </c>
      <c r="AI13" s="72">
        <v>0.1543022624699962</v>
      </c>
      <c r="AJ13" s="72">
        <v>-9.9601293140843594E-2</v>
      </c>
      <c r="AK13" s="72">
        <v>0.16750533104557686</v>
      </c>
      <c r="AL13" s="72">
        <v>-0.57614796016478287</v>
      </c>
      <c r="AM13" s="72">
        <v>1.0402893598914876E-2</v>
      </c>
      <c r="AN13" s="72">
        <v>-0.14641352303674809</v>
      </c>
      <c r="AO13" s="72">
        <v>-3.3155537408482656E-2</v>
      </c>
      <c r="AP13" s="72">
        <v>1</v>
      </c>
      <c r="AQ13" s="72"/>
      <c r="AR13" s="72"/>
      <c r="AS13" s="72"/>
      <c r="AT13" s="72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150"/>
      <c r="BK13" s="150"/>
      <c r="BL13" s="150"/>
    </row>
    <row r="14" spans="1:95" hidden="1" x14ac:dyDescent="0.2">
      <c r="A14" s="6" t="s">
        <v>895</v>
      </c>
      <c r="B14" s="6" t="s">
        <v>54</v>
      </c>
      <c r="C14" s="6">
        <v>25981</v>
      </c>
      <c r="D14" s="6">
        <v>1947</v>
      </c>
      <c r="E14" s="6">
        <v>3.54</v>
      </c>
      <c r="F14" s="6">
        <v>248435</v>
      </c>
      <c r="G14" s="6">
        <v>7866</v>
      </c>
      <c r="H14" s="6">
        <v>15.35</v>
      </c>
      <c r="I14" s="6">
        <v>3</v>
      </c>
      <c r="J14" s="6">
        <v>4</v>
      </c>
      <c r="K14" s="6">
        <v>4</v>
      </c>
      <c r="L14" s="6">
        <v>3</v>
      </c>
      <c r="M14" s="6">
        <v>4</v>
      </c>
      <c r="N14" s="6">
        <v>2</v>
      </c>
      <c r="O14" s="6">
        <v>3</v>
      </c>
      <c r="P14" s="6">
        <v>0</v>
      </c>
      <c r="Q14" s="6">
        <v>1</v>
      </c>
      <c r="R14" s="6">
        <v>0</v>
      </c>
      <c r="S14" s="6">
        <v>2</v>
      </c>
      <c r="T14" s="6">
        <v>4</v>
      </c>
      <c r="U14" s="6">
        <v>1</v>
      </c>
      <c r="V14" s="6">
        <v>2</v>
      </c>
      <c r="W14" s="6">
        <v>3</v>
      </c>
      <c r="X14" s="6">
        <v>3</v>
      </c>
      <c r="AD14" s="6" t="s">
        <v>61</v>
      </c>
      <c r="AE14" s="72">
        <v>0.30704846275242048</v>
      </c>
      <c r="AF14" s="72">
        <v>0.31940691455027115</v>
      </c>
      <c r="AG14" s="72">
        <v>7.1904593515705925E-2</v>
      </c>
      <c r="AH14" s="72">
        <v>0.4773943535392739</v>
      </c>
      <c r="AI14" s="72">
        <v>-6.3882878734818085E-2</v>
      </c>
      <c r="AJ14" s="72">
        <v>5.2379382705453219E-2</v>
      </c>
      <c r="AK14" s="72">
        <v>3.5595766714842589E-3</v>
      </c>
      <c r="AL14" s="72">
        <v>0.51121976279285941</v>
      </c>
      <c r="AM14" s="72">
        <v>0.15513208860055119</v>
      </c>
      <c r="AN14" s="72">
        <v>0.20125031192549064</v>
      </c>
      <c r="AO14" s="72">
        <v>7.6686569570062618E-2</v>
      </c>
      <c r="AP14" s="72">
        <v>-0.45517045742452106</v>
      </c>
      <c r="AQ14" s="72">
        <v>1</v>
      </c>
      <c r="AR14" s="72"/>
      <c r="AS14" s="72"/>
      <c r="AT14" s="72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</row>
    <row r="15" spans="1:95" hidden="1" x14ac:dyDescent="0.2">
      <c r="A15" s="6" t="s">
        <v>896</v>
      </c>
      <c r="B15" s="6" t="s">
        <v>401</v>
      </c>
      <c r="C15" s="6">
        <v>36566</v>
      </c>
      <c r="D15" s="6">
        <v>1960</v>
      </c>
      <c r="E15" s="6">
        <v>4.38</v>
      </c>
      <c r="F15" s="6">
        <v>1284507</v>
      </c>
      <c r="G15" s="6">
        <v>7769</v>
      </c>
      <c r="H15" s="6">
        <v>15.16</v>
      </c>
      <c r="I15" s="6">
        <v>2</v>
      </c>
      <c r="J15" s="6">
        <v>3</v>
      </c>
      <c r="K15" s="6">
        <v>4</v>
      </c>
      <c r="L15" s="6">
        <v>1</v>
      </c>
      <c r="M15" s="6">
        <v>3</v>
      </c>
      <c r="N15" s="6">
        <v>4</v>
      </c>
      <c r="O15" s="6">
        <v>4</v>
      </c>
      <c r="P15" s="6">
        <v>0</v>
      </c>
      <c r="Q15" s="6">
        <v>0</v>
      </c>
      <c r="R15" s="6">
        <v>0</v>
      </c>
      <c r="S15" s="6">
        <v>0</v>
      </c>
      <c r="T15" s="6">
        <v>4</v>
      </c>
      <c r="U15" s="6">
        <v>0</v>
      </c>
      <c r="V15" s="6">
        <v>2</v>
      </c>
      <c r="W15" s="6">
        <v>1</v>
      </c>
      <c r="X15" s="6">
        <v>3</v>
      </c>
      <c r="AD15" s="6" t="s">
        <v>62</v>
      </c>
      <c r="AE15" s="72">
        <v>0.44759857946071674</v>
      </c>
      <c r="AF15" s="72">
        <v>0.46188469292132156</v>
      </c>
      <c r="AG15" s="72">
        <v>0.35523530595833125</v>
      </c>
      <c r="AH15" s="72">
        <v>0.70895354072356309</v>
      </c>
      <c r="AI15" s="72">
        <v>3.3431627519894765E-2</v>
      </c>
      <c r="AJ15" s="72">
        <v>-0.1453475715312029</v>
      </c>
      <c r="AK15" s="72">
        <v>0.18386986015597609</v>
      </c>
      <c r="AL15" s="72">
        <v>0.18380137546424324</v>
      </c>
      <c r="AM15" s="72">
        <v>0.13614295368154464</v>
      </c>
      <c r="AN15" s="72">
        <v>1.3825603932066895E-2</v>
      </c>
      <c r="AO15" s="72">
        <v>-1.5561443234476157E-3</v>
      </c>
      <c r="AP15" s="72">
        <v>-0.10049840264586295</v>
      </c>
      <c r="AQ15" s="72">
        <v>0.49418352541561689</v>
      </c>
      <c r="AR15" s="72">
        <v>1</v>
      </c>
      <c r="AS15" s="72"/>
      <c r="AT15" s="72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</row>
    <row r="16" spans="1:95" hidden="1" x14ac:dyDescent="0.2">
      <c r="A16" s="6" t="s">
        <v>897</v>
      </c>
      <c r="B16" s="6" t="s">
        <v>461</v>
      </c>
      <c r="C16" s="6">
        <v>36700</v>
      </c>
      <c r="D16" s="6">
        <v>1899</v>
      </c>
      <c r="E16" s="6">
        <v>3.68</v>
      </c>
      <c r="F16" s="6">
        <v>215290</v>
      </c>
      <c r="G16" s="6">
        <v>7755</v>
      </c>
      <c r="H16" s="6">
        <v>15.13</v>
      </c>
      <c r="I16" s="6">
        <v>2</v>
      </c>
      <c r="J16" s="6">
        <v>3</v>
      </c>
      <c r="K16" s="6">
        <v>4</v>
      </c>
      <c r="L16" s="6">
        <v>2</v>
      </c>
      <c r="M16" s="6">
        <v>4</v>
      </c>
      <c r="N16" s="6">
        <v>3</v>
      </c>
      <c r="O16" s="6">
        <v>4</v>
      </c>
      <c r="P16" s="6">
        <v>0</v>
      </c>
      <c r="Q16" s="6">
        <v>1</v>
      </c>
      <c r="R16" s="6">
        <v>3</v>
      </c>
      <c r="S16" s="6">
        <v>2</v>
      </c>
      <c r="T16" s="6">
        <v>4</v>
      </c>
      <c r="U16" s="6">
        <v>1</v>
      </c>
      <c r="V16" s="6">
        <v>2</v>
      </c>
      <c r="W16" s="6">
        <v>4</v>
      </c>
      <c r="X16" s="6">
        <v>3</v>
      </c>
      <c r="AD16" s="6" t="s">
        <v>63</v>
      </c>
      <c r="AE16" s="72">
        <v>-3.4357093685365034E-2</v>
      </c>
      <c r="AF16" s="72">
        <v>-3.3705736574262762E-2</v>
      </c>
      <c r="AG16" s="72">
        <v>1.0600395004320563E-2</v>
      </c>
      <c r="AH16" s="72">
        <v>4.4692178563703312E-2</v>
      </c>
      <c r="AI16" s="72">
        <v>0.16574576399512447</v>
      </c>
      <c r="AJ16" s="72">
        <v>-9.4485466325528955E-2</v>
      </c>
      <c r="AK16" s="72">
        <v>5.745570961771284E-2</v>
      </c>
      <c r="AL16" s="72">
        <v>0.27148655943315214</v>
      </c>
      <c r="AM16" s="72">
        <v>-3.7587280316668033E-2</v>
      </c>
      <c r="AN16" s="72">
        <v>0.46567617766628439</v>
      </c>
      <c r="AO16" s="72">
        <v>-2.668898872325277E-2</v>
      </c>
      <c r="AP16" s="72">
        <v>-0.16629737511838275</v>
      </c>
      <c r="AQ16" s="72">
        <v>0.13288460552343628</v>
      </c>
      <c r="AR16" s="72">
        <v>0.11077562558366591</v>
      </c>
      <c r="AS16" s="72">
        <v>1</v>
      </c>
      <c r="AT16" s="72"/>
      <c r="AX16" s="150"/>
      <c r="AY16" s="150"/>
      <c r="AZ16" s="150"/>
      <c r="BA16" s="150"/>
      <c r="BB16" s="150"/>
      <c r="BC16" s="150"/>
      <c r="BD16" s="150"/>
      <c r="BE16" s="150"/>
      <c r="BF16" s="150"/>
      <c r="BG16" s="150"/>
      <c r="BH16" s="150"/>
      <c r="BI16" s="150"/>
      <c r="BJ16" s="150"/>
      <c r="BK16" s="150"/>
      <c r="BL16" s="150"/>
    </row>
    <row r="17" spans="1:64" hidden="1" x14ac:dyDescent="0.2">
      <c r="A17" s="6" t="s">
        <v>898</v>
      </c>
      <c r="B17" s="6" t="s">
        <v>438</v>
      </c>
      <c r="C17" s="6">
        <v>15849</v>
      </c>
      <c r="D17" s="6">
        <v>1914</v>
      </c>
      <c r="E17" s="6">
        <v>3.99</v>
      </c>
      <c r="F17" s="6">
        <v>22212</v>
      </c>
      <c r="G17" s="6">
        <v>6140</v>
      </c>
      <c r="H17" s="6">
        <v>11.98</v>
      </c>
      <c r="I17" s="6">
        <v>2</v>
      </c>
      <c r="J17" s="6">
        <v>3</v>
      </c>
      <c r="K17" s="6">
        <v>4</v>
      </c>
      <c r="L17" s="6">
        <v>1</v>
      </c>
      <c r="M17" s="6">
        <v>3</v>
      </c>
      <c r="N17" s="6">
        <v>4</v>
      </c>
      <c r="O17" s="6">
        <v>3</v>
      </c>
      <c r="P17" s="6">
        <v>0</v>
      </c>
      <c r="Q17" s="6">
        <v>1</v>
      </c>
      <c r="R17" s="6">
        <v>2</v>
      </c>
      <c r="S17" s="6">
        <v>1</v>
      </c>
      <c r="T17" s="6">
        <v>3</v>
      </c>
      <c r="U17" s="6">
        <v>0</v>
      </c>
      <c r="V17" s="6">
        <v>2</v>
      </c>
      <c r="W17" s="6">
        <v>3</v>
      </c>
      <c r="X17" s="6">
        <v>3</v>
      </c>
      <c r="AD17" s="255" t="s">
        <v>64</v>
      </c>
      <c r="AE17" s="271">
        <v>0.36461194047612899</v>
      </c>
      <c r="AF17" s="271">
        <v>0.38437684862491794</v>
      </c>
      <c r="AG17" s="271">
        <v>0.30251387646644096</v>
      </c>
      <c r="AH17" s="271">
        <v>0.6272257829757617</v>
      </c>
      <c r="AI17" s="271">
        <v>0.15746001162159581</v>
      </c>
      <c r="AJ17" s="271">
        <v>-6.399415754482618E-2</v>
      </c>
      <c r="AK17" s="271">
        <v>0.18210086626748984</v>
      </c>
      <c r="AL17" s="271">
        <v>0.24998313669530281</v>
      </c>
      <c r="AM17" s="271">
        <v>8.6249716519750663E-2</v>
      </c>
      <c r="AN17" s="271">
        <v>7.6504051804385784E-2</v>
      </c>
      <c r="AO17" s="271">
        <v>-3.7766003566202188E-3</v>
      </c>
      <c r="AP17" s="271">
        <v>-0.19684007952112903</v>
      </c>
      <c r="AQ17" s="271">
        <v>0.45996980335158871</v>
      </c>
      <c r="AR17" s="271">
        <v>0.6654665600738835</v>
      </c>
      <c r="AS17" s="271">
        <v>0.18597825922721348</v>
      </c>
      <c r="AT17" s="271">
        <v>1</v>
      </c>
      <c r="AX17" s="150"/>
      <c r="AY17" s="150"/>
      <c r="AZ17" s="150"/>
      <c r="BA17" s="150"/>
      <c r="BB17" s="150"/>
      <c r="BC17" s="150"/>
      <c r="BD17" s="150"/>
      <c r="BE17" s="150"/>
      <c r="BF17" s="150"/>
      <c r="BG17" s="150"/>
      <c r="BH17" s="150"/>
      <c r="BI17" s="150"/>
      <c r="BJ17" s="150"/>
      <c r="BK17" s="150"/>
      <c r="BL17" s="150"/>
    </row>
    <row r="18" spans="1:64" hidden="1" x14ac:dyDescent="0.2">
      <c r="A18" s="6" t="s">
        <v>899</v>
      </c>
      <c r="B18" s="6" t="s">
        <v>399</v>
      </c>
      <c r="C18" s="6">
        <v>34896</v>
      </c>
      <c r="D18" s="6">
        <v>1911</v>
      </c>
      <c r="E18" s="6">
        <v>3.45</v>
      </c>
      <c r="F18" s="6">
        <v>130764</v>
      </c>
      <c r="G18" s="6">
        <v>5915</v>
      </c>
      <c r="H18" s="6">
        <v>11.54</v>
      </c>
      <c r="I18" s="6">
        <v>3</v>
      </c>
      <c r="J18" s="6">
        <v>4</v>
      </c>
      <c r="K18" s="6">
        <v>4</v>
      </c>
      <c r="L18" s="6">
        <v>2</v>
      </c>
      <c r="M18" s="6">
        <v>3</v>
      </c>
      <c r="N18" s="6">
        <v>3</v>
      </c>
      <c r="O18" s="6">
        <v>4</v>
      </c>
      <c r="P18" s="6">
        <v>0</v>
      </c>
      <c r="Q18" s="6">
        <v>1</v>
      </c>
      <c r="R18" s="6">
        <v>3</v>
      </c>
      <c r="S18" s="6">
        <v>1</v>
      </c>
      <c r="T18" s="6">
        <v>4</v>
      </c>
      <c r="U18" s="6">
        <v>1</v>
      </c>
      <c r="V18" s="6">
        <v>2</v>
      </c>
      <c r="W18" s="6">
        <v>3</v>
      </c>
      <c r="X18" s="6">
        <v>3</v>
      </c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</row>
    <row r="19" spans="1:64" hidden="1" x14ac:dyDescent="0.2">
      <c r="A19" s="6" t="s">
        <v>900</v>
      </c>
      <c r="B19" s="6" t="s">
        <v>516</v>
      </c>
      <c r="C19" s="6">
        <v>53696</v>
      </c>
      <c r="D19" s="6">
        <v>1962</v>
      </c>
      <c r="E19" s="6">
        <v>3.93</v>
      </c>
      <c r="F19" s="6">
        <v>252444</v>
      </c>
      <c r="G19" s="6">
        <v>5640</v>
      </c>
      <c r="H19" s="6">
        <v>11</v>
      </c>
      <c r="I19" s="6">
        <v>3</v>
      </c>
      <c r="J19" s="6">
        <v>4</v>
      </c>
      <c r="K19" s="6">
        <v>4</v>
      </c>
      <c r="L19" s="6">
        <v>2</v>
      </c>
      <c r="M19" s="6">
        <v>3</v>
      </c>
      <c r="N19" s="6">
        <v>1</v>
      </c>
      <c r="O19" s="6">
        <v>3</v>
      </c>
      <c r="P19" s="6">
        <v>0</v>
      </c>
      <c r="Q19" s="6">
        <v>2</v>
      </c>
      <c r="R19" s="6">
        <v>0</v>
      </c>
      <c r="S19" s="6">
        <v>1</v>
      </c>
      <c r="T19" s="6">
        <v>3</v>
      </c>
      <c r="U19" s="6">
        <v>0</v>
      </c>
      <c r="V19" s="6">
        <v>2</v>
      </c>
      <c r="W19" s="6">
        <v>4</v>
      </c>
      <c r="X19" s="6">
        <v>3</v>
      </c>
      <c r="AD19" s="43" t="s">
        <v>901</v>
      </c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</row>
    <row r="20" spans="1:64" x14ac:dyDescent="0.2">
      <c r="A20" s="6" t="s">
        <v>902</v>
      </c>
      <c r="B20" s="6" t="s">
        <v>16</v>
      </c>
      <c r="C20" s="6">
        <v>59725</v>
      </c>
      <c r="D20" s="6">
        <v>1954</v>
      </c>
      <c r="E20" s="6">
        <v>3.7</v>
      </c>
      <c r="F20" s="6">
        <v>3002291</v>
      </c>
      <c r="G20" s="6">
        <v>4283</v>
      </c>
      <c r="H20" s="6">
        <v>8.35</v>
      </c>
      <c r="I20" s="6">
        <v>3</v>
      </c>
      <c r="J20" s="6">
        <v>4</v>
      </c>
      <c r="K20" s="6">
        <v>4</v>
      </c>
      <c r="L20" s="6">
        <v>3</v>
      </c>
      <c r="M20" s="6">
        <v>4</v>
      </c>
      <c r="N20" s="6">
        <v>2</v>
      </c>
      <c r="O20" s="6">
        <v>3</v>
      </c>
      <c r="P20" s="6">
        <v>1</v>
      </c>
      <c r="Q20" s="6">
        <v>2</v>
      </c>
      <c r="R20" s="6">
        <v>0</v>
      </c>
      <c r="S20" s="6">
        <v>3</v>
      </c>
      <c r="T20" s="6">
        <v>4</v>
      </c>
      <c r="U20" s="6">
        <v>1</v>
      </c>
      <c r="V20" s="6">
        <v>2</v>
      </c>
      <c r="W20" s="6">
        <v>1</v>
      </c>
      <c r="X20" s="6">
        <v>4</v>
      </c>
      <c r="AD20" s="43" t="s">
        <v>903</v>
      </c>
      <c r="AE20" s="297"/>
      <c r="AF20" s="297"/>
      <c r="AG20" s="297"/>
      <c r="AH20" s="297"/>
      <c r="AI20" s="297"/>
      <c r="AJ20" s="297"/>
      <c r="AK20" s="297"/>
      <c r="AL20" s="297"/>
      <c r="AM20" s="297"/>
      <c r="AN20" s="297"/>
      <c r="AO20" s="297"/>
      <c r="AP20" s="297"/>
      <c r="AQ20" s="297"/>
      <c r="AR20" s="297"/>
      <c r="AS20" s="297"/>
      <c r="AT20" s="297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0"/>
      <c r="BK20" s="150"/>
      <c r="BL20" s="150"/>
    </row>
    <row r="21" spans="1:64" ht="15.75" hidden="1" customHeight="1" x14ac:dyDescent="0.2">
      <c r="A21" s="6" t="s">
        <v>904</v>
      </c>
      <c r="B21" s="6" t="s">
        <v>522</v>
      </c>
      <c r="C21" s="6">
        <v>40015</v>
      </c>
      <c r="D21" s="6">
        <v>1982</v>
      </c>
      <c r="E21" s="6">
        <v>4.5</v>
      </c>
      <c r="F21" s="6">
        <v>48826</v>
      </c>
      <c r="G21" s="6">
        <v>4087</v>
      </c>
      <c r="H21" s="6">
        <v>7.97</v>
      </c>
      <c r="I21" s="6">
        <v>2</v>
      </c>
      <c r="J21" s="6">
        <v>3</v>
      </c>
      <c r="K21" s="6">
        <v>4</v>
      </c>
      <c r="L21" s="6">
        <v>3</v>
      </c>
      <c r="M21" s="6">
        <v>4</v>
      </c>
      <c r="N21" s="6">
        <v>2</v>
      </c>
      <c r="O21" s="6">
        <v>4</v>
      </c>
      <c r="P21" s="6">
        <v>1</v>
      </c>
      <c r="Q21" s="6">
        <v>2</v>
      </c>
      <c r="R21" s="6">
        <v>1</v>
      </c>
      <c r="S21" s="6">
        <v>2</v>
      </c>
      <c r="T21" s="6">
        <v>2</v>
      </c>
      <c r="U21" s="6">
        <v>1</v>
      </c>
      <c r="V21" s="6">
        <v>3</v>
      </c>
      <c r="W21" s="6">
        <v>1</v>
      </c>
      <c r="X21" s="6">
        <v>4</v>
      </c>
      <c r="AD21" s="43" t="s">
        <v>905</v>
      </c>
      <c r="AX21" s="150"/>
      <c r="AY21" s="150"/>
      <c r="AZ21" s="150"/>
      <c r="BA21" s="150"/>
      <c r="BB21" s="150"/>
      <c r="BC21" s="150"/>
      <c r="BD21" s="150"/>
      <c r="BE21" s="150"/>
      <c r="BF21" s="150"/>
      <c r="BG21" s="150"/>
      <c r="BH21" s="150"/>
      <c r="BI21" s="150"/>
      <c r="BJ21" s="150"/>
      <c r="BK21" s="150"/>
      <c r="BL21" s="150"/>
    </row>
    <row r="22" spans="1:64" ht="15.75" hidden="1" customHeight="1" x14ac:dyDescent="0.2">
      <c r="A22" s="6" t="s">
        <v>906</v>
      </c>
      <c r="B22" s="6" t="s">
        <v>42</v>
      </c>
      <c r="C22" s="6">
        <v>21220</v>
      </c>
      <c r="D22" s="6">
        <v>1878</v>
      </c>
      <c r="E22" s="6">
        <v>3.37</v>
      </c>
      <c r="F22" s="6">
        <v>35594</v>
      </c>
      <c r="G22" s="6">
        <v>3916</v>
      </c>
      <c r="H22" s="6">
        <v>7.64</v>
      </c>
      <c r="I22" s="6">
        <v>2</v>
      </c>
      <c r="J22" s="6">
        <v>3</v>
      </c>
      <c r="K22" s="6">
        <v>3</v>
      </c>
      <c r="L22" s="6">
        <v>1</v>
      </c>
      <c r="M22" s="6">
        <v>4</v>
      </c>
      <c r="N22" s="6">
        <v>2</v>
      </c>
      <c r="O22" s="6">
        <v>3</v>
      </c>
      <c r="P22" s="6">
        <v>0</v>
      </c>
      <c r="Q22" s="6">
        <v>1</v>
      </c>
      <c r="R22" s="6">
        <v>2</v>
      </c>
      <c r="S22" s="6">
        <v>3</v>
      </c>
      <c r="T22" s="6">
        <v>4</v>
      </c>
      <c r="U22" s="6">
        <v>0</v>
      </c>
      <c r="V22" s="6">
        <v>1</v>
      </c>
      <c r="W22" s="6">
        <v>3</v>
      </c>
      <c r="X22" s="6">
        <v>2</v>
      </c>
      <c r="AD22" s="6" t="s">
        <v>907</v>
      </c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X22" s="150"/>
      <c r="AY22" s="150"/>
      <c r="AZ22" s="150"/>
      <c r="BA22" s="150"/>
      <c r="BB22" s="150"/>
      <c r="BC22" s="150"/>
      <c r="BD22" s="150"/>
      <c r="BE22" s="150"/>
      <c r="BF22" s="150"/>
      <c r="BG22" s="150"/>
      <c r="BH22" s="150"/>
      <c r="BI22" s="150"/>
      <c r="BJ22" s="150"/>
      <c r="BK22" s="150"/>
      <c r="BL22" s="150"/>
    </row>
    <row r="23" spans="1:64" ht="15.75" customHeight="1" x14ac:dyDescent="0.2">
      <c r="A23" s="6" t="s">
        <v>908</v>
      </c>
      <c r="B23" s="6" t="s">
        <v>42</v>
      </c>
      <c r="C23" s="6">
        <v>39471</v>
      </c>
      <c r="D23" s="6">
        <v>1898</v>
      </c>
      <c r="E23" s="6">
        <v>3.39</v>
      </c>
      <c r="F23" s="6">
        <v>164777</v>
      </c>
      <c r="G23" s="6">
        <v>3488</v>
      </c>
      <c r="H23" s="6">
        <v>6.8</v>
      </c>
      <c r="I23" s="6">
        <v>2</v>
      </c>
      <c r="J23" s="6">
        <v>3</v>
      </c>
      <c r="K23" s="6">
        <v>4</v>
      </c>
      <c r="L23" s="6">
        <v>2</v>
      </c>
      <c r="M23" s="6">
        <v>3</v>
      </c>
      <c r="N23" s="6">
        <v>1</v>
      </c>
      <c r="O23" s="6">
        <v>3</v>
      </c>
      <c r="P23" s="6">
        <v>0</v>
      </c>
      <c r="Q23" s="6">
        <v>4</v>
      </c>
      <c r="R23" s="6">
        <v>1</v>
      </c>
      <c r="S23" s="6">
        <v>0</v>
      </c>
      <c r="T23" s="6">
        <v>4</v>
      </c>
      <c r="U23" s="6">
        <v>1</v>
      </c>
      <c r="V23" s="6">
        <v>2</v>
      </c>
      <c r="W23" s="6">
        <v>3</v>
      </c>
      <c r="X23" s="6">
        <v>3</v>
      </c>
      <c r="AD23" s="14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X23" s="150"/>
      <c r="AY23" s="150"/>
      <c r="AZ23" s="150"/>
      <c r="BA23" s="150"/>
      <c r="BB23" s="150"/>
      <c r="BC23" s="150"/>
      <c r="BD23" s="150"/>
      <c r="BE23" s="150"/>
      <c r="BF23" s="150"/>
      <c r="BG23" s="150"/>
      <c r="BH23" s="150"/>
      <c r="BI23" s="150"/>
      <c r="BJ23" s="150"/>
      <c r="BK23" s="150"/>
      <c r="BL23" s="150"/>
    </row>
    <row r="24" spans="1:64" ht="15.75" hidden="1" customHeight="1" x14ac:dyDescent="0.2">
      <c r="A24" s="6" t="s">
        <v>909</v>
      </c>
      <c r="B24" s="6" t="s">
        <v>499</v>
      </c>
      <c r="C24" s="6">
        <v>9235</v>
      </c>
      <c r="D24" s="6">
        <v>1970</v>
      </c>
      <c r="E24" s="6">
        <v>3.85</v>
      </c>
      <c r="F24" s="6">
        <v>259268</v>
      </c>
      <c r="G24" s="6">
        <v>3478</v>
      </c>
      <c r="H24" s="6">
        <v>6.78</v>
      </c>
      <c r="I24" s="6">
        <v>2</v>
      </c>
      <c r="J24" s="6">
        <v>3</v>
      </c>
      <c r="K24" s="6">
        <v>4</v>
      </c>
      <c r="L24" s="6">
        <v>3</v>
      </c>
      <c r="M24" s="6">
        <v>2</v>
      </c>
      <c r="N24" s="6">
        <v>1</v>
      </c>
      <c r="O24" s="6">
        <v>4</v>
      </c>
      <c r="P24" s="6">
        <v>1</v>
      </c>
      <c r="Q24" s="6">
        <v>0</v>
      </c>
      <c r="R24" s="6">
        <v>0</v>
      </c>
      <c r="S24" s="6">
        <v>2</v>
      </c>
      <c r="T24" s="6">
        <v>1</v>
      </c>
      <c r="U24" s="6">
        <v>2</v>
      </c>
      <c r="V24" s="6">
        <v>3</v>
      </c>
      <c r="W24" s="6">
        <v>2</v>
      </c>
      <c r="X24" s="6">
        <v>4</v>
      </c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X24" s="150"/>
      <c r="AY24" s="150"/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/>
      <c r="BL24" s="150"/>
    </row>
    <row r="25" spans="1:64" ht="15.75" hidden="1" customHeight="1" x14ac:dyDescent="0.2">
      <c r="A25" s="6" t="s">
        <v>910</v>
      </c>
      <c r="B25" s="6" t="s">
        <v>366</v>
      </c>
      <c r="C25" s="6">
        <v>19124</v>
      </c>
      <c r="D25" s="6">
        <v>1938</v>
      </c>
      <c r="E25" s="6">
        <v>3.61</v>
      </c>
      <c r="F25" s="6">
        <v>159855</v>
      </c>
      <c r="G25" s="6">
        <v>3407</v>
      </c>
      <c r="H25" s="6">
        <v>6.65</v>
      </c>
      <c r="I25" s="6">
        <v>2</v>
      </c>
      <c r="J25" s="6">
        <v>3</v>
      </c>
      <c r="K25" s="6">
        <v>4</v>
      </c>
      <c r="L25" s="6">
        <v>3</v>
      </c>
      <c r="M25" s="6">
        <v>2</v>
      </c>
      <c r="N25" s="6">
        <v>3</v>
      </c>
      <c r="O25" s="6">
        <v>4</v>
      </c>
      <c r="P25" s="6">
        <v>1</v>
      </c>
      <c r="Q25" s="6">
        <v>0</v>
      </c>
      <c r="R25" s="6">
        <v>2</v>
      </c>
      <c r="S25" s="6">
        <v>3</v>
      </c>
      <c r="T25" s="6">
        <v>1</v>
      </c>
      <c r="U25" s="6">
        <v>2</v>
      </c>
      <c r="V25" s="6">
        <v>3</v>
      </c>
      <c r="W25" s="6">
        <v>2</v>
      </c>
      <c r="X25" s="6">
        <v>4</v>
      </c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X25" s="150"/>
      <c r="AY25" s="150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</row>
    <row r="26" spans="1:64" ht="15.75" hidden="1" customHeight="1" x14ac:dyDescent="0.2">
      <c r="A26" s="6" t="s">
        <v>911</v>
      </c>
      <c r="B26" s="6" t="s">
        <v>484</v>
      </c>
      <c r="C26" s="6">
        <v>30815</v>
      </c>
      <c r="D26" s="6">
        <v>2002</v>
      </c>
      <c r="E26" s="6">
        <v>4.12</v>
      </c>
      <c r="F26" s="6">
        <v>732983</v>
      </c>
      <c r="G26" s="6">
        <v>3303</v>
      </c>
      <c r="H26" s="6">
        <v>6.44</v>
      </c>
      <c r="I26" s="6">
        <v>3</v>
      </c>
      <c r="J26" s="6">
        <v>4</v>
      </c>
      <c r="K26" s="6">
        <v>4</v>
      </c>
      <c r="L26" s="6">
        <v>3</v>
      </c>
      <c r="M26" s="6">
        <v>3</v>
      </c>
      <c r="N26" s="6">
        <v>2</v>
      </c>
      <c r="O26" s="6">
        <v>3</v>
      </c>
      <c r="P26" s="6">
        <v>1</v>
      </c>
      <c r="Q26" s="6">
        <v>3</v>
      </c>
      <c r="R26" s="6">
        <v>0</v>
      </c>
      <c r="S26" s="6">
        <v>1</v>
      </c>
      <c r="T26" s="6">
        <v>1</v>
      </c>
      <c r="U26" s="6">
        <v>2</v>
      </c>
      <c r="V26" s="6">
        <v>3</v>
      </c>
      <c r="W26" s="6">
        <v>4</v>
      </c>
      <c r="X26" s="6">
        <v>4</v>
      </c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</row>
    <row r="27" spans="1:64" ht="15.75" hidden="1" customHeight="1" x14ac:dyDescent="0.2">
      <c r="A27" s="6" t="s">
        <v>912</v>
      </c>
      <c r="B27" s="6" t="s">
        <v>429</v>
      </c>
      <c r="C27" s="6">
        <v>22007</v>
      </c>
      <c r="D27" s="6">
        <v>1963</v>
      </c>
      <c r="E27" s="6">
        <v>4.1100000000000003</v>
      </c>
      <c r="F27" s="6">
        <v>52022</v>
      </c>
      <c r="G27" s="6">
        <v>3216</v>
      </c>
      <c r="H27" s="6">
        <v>6.27</v>
      </c>
      <c r="I27" s="6">
        <v>2</v>
      </c>
      <c r="J27" s="6">
        <v>3</v>
      </c>
      <c r="K27" s="6">
        <v>4</v>
      </c>
      <c r="L27" s="6">
        <v>1</v>
      </c>
      <c r="M27" s="6">
        <v>4</v>
      </c>
      <c r="N27" s="6">
        <v>2</v>
      </c>
      <c r="O27" s="6">
        <v>3</v>
      </c>
      <c r="P27" s="6">
        <v>1</v>
      </c>
      <c r="Q27" s="6">
        <v>2</v>
      </c>
      <c r="R27" s="6">
        <v>3</v>
      </c>
      <c r="S27" s="6">
        <v>2</v>
      </c>
      <c r="T27" s="6">
        <v>3</v>
      </c>
      <c r="U27" s="6">
        <v>1</v>
      </c>
      <c r="V27" s="6">
        <v>2</v>
      </c>
      <c r="W27" s="6">
        <v>1</v>
      </c>
      <c r="X27" s="6">
        <v>3</v>
      </c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X27" s="150"/>
      <c r="AY27" s="150"/>
      <c r="AZ27" s="150"/>
      <c r="BA27" s="150"/>
      <c r="BB27" s="150"/>
      <c r="BC27" s="150"/>
      <c r="BD27" s="150"/>
      <c r="BE27" s="150"/>
      <c r="BF27" s="150"/>
      <c r="BG27" s="150"/>
      <c r="BH27" s="150"/>
      <c r="BI27" s="150"/>
      <c r="BJ27" s="150"/>
      <c r="BK27" s="150"/>
      <c r="BL27" s="150"/>
    </row>
    <row r="28" spans="1:64" ht="15.75" hidden="1" customHeight="1" x14ac:dyDescent="0.2">
      <c r="A28" s="6" t="s">
        <v>913</v>
      </c>
      <c r="B28" s="6" t="s">
        <v>365</v>
      </c>
      <c r="C28" s="6">
        <v>43355</v>
      </c>
      <c r="D28" s="6">
        <v>1890</v>
      </c>
      <c r="E28" s="6">
        <v>3.89</v>
      </c>
      <c r="F28" s="6">
        <v>165023</v>
      </c>
      <c r="G28" s="6">
        <v>3215</v>
      </c>
      <c r="H28" s="6">
        <v>6.27</v>
      </c>
      <c r="I28" s="6">
        <v>3</v>
      </c>
      <c r="J28" s="6">
        <v>4</v>
      </c>
      <c r="K28" s="6">
        <v>4</v>
      </c>
      <c r="L28" s="6">
        <v>2</v>
      </c>
      <c r="M28" s="6">
        <v>3</v>
      </c>
      <c r="N28" s="6">
        <v>2</v>
      </c>
      <c r="O28" s="6">
        <v>3</v>
      </c>
      <c r="P28" s="6">
        <v>1</v>
      </c>
      <c r="Q28" s="6">
        <v>4</v>
      </c>
      <c r="R28" s="6">
        <v>3</v>
      </c>
      <c r="S28" s="6">
        <v>0</v>
      </c>
      <c r="T28" s="6">
        <v>1</v>
      </c>
      <c r="U28" s="6">
        <v>2</v>
      </c>
      <c r="V28" s="6">
        <v>2</v>
      </c>
      <c r="W28" s="6">
        <v>3</v>
      </c>
      <c r="X28" s="6">
        <v>3</v>
      </c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X28" s="150"/>
      <c r="AY28" s="150"/>
      <c r="AZ28" s="150"/>
      <c r="BA28" s="150"/>
      <c r="BB28" s="150"/>
      <c r="BC28" s="150"/>
      <c r="BD28" s="150"/>
      <c r="BE28" s="150"/>
      <c r="BF28" s="150"/>
      <c r="BG28" s="150"/>
      <c r="BH28" s="150"/>
      <c r="BI28" s="150"/>
      <c r="BJ28" s="150"/>
      <c r="BK28" s="150"/>
      <c r="BL28" s="150"/>
    </row>
    <row r="29" spans="1:64" ht="15.75" customHeight="1" x14ac:dyDescent="0.2">
      <c r="A29" s="6" t="s">
        <v>914</v>
      </c>
      <c r="B29" s="6" t="s">
        <v>479</v>
      </c>
      <c r="C29" s="6">
        <v>39498</v>
      </c>
      <c r="D29" s="6">
        <v>1961</v>
      </c>
      <c r="E29" s="6">
        <v>3.7</v>
      </c>
      <c r="F29" s="6">
        <v>57094</v>
      </c>
      <c r="G29" s="6">
        <v>3121</v>
      </c>
      <c r="H29" s="6">
        <v>6.09</v>
      </c>
      <c r="I29" s="6">
        <v>2</v>
      </c>
      <c r="J29" s="6">
        <v>3</v>
      </c>
      <c r="K29" s="6">
        <v>4</v>
      </c>
      <c r="L29" s="6">
        <v>2</v>
      </c>
      <c r="M29" s="6">
        <v>4</v>
      </c>
      <c r="N29" s="6">
        <v>3</v>
      </c>
      <c r="O29" s="6">
        <v>4</v>
      </c>
      <c r="P29" s="6">
        <v>1</v>
      </c>
      <c r="Q29" s="6">
        <v>2</v>
      </c>
      <c r="R29" s="6">
        <v>2</v>
      </c>
      <c r="S29" s="6">
        <v>3</v>
      </c>
      <c r="T29" s="6">
        <v>4</v>
      </c>
      <c r="U29" s="6">
        <v>1</v>
      </c>
      <c r="V29" s="6">
        <v>2</v>
      </c>
      <c r="W29" s="6">
        <v>4</v>
      </c>
      <c r="X29" s="6">
        <v>3</v>
      </c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X29" s="150"/>
      <c r="AY29" s="150"/>
      <c r="AZ29" s="150"/>
      <c r="BA29" s="150"/>
      <c r="BB29" s="150"/>
      <c r="BC29" s="150"/>
      <c r="BD29" s="150"/>
      <c r="BE29" s="150"/>
      <c r="BF29" s="150"/>
      <c r="BG29" s="150"/>
      <c r="BH29" s="150"/>
      <c r="BI29" s="150"/>
      <c r="BJ29" s="150"/>
      <c r="BK29" s="150"/>
      <c r="BL29" s="150"/>
    </row>
    <row r="30" spans="1:64" ht="15.75" hidden="1" customHeight="1" x14ac:dyDescent="0.2">
      <c r="A30" s="6" t="s">
        <v>915</v>
      </c>
      <c r="B30" s="6" t="s">
        <v>355</v>
      </c>
      <c r="C30" s="6">
        <v>23060</v>
      </c>
      <c r="D30" s="6">
        <v>2007</v>
      </c>
      <c r="E30" s="6">
        <v>3.74</v>
      </c>
      <c r="F30" s="6">
        <v>55926</v>
      </c>
      <c r="G30" s="6">
        <v>3066</v>
      </c>
      <c r="H30" s="6">
        <v>5.98</v>
      </c>
      <c r="I30" s="6">
        <v>1</v>
      </c>
      <c r="J30" s="6">
        <v>3</v>
      </c>
      <c r="K30" s="6">
        <v>3</v>
      </c>
      <c r="L30" s="6">
        <v>2</v>
      </c>
      <c r="M30" s="6">
        <v>4</v>
      </c>
      <c r="N30" s="6">
        <v>2</v>
      </c>
      <c r="O30" s="6">
        <v>4</v>
      </c>
      <c r="P30" s="6">
        <v>1</v>
      </c>
      <c r="Q30" s="6">
        <v>0</v>
      </c>
      <c r="R30" s="6">
        <v>0</v>
      </c>
      <c r="S30" s="6">
        <v>3</v>
      </c>
      <c r="T30" s="6">
        <v>1</v>
      </c>
      <c r="U30" s="6">
        <v>2</v>
      </c>
      <c r="V30" s="6">
        <v>3</v>
      </c>
      <c r="W30" s="6">
        <v>4</v>
      </c>
      <c r="X30" s="6">
        <v>4</v>
      </c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X30" s="150"/>
      <c r="AY30" s="150"/>
      <c r="AZ30" s="150"/>
      <c r="BA30" s="150"/>
      <c r="BB30" s="150"/>
      <c r="BC30" s="150"/>
      <c r="BD30" s="150"/>
      <c r="BE30" s="150"/>
      <c r="BF30" s="150"/>
      <c r="BG30" s="150"/>
      <c r="BH30" s="150"/>
      <c r="BI30" s="150"/>
      <c r="BJ30" s="150"/>
      <c r="BK30" s="150"/>
      <c r="BL30" s="150"/>
    </row>
    <row r="31" spans="1:64" ht="15.75" hidden="1" customHeight="1" x14ac:dyDescent="0.2">
      <c r="A31" s="6" t="s">
        <v>916</v>
      </c>
      <c r="B31" s="6" t="s">
        <v>372</v>
      </c>
      <c r="C31" s="6">
        <v>46238</v>
      </c>
      <c r="D31" s="6">
        <v>1951</v>
      </c>
      <c r="E31" s="6">
        <v>3.8</v>
      </c>
      <c r="F31" s="6">
        <v>24285</v>
      </c>
      <c r="G31" s="6">
        <v>2977</v>
      </c>
      <c r="H31" s="6">
        <v>5.81</v>
      </c>
      <c r="I31" s="6">
        <v>2</v>
      </c>
      <c r="J31" s="6">
        <v>3</v>
      </c>
      <c r="K31" s="6">
        <v>4</v>
      </c>
      <c r="L31" s="6">
        <v>1</v>
      </c>
      <c r="M31" s="6">
        <v>3</v>
      </c>
      <c r="N31" s="6">
        <v>2</v>
      </c>
      <c r="O31" s="6">
        <v>4</v>
      </c>
      <c r="P31" s="6">
        <v>0</v>
      </c>
      <c r="Q31" s="6">
        <v>1</v>
      </c>
      <c r="R31" s="6">
        <v>2</v>
      </c>
      <c r="S31" s="6">
        <v>1</v>
      </c>
      <c r="T31" s="6">
        <v>4</v>
      </c>
      <c r="U31" s="6">
        <v>0</v>
      </c>
      <c r="V31" s="6">
        <v>2</v>
      </c>
      <c r="W31" s="6">
        <v>3</v>
      </c>
      <c r="X31" s="6">
        <v>3</v>
      </c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X31" s="150"/>
      <c r="AY31" s="150"/>
      <c r="AZ31" s="150"/>
      <c r="BA31" s="150"/>
      <c r="BB31" s="150"/>
      <c r="BC31" s="150"/>
      <c r="BD31" s="150"/>
      <c r="BE31" s="150"/>
      <c r="BF31" s="150"/>
      <c r="BG31" s="150"/>
      <c r="BH31" s="150"/>
      <c r="BI31" s="150"/>
      <c r="BJ31" s="150"/>
      <c r="BK31" s="150"/>
      <c r="BL31" s="150"/>
    </row>
    <row r="32" spans="1:64" ht="15.75" customHeight="1" x14ac:dyDescent="0.2">
      <c r="A32" s="6" t="s">
        <v>917</v>
      </c>
      <c r="B32" s="6" t="s">
        <v>54</v>
      </c>
      <c r="C32" s="6">
        <v>49837</v>
      </c>
      <c r="D32" s="6">
        <v>1945</v>
      </c>
      <c r="E32" s="6">
        <v>4.0599999999999996</v>
      </c>
      <c r="F32" s="6">
        <v>143485</v>
      </c>
      <c r="G32" s="6">
        <v>2958</v>
      </c>
      <c r="H32" s="6">
        <v>5.77</v>
      </c>
      <c r="I32" s="6">
        <v>2</v>
      </c>
      <c r="J32" s="6">
        <v>3</v>
      </c>
      <c r="K32" s="6">
        <v>3</v>
      </c>
      <c r="L32" s="6">
        <v>1</v>
      </c>
      <c r="M32" s="6">
        <v>4</v>
      </c>
      <c r="N32" s="6">
        <v>2</v>
      </c>
      <c r="O32" s="6">
        <v>3</v>
      </c>
      <c r="P32" s="6">
        <v>3</v>
      </c>
      <c r="Q32" s="6">
        <v>0</v>
      </c>
      <c r="R32" s="6">
        <v>1</v>
      </c>
      <c r="S32" s="6">
        <v>2</v>
      </c>
      <c r="T32" s="6">
        <v>1</v>
      </c>
      <c r="U32" s="6">
        <v>2</v>
      </c>
      <c r="V32" s="6">
        <v>2</v>
      </c>
      <c r="W32" s="6">
        <v>0</v>
      </c>
      <c r="X32" s="6">
        <v>3</v>
      </c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X32" s="150"/>
      <c r="AY32" s="150"/>
      <c r="AZ32" s="150"/>
      <c r="BA32" s="150"/>
      <c r="BB32" s="150"/>
      <c r="BC32" s="150"/>
      <c r="BD32" s="150"/>
      <c r="BE32" s="150"/>
      <c r="BF32" s="150"/>
      <c r="BG32" s="150"/>
      <c r="BH32" s="150"/>
      <c r="BI32" s="150"/>
      <c r="BJ32" s="150"/>
      <c r="BK32" s="150"/>
      <c r="BL32" s="150"/>
    </row>
    <row r="33" spans="1:64" ht="15.75" hidden="1" customHeight="1" x14ac:dyDescent="0.2">
      <c r="A33" s="6" t="s">
        <v>918</v>
      </c>
      <c r="B33" s="6" t="s">
        <v>528</v>
      </c>
      <c r="C33" s="6">
        <v>46600</v>
      </c>
      <c r="D33" s="6">
        <v>1966</v>
      </c>
      <c r="E33" s="6">
        <v>3.69</v>
      </c>
      <c r="F33" s="6">
        <v>90078</v>
      </c>
      <c r="G33" s="6">
        <v>2856</v>
      </c>
      <c r="H33" s="6">
        <v>5.57</v>
      </c>
      <c r="I33" s="6">
        <v>3</v>
      </c>
      <c r="J33" s="6">
        <v>2</v>
      </c>
      <c r="K33" s="6">
        <v>3</v>
      </c>
      <c r="L33" s="6">
        <v>1</v>
      </c>
      <c r="M33" s="6">
        <v>4</v>
      </c>
      <c r="N33" s="6">
        <v>1</v>
      </c>
      <c r="O33" s="6">
        <v>3</v>
      </c>
      <c r="P33" s="6">
        <v>0</v>
      </c>
      <c r="Q33" s="6">
        <v>4</v>
      </c>
      <c r="R33" s="6">
        <v>1</v>
      </c>
      <c r="S33" s="6">
        <v>3</v>
      </c>
      <c r="T33" s="6">
        <v>2</v>
      </c>
      <c r="U33" s="6">
        <v>0</v>
      </c>
      <c r="V33" s="6">
        <v>2</v>
      </c>
      <c r="W33" s="6">
        <v>4</v>
      </c>
      <c r="X33" s="6">
        <v>3</v>
      </c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X33" s="150"/>
      <c r="AY33" s="150"/>
      <c r="AZ33" s="150"/>
      <c r="BA33" s="150"/>
      <c r="BB33" s="150"/>
      <c r="BC33" s="150"/>
      <c r="BD33" s="150"/>
      <c r="BE33" s="150"/>
      <c r="BF33" s="150"/>
      <c r="BG33" s="150"/>
      <c r="BH33" s="150"/>
      <c r="BI33" s="150"/>
      <c r="BJ33" s="150"/>
      <c r="BK33" s="150"/>
      <c r="BL33" s="150"/>
    </row>
    <row r="34" spans="1:64" ht="15.75" hidden="1" customHeight="1" x14ac:dyDescent="0.2">
      <c r="A34" s="6" t="s">
        <v>919</v>
      </c>
      <c r="B34" s="6" t="s">
        <v>416</v>
      </c>
      <c r="C34" s="6">
        <v>59568</v>
      </c>
      <c r="D34" s="6">
        <v>1898</v>
      </c>
      <c r="E34" s="6">
        <v>3.83</v>
      </c>
      <c r="F34" s="6">
        <v>326509</v>
      </c>
      <c r="G34" s="6">
        <v>2787</v>
      </c>
      <c r="H34" s="6">
        <v>5.44</v>
      </c>
      <c r="I34" s="6">
        <v>2</v>
      </c>
      <c r="J34" s="6">
        <v>3</v>
      </c>
      <c r="K34" s="6">
        <v>4</v>
      </c>
      <c r="L34" s="6">
        <v>2</v>
      </c>
      <c r="M34" s="6">
        <v>3</v>
      </c>
      <c r="N34" s="6">
        <v>1</v>
      </c>
      <c r="O34" s="6">
        <v>3</v>
      </c>
      <c r="P34" s="6">
        <v>0</v>
      </c>
      <c r="Q34" s="6">
        <v>1</v>
      </c>
      <c r="R34" s="6">
        <v>0</v>
      </c>
      <c r="S34" s="6">
        <v>2</v>
      </c>
      <c r="T34" s="6">
        <v>2</v>
      </c>
      <c r="U34" s="6">
        <v>1</v>
      </c>
      <c r="V34" s="6">
        <v>2</v>
      </c>
      <c r="W34" s="6">
        <v>0</v>
      </c>
      <c r="X34" s="6">
        <v>3</v>
      </c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X34" s="150"/>
      <c r="AY34" s="150"/>
      <c r="AZ34" s="150"/>
      <c r="BA34" s="150"/>
      <c r="BB34" s="150"/>
      <c r="BC34" s="150"/>
      <c r="BD34" s="150"/>
      <c r="BE34" s="150"/>
      <c r="BF34" s="150"/>
      <c r="BG34" s="150"/>
      <c r="BH34" s="150"/>
      <c r="BI34" s="150"/>
      <c r="BJ34" s="150"/>
      <c r="BK34" s="150"/>
      <c r="BL34" s="150"/>
    </row>
    <row r="35" spans="1:64" ht="15.75" hidden="1" customHeight="1" x14ac:dyDescent="0.2">
      <c r="A35" s="6" t="s">
        <v>920</v>
      </c>
      <c r="B35" s="6" t="s">
        <v>505</v>
      </c>
      <c r="C35" s="6">
        <v>21240</v>
      </c>
      <c r="D35" s="6">
        <v>1982</v>
      </c>
      <c r="E35" s="6">
        <v>4.29</v>
      </c>
      <c r="F35" s="6">
        <v>44004</v>
      </c>
      <c r="G35" s="6">
        <v>2765</v>
      </c>
      <c r="H35" s="6">
        <v>5.39</v>
      </c>
      <c r="I35" s="6">
        <v>2</v>
      </c>
      <c r="J35" s="6">
        <v>3</v>
      </c>
      <c r="K35" s="6">
        <v>4</v>
      </c>
      <c r="L35" s="6">
        <v>2</v>
      </c>
      <c r="M35" s="6">
        <v>3</v>
      </c>
      <c r="N35" s="6">
        <v>3</v>
      </c>
      <c r="O35" s="6">
        <v>2</v>
      </c>
      <c r="P35" s="6">
        <v>0</v>
      </c>
      <c r="Q35" s="6">
        <v>3</v>
      </c>
      <c r="R35" s="6">
        <v>0</v>
      </c>
      <c r="S35" s="6">
        <v>0</v>
      </c>
      <c r="T35" s="6">
        <v>4</v>
      </c>
      <c r="U35" s="6">
        <v>1</v>
      </c>
      <c r="V35" s="6">
        <v>2</v>
      </c>
      <c r="W35" s="6">
        <v>0</v>
      </c>
      <c r="X35" s="6">
        <v>3</v>
      </c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X35" s="150"/>
      <c r="AY35" s="150"/>
      <c r="AZ35" s="150"/>
      <c r="BA35" s="150"/>
      <c r="BB35" s="150"/>
      <c r="BC35" s="150"/>
      <c r="BD35" s="150"/>
      <c r="BE35" s="150"/>
      <c r="BF35" s="150"/>
      <c r="BG35" s="150"/>
      <c r="BH35" s="150"/>
      <c r="BI35" s="150"/>
      <c r="BJ35" s="150"/>
      <c r="BK35" s="150"/>
      <c r="BL35" s="150"/>
    </row>
    <row r="36" spans="1:64" ht="15.75" customHeight="1" x14ac:dyDescent="0.2">
      <c r="A36" s="6" t="s">
        <v>921</v>
      </c>
      <c r="B36" s="6" t="s">
        <v>14</v>
      </c>
      <c r="C36" s="6">
        <v>54348</v>
      </c>
      <c r="D36" s="6">
        <v>1891</v>
      </c>
      <c r="E36" s="6">
        <v>4.13</v>
      </c>
      <c r="F36" s="6">
        <v>1644003</v>
      </c>
      <c r="G36" s="6">
        <v>2753</v>
      </c>
      <c r="H36" s="6">
        <v>5.37</v>
      </c>
      <c r="I36" s="6">
        <v>2</v>
      </c>
      <c r="J36" s="6">
        <v>3</v>
      </c>
      <c r="K36" s="6">
        <v>4</v>
      </c>
      <c r="L36" s="6">
        <v>2</v>
      </c>
      <c r="M36" s="6">
        <v>3</v>
      </c>
      <c r="N36" s="6">
        <v>1</v>
      </c>
      <c r="O36" s="6">
        <v>4</v>
      </c>
      <c r="P36" s="6">
        <v>0</v>
      </c>
      <c r="Q36" s="6">
        <v>2</v>
      </c>
      <c r="R36" s="6">
        <v>1</v>
      </c>
      <c r="S36" s="6">
        <v>3</v>
      </c>
      <c r="T36" s="6">
        <v>4</v>
      </c>
      <c r="U36" s="6">
        <v>1</v>
      </c>
      <c r="V36" s="6">
        <v>2</v>
      </c>
      <c r="W36" s="6">
        <v>0</v>
      </c>
      <c r="X36" s="6">
        <v>3</v>
      </c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X36" s="150"/>
      <c r="AY36" s="150"/>
      <c r="AZ36" s="150"/>
      <c r="BA36" s="150"/>
      <c r="BB36" s="150"/>
      <c r="BC36" s="150"/>
      <c r="BD36" s="150"/>
      <c r="BE36" s="150"/>
      <c r="BF36" s="150"/>
      <c r="BG36" s="150"/>
      <c r="BH36" s="150"/>
      <c r="BI36" s="150"/>
      <c r="BJ36" s="150"/>
      <c r="BK36" s="150"/>
      <c r="BL36" s="150"/>
    </row>
    <row r="37" spans="1:64" ht="15.75" hidden="1" customHeight="1" x14ac:dyDescent="0.2">
      <c r="A37" s="6" t="s">
        <v>922</v>
      </c>
      <c r="B37" s="6" t="s">
        <v>522</v>
      </c>
      <c r="C37" s="6">
        <v>50390</v>
      </c>
      <c r="D37" s="6">
        <v>1980</v>
      </c>
      <c r="E37" s="6">
        <v>3.94</v>
      </c>
      <c r="F37" s="6">
        <v>164531</v>
      </c>
      <c r="G37" s="6">
        <v>2703</v>
      </c>
      <c r="H37" s="6">
        <v>5.27</v>
      </c>
      <c r="I37" s="6">
        <v>3</v>
      </c>
      <c r="J37" s="6">
        <v>4</v>
      </c>
      <c r="K37" s="6">
        <v>4</v>
      </c>
      <c r="L37" s="6">
        <v>3</v>
      </c>
      <c r="M37" s="6">
        <v>4</v>
      </c>
      <c r="N37" s="6">
        <v>2</v>
      </c>
      <c r="O37" s="6">
        <v>3</v>
      </c>
      <c r="P37" s="6">
        <v>0</v>
      </c>
      <c r="Q37" s="6">
        <v>1</v>
      </c>
      <c r="R37" s="6">
        <v>1</v>
      </c>
      <c r="S37" s="6">
        <v>2</v>
      </c>
      <c r="T37" s="6">
        <v>3</v>
      </c>
      <c r="U37" s="6">
        <v>1</v>
      </c>
      <c r="V37" s="6">
        <v>2</v>
      </c>
      <c r="W37" s="6">
        <v>1</v>
      </c>
      <c r="X37" s="6">
        <v>4</v>
      </c>
      <c r="AX37" s="150"/>
      <c r="AY37" s="150"/>
      <c r="AZ37" s="150"/>
      <c r="BA37" s="150"/>
      <c r="BB37" s="150"/>
      <c r="BC37" s="150"/>
      <c r="BD37" s="150"/>
      <c r="BE37" s="150"/>
      <c r="BF37" s="150"/>
      <c r="BG37" s="150"/>
      <c r="BH37" s="150"/>
      <c r="BI37" s="150"/>
      <c r="BJ37" s="150"/>
      <c r="BK37" s="150"/>
      <c r="BL37" s="150"/>
    </row>
    <row r="38" spans="1:64" ht="15.75" customHeight="1" x14ac:dyDescent="0.2">
      <c r="A38" s="6" t="s">
        <v>923</v>
      </c>
      <c r="B38" s="6" t="s">
        <v>365</v>
      </c>
      <c r="C38" s="6">
        <v>59321</v>
      </c>
      <c r="D38" s="6">
        <v>1902</v>
      </c>
      <c r="E38" s="6">
        <v>4.13</v>
      </c>
      <c r="F38" s="6">
        <v>360579</v>
      </c>
      <c r="G38" s="6">
        <v>2678</v>
      </c>
      <c r="H38" s="6">
        <v>5.22</v>
      </c>
      <c r="I38" s="6">
        <v>3</v>
      </c>
      <c r="J38" s="6">
        <v>4</v>
      </c>
      <c r="K38" s="6">
        <v>4</v>
      </c>
      <c r="L38" s="6">
        <v>3</v>
      </c>
      <c r="M38" s="6">
        <v>4</v>
      </c>
      <c r="N38" s="6">
        <v>2</v>
      </c>
      <c r="O38" s="6">
        <v>3</v>
      </c>
      <c r="P38" s="6">
        <v>0</v>
      </c>
      <c r="Q38" s="6">
        <v>4</v>
      </c>
      <c r="R38" s="6">
        <v>1</v>
      </c>
      <c r="S38" s="6">
        <v>0</v>
      </c>
      <c r="T38" s="6">
        <v>2</v>
      </c>
      <c r="U38" s="6">
        <v>1</v>
      </c>
      <c r="V38" s="6">
        <v>2</v>
      </c>
      <c r="W38" s="6">
        <v>0</v>
      </c>
      <c r="X38" s="6">
        <v>3</v>
      </c>
      <c r="AX38" s="150"/>
      <c r="AY38" s="150"/>
      <c r="AZ38" s="150"/>
      <c r="BA38" s="150"/>
      <c r="BB38" s="150"/>
      <c r="BC38" s="150"/>
      <c r="BD38" s="150"/>
      <c r="BE38" s="150"/>
      <c r="BF38" s="150"/>
      <c r="BG38" s="150"/>
      <c r="BH38" s="150"/>
      <c r="BI38" s="150"/>
      <c r="BJ38" s="150"/>
      <c r="BK38" s="150"/>
      <c r="BL38" s="150"/>
    </row>
    <row r="39" spans="1:64" ht="15.75" customHeight="1" x14ac:dyDescent="0.2">
      <c r="A39" s="6" t="s">
        <v>924</v>
      </c>
      <c r="B39" s="6" t="s">
        <v>436</v>
      </c>
      <c r="C39" s="6">
        <v>54693</v>
      </c>
      <c r="D39" s="6">
        <v>1956</v>
      </c>
      <c r="E39" s="6">
        <v>4.33</v>
      </c>
      <c r="F39" s="6">
        <v>186526</v>
      </c>
      <c r="G39" s="6">
        <v>2647</v>
      </c>
      <c r="H39" s="6">
        <v>5.16</v>
      </c>
      <c r="I39" s="6">
        <v>2</v>
      </c>
      <c r="J39" s="6">
        <v>3</v>
      </c>
      <c r="K39" s="6">
        <v>4</v>
      </c>
      <c r="L39" s="6">
        <v>2</v>
      </c>
      <c r="M39" s="6">
        <v>3</v>
      </c>
      <c r="N39" s="6">
        <v>1</v>
      </c>
      <c r="O39" s="6">
        <v>4</v>
      </c>
      <c r="P39" s="6">
        <v>0</v>
      </c>
      <c r="Q39" s="6">
        <v>1</v>
      </c>
      <c r="R39" s="6">
        <v>2</v>
      </c>
      <c r="S39" s="6">
        <v>1</v>
      </c>
      <c r="T39" s="6">
        <v>4</v>
      </c>
      <c r="U39" s="6">
        <v>0</v>
      </c>
      <c r="V39" s="6">
        <v>2</v>
      </c>
      <c r="W39" s="6">
        <v>1</v>
      </c>
      <c r="X39" s="6">
        <v>3</v>
      </c>
      <c r="AX39" s="150"/>
      <c r="AY39" s="150"/>
      <c r="AZ39" s="150"/>
      <c r="BA39" s="150"/>
      <c r="BB39" s="150"/>
      <c r="BC39" s="150"/>
      <c r="BD39" s="150"/>
      <c r="BE39" s="150"/>
      <c r="BF39" s="150"/>
      <c r="BG39" s="150"/>
      <c r="BH39" s="150"/>
      <c r="BI39" s="150"/>
      <c r="BJ39" s="150"/>
      <c r="BK39" s="150"/>
      <c r="BL39" s="150"/>
    </row>
    <row r="40" spans="1:64" ht="15.75" hidden="1" customHeight="1" x14ac:dyDescent="0.2">
      <c r="A40" s="6" t="s">
        <v>925</v>
      </c>
      <c r="B40" s="6" t="s">
        <v>488</v>
      </c>
      <c r="C40" s="6">
        <v>54693</v>
      </c>
      <c r="D40" s="6">
        <v>1976</v>
      </c>
      <c r="E40" s="6">
        <v>4.1500000000000004</v>
      </c>
      <c r="F40" s="6">
        <v>10836</v>
      </c>
      <c r="G40" s="6">
        <v>2473</v>
      </c>
      <c r="H40" s="6">
        <v>4.82</v>
      </c>
      <c r="I40" s="6">
        <v>2</v>
      </c>
      <c r="J40" s="6">
        <v>3</v>
      </c>
      <c r="K40" s="6">
        <v>4</v>
      </c>
      <c r="L40" s="6">
        <v>1</v>
      </c>
      <c r="M40" s="6">
        <v>3</v>
      </c>
      <c r="N40" s="6">
        <v>2</v>
      </c>
      <c r="O40" s="6">
        <v>4</v>
      </c>
      <c r="P40" s="6">
        <v>0</v>
      </c>
      <c r="Q40" s="6">
        <v>1</v>
      </c>
      <c r="R40" s="6">
        <v>2</v>
      </c>
      <c r="S40" s="6">
        <v>1</v>
      </c>
      <c r="T40" s="6">
        <v>4</v>
      </c>
      <c r="U40" s="6">
        <v>0</v>
      </c>
      <c r="V40" s="6">
        <v>2</v>
      </c>
      <c r="W40" s="6">
        <v>1</v>
      </c>
      <c r="X40" s="6">
        <v>3</v>
      </c>
      <c r="AX40" s="150"/>
      <c r="AY40" s="150"/>
      <c r="AZ40" s="150"/>
      <c r="BA40" s="150"/>
      <c r="BB40" s="150"/>
      <c r="BC40" s="150"/>
      <c r="BD40" s="150"/>
      <c r="BE40" s="150"/>
      <c r="BF40" s="150"/>
      <c r="BG40" s="150"/>
      <c r="BH40" s="150"/>
      <c r="BI40" s="150"/>
      <c r="BJ40" s="150"/>
      <c r="BK40" s="150"/>
      <c r="BL40" s="150"/>
    </row>
    <row r="41" spans="1:64" ht="15.75" hidden="1" customHeight="1" x14ac:dyDescent="0.2">
      <c r="A41" s="6" t="s">
        <v>926</v>
      </c>
      <c r="B41" s="6" t="s">
        <v>416</v>
      </c>
      <c r="C41" s="6">
        <v>49424</v>
      </c>
      <c r="D41" s="6">
        <v>1897</v>
      </c>
      <c r="E41" s="6">
        <v>3.63</v>
      </c>
      <c r="F41" s="6">
        <v>202256</v>
      </c>
      <c r="G41" s="6">
        <v>2472</v>
      </c>
      <c r="H41" s="6">
        <v>4.82</v>
      </c>
      <c r="I41" s="6">
        <v>3</v>
      </c>
      <c r="J41" s="6">
        <v>4</v>
      </c>
      <c r="K41" s="6">
        <v>4</v>
      </c>
      <c r="L41" s="6">
        <v>2</v>
      </c>
      <c r="M41" s="6">
        <v>3</v>
      </c>
      <c r="N41" s="6">
        <v>1</v>
      </c>
      <c r="O41" s="6">
        <v>3</v>
      </c>
      <c r="P41" s="6">
        <v>0</v>
      </c>
      <c r="Q41" s="6">
        <v>2</v>
      </c>
      <c r="R41" s="6">
        <v>0</v>
      </c>
      <c r="S41" s="6">
        <v>2</v>
      </c>
      <c r="T41" s="6">
        <v>4</v>
      </c>
      <c r="U41" s="6">
        <v>1</v>
      </c>
      <c r="V41" s="6">
        <v>2</v>
      </c>
      <c r="W41" s="6">
        <v>0</v>
      </c>
      <c r="X41" s="6">
        <v>3</v>
      </c>
      <c r="AX41" s="150"/>
      <c r="AY41" s="150"/>
      <c r="AZ41" s="150"/>
      <c r="BA41" s="150"/>
      <c r="BB41" s="150"/>
      <c r="BC41" s="150"/>
      <c r="BD41" s="150"/>
      <c r="BE41" s="150"/>
      <c r="BF41" s="150"/>
      <c r="BG41" s="150"/>
      <c r="BH41" s="150"/>
      <c r="BI41" s="150"/>
      <c r="BJ41" s="150"/>
      <c r="BK41" s="150"/>
      <c r="BL41" s="150"/>
    </row>
    <row r="42" spans="1:64" ht="15.75" hidden="1" customHeight="1" x14ac:dyDescent="0.2">
      <c r="A42" s="6" t="s">
        <v>927</v>
      </c>
      <c r="B42" s="6" t="s">
        <v>511</v>
      </c>
      <c r="C42" s="6">
        <v>18075</v>
      </c>
      <c r="D42" s="6">
        <v>1984</v>
      </c>
      <c r="E42" s="6">
        <v>3.69</v>
      </c>
      <c r="F42" s="6">
        <v>205418</v>
      </c>
      <c r="G42" s="6">
        <v>2287</v>
      </c>
      <c r="H42" s="6">
        <v>4.46</v>
      </c>
      <c r="I42" s="6">
        <v>2</v>
      </c>
      <c r="J42" s="6">
        <v>1</v>
      </c>
      <c r="K42" s="6">
        <v>2</v>
      </c>
      <c r="L42" s="6">
        <v>2</v>
      </c>
      <c r="M42" s="6">
        <v>3</v>
      </c>
      <c r="N42" s="6">
        <v>2</v>
      </c>
      <c r="O42" s="6">
        <v>4</v>
      </c>
      <c r="P42" s="6">
        <v>0</v>
      </c>
      <c r="Q42" s="6">
        <v>0</v>
      </c>
      <c r="R42" s="6">
        <v>1</v>
      </c>
      <c r="S42" s="6">
        <v>2</v>
      </c>
      <c r="T42" s="6">
        <v>2</v>
      </c>
      <c r="U42" s="6">
        <v>1</v>
      </c>
      <c r="V42" s="6">
        <v>2</v>
      </c>
      <c r="W42" s="6">
        <v>4</v>
      </c>
      <c r="X42" s="6">
        <v>3</v>
      </c>
      <c r="AX42" s="150"/>
      <c r="AY42" s="150"/>
      <c r="AZ42" s="150"/>
      <c r="BA42" s="150"/>
      <c r="BB42" s="150"/>
      <c r="BC42" s="150"/>
      <c r="BD42" s="150"/>
      <c r="BE42" s="150"/>
      <c r="BF42" s="150"/>
      <c r="BG42" s="150"/>
      <c r="BH42" s="150"/>
      <c r="BI42" s="150"/>
      <c r="BJ42" s="150"/>
      <c r="BK42" s="150"/>
      <c r="BL42" s="150"/>
    </row>
    <row r="43" spans="1:64" ht="15.75" hidden="1" customHeight="1" x14ac:dyDescent="0.2">
      <c r="A43" s="6" t="s">
        <v>928</v>
      </c>
      <c r="B43" s="6" t="s">
        <v>507</v>
      </c>
      <c r="C43" s="6">
        <v>14133</v>
      </c>
      <c r="D43" s="6">
        <v>1889</v>
      </c>
      <c r="E43" s="6">
        <v>3.69</v>
      </c>
      <c r="F43" s="6">
        <v>12885</v>
      </c>
      <c r="G43" s="6">
        <v>2249</v>
      </c>
      <c r="H43" s="6">
        <v>4.3899999999999997</v>
      </c>
      <c r="I43" s="6">
        <v>3</v>
      </c>
      <c r="J43" s="6">
        <v>4</v>
      </c>
      <c r="K43" s="6">
        <v>4</v>
      </c>
      <c r="L43" s="6">
        <v>3</v>
      </c>
      <c r="M43" s="6">
        <v>2</v>
      </c>
      <c r="N43" s="6">
        <v>4</v>
      </c>
      <c r="O43" s="6">
        <v>3</v>
      </c>
      <c r="P43" s="6">
        <v>0</v>
      </c>
      <c r="Q43" s="6">
        <v>1</v>
      </c>
      <c r="R43" s="6">
        <v>0</v>
      </c>
      <c r="S43" s="6">
        <v>2</v>
      </c>
      <c r="T43" s="6">
        <v>4</v>
      </c>
      <c r="U43" s="6">
        <v>1</v>
      </c>
      <c r="V43" s="6">
        <v>2</v>
      </c>
      <c r="W43" s="6">
        <v>0</v>
      </c>
      <c r="X43" s="6">
        <v>3</v>
      </c>
      <c r="AX43" s="150"/>
      <c r="AY43" s="150"/>
      <c r="AZ43" s="150"/>
      <c r="BA43" s="150"/>
      <c r="BB43" s="150"/>
      <c r="BC43" s="150"/>
      <c r="BD43" s="150"/>
      <c r="BE43" s="150"/>
      <c r="BF43" s="150"/>
      <c r="BG43" s="150"/>
      <c r="BH43" s="150"/>
      <c r="BI43" s="150"/>
      <c r="BJ43" s="150"/>
      <c r="BK43" s="150"/>
      <c r="BL43" s="150"/>
    </row>
    <row r="44" spans="1:64" ht="15.75" hidden="1" customHeight="1" x14ac:dyDescent="0.2">
      <c r="A44" s="6" t="s">
        <v>929</v>
      </c>
      <c r="B44" s="6" t="s">
        <v>431</v>
      </c>
      <c r="C44" s="6">
        <v>36473</v>
      </c>
      <c r="D44" s="6">
        <v>1980</v>
      </c>
      <c r="E44" s="6">
        <v>4.1100000000000003</v>
      </c>
      <c r="F44" s="6">
        <v>19521</v>
      </c>
      <c r="G44" s="6">
        <v>1715</v>
      </c>
      <c r="H44" s="6">
        <v>3.34</v>
      </c>
      <c r="I44" s="6">
        <v>2</v>
      </c>
      <c r="J44" s="6">
        <v>3</v>
      </c>
      <c r="K44" s="6">
        <v>4</v>
      </c>
      <c r="L44" s="6">
        <v>2</v>
      </c>
      <c r="M44" s="6">
        <v>3</v>
      </c>
      <c r="N44" s="6">
        <v>4</v>
      </c>
      <c r="O44" s="6">
        <v>3</v>
      </c>
      <c r="P44" s="6">
        <v>1</v>
      </c>
      <c r="Q44" s="6">
        <v>2</v>
      </c>
      <c r="R44" s="6">
        <v>3</v>
      </c>
      <c r="S44" s="6">
        <v>1</v>
      </c>
      <c r="T44" s="6">
        <v>2</v>
      </c>
      <c r="U44" s="6">
        <v>1</v>
      </c>
      <c r="V44" s="6">
        <v>2</v>
      </c>
      <c r="W44" s="6">
        <v>1</v>
      </c>
      <c r="X44" s="6">
        <v>3</v>
      </c>
      <c r="AX44" s="150"/>
      <c r="AY44" s="150"/>
      <c r="AZ44" s="150"/>
      <c r="BA44" s="150"/>
      <c r="BB44" s="150"/>
      <c r="BC44" s="150"/>
      <c r="BD44" s="150"/>
      <c r="BE44" s="150"/>
      <c r="BF44" s="150"/>
      <c r="BG44" s="150"/>
      <c r="BH44" s="150"/>
      <c r="BI44" s="150"/>
      <c r="BJ44" s="150"/>
      <c r="BK44" s="150"/>
      <c r="BL44" s="150"/>
    </row>
    <row r="45" spans="1:64" ht="15.75" customHeight="1" x14ac:dyDescent="0.2">
      <c r="A45" s="6" t="s">
        <v>930</v>
      </c>
      <c r="B45" s="6" t="s">
        <v>429</v>
      </c>
      <c r="C45" s="6">
        <v>74190</v>
      </c>
      <c r="D45" s="6">
        <v>1951</v>
      </c>
      <c r="E45" s="6">
        <v>3.8</v>
      </c>
      <c r="F45" s="6">
        <v>3649835</v>
      </c>
      <c r="G45" s="6">
        <v>1684</v>
      </c>
      <c r="H45" s="6">
        <v>3.28</v>
      </c>
      <c r="I45" s="6">
        <v>2</v>
      </c>
      <c r="J45" s="6">
        <v>3</v>
      </c>
      <c r="K45" s="6">
        <v>4</v>
      </c>
      <c r="L45" s="6">
        <v>2</v>
      </c>
      <c r="M45" s="6">
        <v>4</v>
      </c>
      <c r="N45" s="6">
        <v>1</v>
      </c>
      <c r="O45" s="6">
        <v>3</v>
      </c>
      <c r="P45" s="6">
        <v>0</v>
      </c>
      <c r="Q45" s="6">
        <v>1</v>
      </c>
      <c r="R45" s="6">
        <v>1</v>
      </c>
      <c r="S45" s="6">
        <v>3</v>
      </c>
      <c r="T45" s="6">
        <v>2</v>
      </c>
      <c r="U45" s="6">
        <v>1</v>
      </c>
      <c r="V45" s="6">
        <v>2</v>
      </c>
      <c r="W45" s="6">
        <v>0</v>
      </c>
      <c r="X45" s="6">
        <v>3</v>
      </c>
      <c r="AX45" s="150"/>
      <c r="AY45" s="150"/>
      <c r="AZ45" s="150"/>
      <c r="BA45" s="150"/>
      <c r="BB45" s="150"/>
      <c r="BC45" s="150"/>
      <c r="BD45" s="150"/>
      <c r="BE45" s="150"/>
      <c r="BF45" s="150"/>
      <c r="BG45" s="150"/>
      <c r="BH45" s="150"/>
      <c r="BI45" s="150"/>
      <c r="BJ45" s="150"/>
      <c r="BK45" s="150"/>
      <c r="BL45" s="150"/>
    </row>
    <row r="46" spans="1:64" ht="15.75" hidden="1" customHeight="1" x14ac:dyDescent="0.2">
      <c r="A46" s="6" t="s">
        <v>931</v>
      </c>
      <c r="B46" s="6" t="s">
        <v>370</v>
      </c>
      <c r="C46" s="6">
        <v>28947</v>
      </c>
      <c r="D46" s="6">
        <v>1946</v>
      </c>
      <c r="E46" s="6">
        <v>4.32</v>
      </c>
      <c r="F46" s="6">
        <v>160848</v>
      </c>
      <c r="G46" s="6">
        <v>1645</v>
      </c>
      <c r="H46" s="6">
        <v>3.21</v>
      </c>
      <c r="I46" s="6">
        <v>2</v>
      </c>
      <c r="J46" s="6">
        <v>3</v>
      </c>
      <c r="K46" s="6">
        <v>4</v>
      </c>
      <c r="L46" s="6">
        <v>2</v>
      </c>
      <c r="M46" s="6">
        <v>4</v>
      </c>
      <c r="N46" s="6">
        <v>1</v>
      </c>
      <c r="O46" s="6">
        <v>2</v>
      </c>
      <c r="P46" s="6">
        <v>1</v>
      </c>
      <c r="Q46" s="6">
        <v>0</v>
      </c>
      <c r="R46" s="6">
        <v>1</v>
      </c>
      <c r="S46" s="6">
        <v>2</v>
      </c>
      <c r="T46" s="6">
        <v>3</v>
      </c>
      <c r="U46" s="6">
        <v>0</v>
      </c>
      <c r="V46" s="6">
        <v>3</v>
      </c>
      <c r="W46" s="6">
        <v>2</v>
      </c>
      <c r="X46" s="6">
        <v>3</v>
      </c>
      <c r="AX46" s="150"/>
      <c r="AY46" s="150"/>
      <c r="AZ46" s="150"/>
      <c r="BA46" s="150"/>
      <c r="BB46" s="150"/>
      <c r="BC46" s="150"/>
      <c r="BD46" s="150"/>
      <c r="BE46" s="150"/>
      <c r="BF46" s="150"/>
      <c r="BG46" s="150"/>
      <c r="BH46" s="150"/>
      <c r="BI46" s="150"/>
      <c r="BJ46" s="150"/>
      <c r="BK46" s="150"/>
      <c r="BL46" s="150"/>
    </row>
    <row r="47" spans="1:64" ht="15.75" hidden="1" customHeight="1" x14ac:dyDescent="0.2">
      <c r="A47" s="6" t="s">
        <v>932</v>
      </c>
      <c r="B47" s="6" t="s">
        <v>474</v>
      </c>
      <c r="C47" s="6">
        <v>31066</v>
      </c>
      <c r="D47" s="6">
        <v>2017</v>
      </c>
      <c r="E47" s="6">
        <v>4.1399999999999997</v>
      </c>
      <c r="F47" s="6">
        <v>274448</v>
      </c>
      <c r="G47" s="6">
        <v>1395</v>
      </c>
      <c r="H47" s="6">
        <v>2.72</v>
      </c>
      <c r="I47" s="6">
        <v>3</v>
      </c>
      <c r="J47" s="6">
        <v>4</v>
      </c>
      <c r="K47" s="6">
        <v>4</v>
      </c>
      <c r="L47" s="6">
        <v>3</v>
      </c>
      <c r="M47" s="6">
        <v>4</v>
      </c>
      <c r="N47" s="6">
        <v>2</v>
      </c>
      <c r="O47" s="6">
        <v>3</v>
      </c>
      <c r="P47" s="6">
        <v>1</v>
      </c>
      <c r="Q47" s="6">
        <v>3</v>
      </c>
      <c r="R47" s="6">
        <v>0</v>
      </c>
      <c r="S47" s="6">
        <v>2</v>
      </c>
      <c r="T47" s="6">
        <v>1</v>
      </c>
      <c r="U47" s="6">
        <v>2</v>
      </c>
      <c r="V47" s="6">
        <v>3</v>
      </c>
      <c r="W47" s="6">
        <v>4</v>
      </c>
      <c r="X47" s="6">
        <v>4</v>
      </c>
      <c r="AX47" s="150"/>
      <c r="AY47" s="150"/>
      <c r="AZ47" s="150"/>
      <c r="BA47" s="150"/>
      <c r="BB47" s="150"/>
      <c r="BC47" s="150"/>
      <c r="BD47" s="150"/>
      <c r="BE47" s="150"/>
      <c r="BF47" s="150"/>
      <c r="BG47" s="150"/>
      <c r="BH47" s="150"/>
      <c r="BI47" s="150"/>
      <c r="BJ47" s="150"/>
      <c r="BK47" s="150"/>
      <c r="BL47" s="150"/>
    </row>
    <row r="48" spans="1:64" ht="15.75" hidden="1" customHeight="1" x14ac:dyDescent="0.2">
      <c r="A48" s="6" t="s">
        <v>933</v>
      </c>
      <c r="B48" s="6" t="s">
        <v>520</v>
      </c>
      <c r="C48" s="6">
        <v>62689</v>
      </c>
      <c r="D48" s="6">
        <v>1999</v>
      </c>
      <c r="E48" s="6">
        <v>4.2300000000000004</v>
      </c>
      <c r="F48" s="6">
        <v>1868869</v>
      </c>
      <c r="G48" s="6">
        <v>1369</v>
      </c>
      <c r="H48" s="6">
        <v>2.67</v>
      </c>
      <c r="I48" s="6">
        <v>2</v>
      </c>
      <c r="J48" s="6">
        <v>3</v>
      </c>
      <c r="K48" s="6">
        <v>4</v>
      </c>
      <c r="L48" s="6">
        <v>2</v>
      </c>
      <c r="M48" s="6">
        <v>4</v>
      </c>
      <c r="N48" s="6">
        <v>3</v>
      </c>
      <c r="O48" s="6">
        <v>4</v>
      </c>
      <c r="P48" s="6">
        <v>1</v>
      </c>
      <c r="Q48" s="6">
        <v>2</v>
      </c>
      <c r="R48" s="6">
        <v>3</v>
      </c>
      <c r="S48" s="6">
        <v>1</v>
      </c>
      <c r="T48" s="6">
        <v>3</v>
      </c>
      <c r="U48" s="6">
        <v>1</v>
      </c>
      <c r="V48" s="6">
        <v>3</v>
      </c>
      <c r="W48" s="6">
        <v>2</v>
      </c>
      <c r="X48" s="6">
        <v>4</v>
      </c>
      <c r="AX48" s="150"/>
      <c r="AY48" s="150"/>
      <c r="AZ48" s="150"/>
      <c r="BA48" s="150"/>
      <c r="BB48" s="150"/>
      <c r="BC48" s="150"/>
      <c r="BD48" s="150"/>
      <c r="BE48" s="150"/>
      <c r="BF48" s="150"/>
      <c r="BG48" s="150"/>
      <c r="BH48" s="150"/>
      <c r="BI48" s="150"/>
      <c r="BJ48" s="150"/>
      <c r="BK48" s="150"/>
      <c r="BL48" s="150"/>
    </row>
    <row r="49" spans="1:64" ht="15.75" hidden="1" customHeight="1" x14ac:dyDescent="0.2">
      <c r="A49" s="6" t="s">
        <v>934</v>
      </c>
      <c r="B49" s="6" t="s">
        <v>467</v>
      </c>
      <c r="C49" s="6">
        <v>43481</v>
      </c>
      <c r="D49" s="6">
        <v>1993</v>
      </c>
      <c r="E49" s="6">
        <v>4.12</v>
      </c>
      <c r="F49" s="6">
        <v>2594285</v>
      </c>
      <c r="G49" s="6">
        <v>1368</v>
      </c>
      <c r="H49" s="6">
        <v>2.67</v>
      </c>
      <c r="I49" s="6">
        <v>3</v>
      </c>
      <c r="J49" s="6">
        <v>4</v>
      </c>
      <c r="K49" s="6">
        <v>4</v>
      </c>
      <c r="L49" s="6">
        <v>3</v>
      </c>
      <c r="M49" s="6">
        <v>2</v>
      </c>
      <c r="N49" s="6">
        <v>1</v>
      </c>
      <c r="O49" s="6">
        <v>3</v>
      </c>
      <c r="P49" s="6">
        <v>0</v>
      </c>
      <c r="Q49" s="6">
        <v>2</v>
      </c>
      <c r="R49" s="6">
        <v>0</v>
      </c>
      <c r="S49" s="6">
        <v>3</v>
      </c>
      <c r="T49" s="6">
        <v>2</v>
      </c>
      <c r="U49" s="6">
        <v>1</v>
      </c>
      <c r="V49" s="6">
        <v>3</v>
      </c>
      <c r="W49" s="6">
        <v>2</v>
      </c>
      <c r="X49" s="6">
        <v>4</v>
      </c>
      <c r="AX49" s="150"/>
      <c r="AY49" s="150"/>
      <c r="AZ49" s="150"/>
      <c r="BA49" s="150"/>
      <c r="BB49" s="150"/>
      <c r="BC49" s="150"/>
      <c r="BD49" s="150"/>
      <c r="BE49" s="150"/>
      <c r="BF49" s="150"/>
      <c r="BG49" s="150"/>
      <c r="BH49" s="150"/>
      <c r="BI49" s="150"/>
      <c r="BJ49" s="150"/>
      <c r="BK49" s="150"/>
      <c r="BL49" s="150"/>
    </row>
    <row r="50" spans="1:64" ht="15.75" hidden="1" customHeight="1" x14ac:dyDescent="0.2">
      <c r="A50" s="6" t="s">
        <v>935</v>
      </c>
      <c r="B50" s="6" t="s">
        <v>418</v>
      </c>
      <c r="C50" s="6">
        <v>50715</v>
      </c>
      <c r="D50" s="6">
        <v>1941</v>
      </c>
      <c r="E50" s="6">
        <v>4.12</v>
      </c>
      <c r="F50" s="6">
        <v>21471</v>
      </c>
      <c r="G50" s="6">
        <v>1363</v>
      </c>
      <c r="H50" s="6">
        <v>2.66</v>
      </c>
      <c r="I50" s="6">
        <v>3</v>
      </c>
      <c r="J50" s="6">
        <v>4</v>
      </c>
      <c r="K50" s="6">
        <v>4</v>
      </c>
      <c r="L50" s="6">
        <v>2</v>
      </c>
      <c r="M50" s="6">
        <v>3</v>
      </c>
      <c r="N50" s="6">
        <v>1</v>
      </c>
      <c r="O50" s="6">
        <v>4</v>
      </c>
      <c r="P50" s="6">
        <v>0</v>
      </c>
      <c r="Q50" s="6">
        <v>3</v>
      </c>
      <c r="R50" s="6">
        <v>0</v>
      </c>
      <c r="S50" s="6">
        <v>0</v>
      </c>
      <c r="T50" s="6">
        <v>3</v>
      </c>
      <c r="U50" s="6">
        <v>1</v>
      </c>
      <c r="V50" s="6">
        <v>2</v>
      </c>
      <c r="W50" s="6">
        <v>0</v>
      </c>
      <c r="X50" s="6">
        <v>3</v>
      </c>
      <c r="AX50" s="150"/>
      <c r="AY50" s="150"/>
      <c r="AZ50" s="150"/>
      <c r="BA50" s="150"/>
      <c r="BB50" s="150"/>
      <c r="BC50" s="150"/>
      <c r="BD50" s="150"/>
      <c r="BE50" s="150"/>
      <c r="BF50" s="150"/>
      <c r="BG50" s="150"/>
      <c r="BH50" s="150"/>
      <c r="BI50" s="150"/>
      <c r="BJ50" s="150"/>
      <c r="BK50" s="150"/>
      <c r="BL50" s="150"/>
    </row>
    <row r="51" spans="1:64" ht="15.75" hidden="1" customHeight="1" x14ac:dyDescent="0.2">
      <c r="A51" s="6" t="s">
        <v>936</v>
      </c>
      <c r="B51" s="6" t="s">
        <v>522</v>
      </c>
      <c r="C51" s="6">
        <v>72541</v>
      </c>
      <c r="D51" s="6">
        <v>1982</v>
      </c>
      <c r="E51" s="6">
        <v>3.92</v>
      </c>
      <c r="F51" s="6">
        <v>37591</v>
      </c>
      <c r="G51" s="6">
        <v>1342</v>
      </c>
      <c r="H51" s="6">
        <v>2.62</v>
      </c>
      <c r="I51" s="6">
        <v>3</v>
      </c>
      <c r="J51" s="6">
        <v>4</v>
      </c>
      <c r="K51" s="6">
        <v>4</v>
      </c>
      <c r="L51" s="6">
        <v>2</v>
      </c>
      <c r="M51" s="6">
        <v>3</v>
      </c>
      <c r="N51" s="6">
        <v>1</v>
      </c>
      <c r="O51" s="6">
        <v>3</v>
      </c>
      <c r="P51" s="6">
        <v>0</v>
      </c>
      <c r="Q51" s="6">
        <v>2</v>
      </c>
      <c r="R51" s="6">
        <v>0</v>
      </c>
      <c r="S51" s="6">
        <v>1</v>
      </c>
      <c r="T51" s="6">
        <v>4</v>
      </c>
      <c r="U51" s="6">
        <v>0</v>
      </c>
      <c r="V51" s="6">
        <v>2</v>
      </c>
      <c r="W51" s="6">
        <v>0</v>
      </c>
      <c r="X51" s="6">
        <v>3</v>
      </c>
      <c r="AX51" s="150"/>
      <c r="AY51" s="150"/>
      <c r="AZ51" s="150"/>
      <c r="BA51" s="150"/>
      <c r="BB51" s="150"/>
      <c r="BC51" s="150"/>
      <c r="BD51" s="150"/>
      <c r="BE51" s="150"/>
      <c r="BF51" s="150"/>
      <c r="BG51" s="150"/>
      <c r="BH51" s="150"/>
      <c r="BI51" s="150"/>
      <c r="BJ51" s="150"/>
      <c r="BK51" s="150"/>
      <c r="BL51" s="150"/>
    </row>
    <row r="52" spans="1:64" ht="15.75" hidden="1" customHeight="1" x14ac:dyDescent="0.2">
      <c r="A52" s="6" t="s">
        <v>937</v>
      </c>
      <c r="B52" s="6" t="s">
        <v>529</v>
      </c>
      <c r="C52" s="6">
        <v>32094</v>
      </c>
      <c r="D52" s="6">
        <v>1927</v>
      </c>
      <c r="E52" s="6">
        <v>3.79</v>
      </c>
      <c r="F52" s="6">
        <v>36256</v>
      </c>
      <c r="G52" s="6">
        <v>1325</v>
      </c>
      <c r="H52" s="6">
        <v>2.58</v>
      </c>
      <c r="I52" s="6">
        <v>2</v>
      </c>
      <c r="J52" s="6">
        <v>3</v>
      </c>
      <c r="K52" s="6">
        <v>4</v>
      </c>
      <c r="L52" s="6">
        <v>1</v>
      </c>
      <c r="M52" s="6">
        <v>4</v>
      </c>
      <c r="N52" s="6">
        <v>2</v>
      </c>
      <c r="O52" s="6">
        <v>3</v>
      </c>
      <c r="P52" s="6">
        <v>1</v>
      </c>
      <c r="Q52" s="6">
        <v>2</v>
      </c>
      <c r="R52" s="6">
        <v>1</v>
      </c>
      <c r="S52" s="6">
        <v>1</v>
      </c>
      <c r="T52" s="6">
        <v>3</v>
      </c>
      <c r="U52" s="6">
        <v>0</v>
      </c>
      <c r="V52" s="6">
        <v>2</v>
      </c>
      <c r="W52" s="6">
        <v>3</v>
      </c>
      <c r="X52" s="6">
        <v>3</v>
      </c>
      <c r="AX52" s="150"/>
      <c r="AY52" s="150"/>
      <c r="AZ52" s="150"/>
      <c r="BA52" s="150"/>
      <c r="BB52" s="150"/>
      <c r="BC52" s="150"/>
      <c r="BD52" s="150"/>
      <c r="BE52" s="150"/>
      <c r="BF52" s="150"/>
      <c r="BG52" s="150"/>
      <c r="BH52" s="150"/>
      <c r="BI52" s="150"/>
      <c r="BJ52" s="150"/>
      <c r="BK52" s="150"/>
      <c r="BL52" s="150"/>
    </row>
    <row r="53" spans="1:64" ht="15.75" customHeight="1" x14ac:dyDescent="0.2">
      <c r="A53" s="6" t="s">
        <v>938</v>
      </c>
      <c r="B53" s="6" t="s">
        <v>524</v>
      </c>
      <c r="C53" s="6">
        <v>36583</v>
      </c>
      <c r="D53" s="6">
        <v>2000</v>
      </c>
      <c r="E53" s="6">
        <v>3.42</v>
      </c>
      <c r="F53" s="6">
        <v>39057</v>
      </c>
      <c r="G53" s="6">
        <v>1316</v>
      </c>
      <c r="H53" s="6">
        <v>2.57</v>
      </c>
      <c r="I53" s="6">
        <v>2</v>
      </c>
      <c r="J53" s="6">
        <v>3</v>
      </c>
      <c r="K53" s="6">
        <v>4</v>
      </c>
      <c r="L53" s="6">
        <v>2</v>
      </c>
      <c r="M53" s="6">
        <v>4</v>
      </c>
      <c r="N53" s="6">
        <v>1</v>
      </c>
      <c r="O53" s="6">
        <v>4</v>
      </c>
      <c r="P53" s="6">
        <v>2</v>
      </c>
      <c r="Q53" s="6">
        <v>0</v>
      </c>
      <c r="R53" s="6">
        <v>4</v>
      </c>
      <c r="S53" s="6">
        <v>1</v>
      </c>
      <c r="T53" s="6">
        <v>2</v>
      </c>
      <c r="U53" s="6">
        <v>2</v>
      </c>
      <c r="V53" s="6">
        <v>3</v>
      </c>
      <c r="W53" s="6">
        <v>4</v>
      </c>
      <c r="X53" s="6">
        <v>3</v>
      </c>
      <c r="AX53" s="150"/>
      <c r="AY53" s="150"/>
      <c r="AZ53" s="150"/>
      <c r="BA53" s="150"/>
      <c r="BB53" s="150"/>
      <c r="BC53" s="150"/>
      <c r="BD53" s="150"/>
      <c r="BE53" s="150"/>
      <c r="BF53" s="150"/>
      <c r="BG53" s="150"/>
      <c r="BH53" s="150"/>
      <c r="BI53" s="150"/>
      <c r="BJ53" s="150"/>
      <c r="BK53" s="150"/>
      <c r="BL53" s="150"/>
    </row>
    <row r="54" spans="1:64" ht="15.75" hidden="1" customHeight="1" x14ac:dyDescent="0.2">
      <c r="A54" s="6" t="s">
        <v>939</v>
      </c>
      <c r="B54" s="6" t="s">
        <v>539</v>
      </c>
      <c r="C54" s="6">
        <v>49988</v>
      </c>
      <c r="D54" s="6">
        <v>1957</v>
      </c>
      <c r="E54" s="6">
        <v>3.88</v>
      </c>
      <c r="F54" s="6">
        <v>26376</v>
      </c>
      <c r="G54" s="6">
        <v>1289</v>
      </c>
      <c r="H54" s="6">
        <v>2.5099999999999998</v>
      </c>
      <c r="I54" s="6">
        <v>2</v>
      </c>
      <c r="J54" s="6">
        <v>3</v>
      </c>
      <c r="K54" s="6">
        <v>4</v>
      </c>
      <c r="L54" s="6">
        <v>1</v>
      </c>
      <c r="M54" s="6">
        <v>3</v>
      </c>
      <c r="N54" s="6">
        <v>2</v>
      </c>
      <c r="O54" s="6">
        <v>4</v>
      </c>
      <c r="P54" s="6">
        <v>2</v>
      </c>
      <c r="Q54" s="6">
        <v>1</v>
      </c>
      <c r="R54" s="6">
        <v>1</v>
      </c>
      <c r="S54" s="6">
        <v>3</v>
      </c>
      <c r="T54" s="6">
        <v>3</v>
      </c>
      <c r="U54" s="6">
        <v>1</v>
      </c>
      <c r="V54" s="6">
        <v>2</v>
      </c>
      <c r="W54" s="6">
        <v>1</v>
      </c>
      <c r="X54" s="6">
        <v>3</v>
      </c>
      <c r="AX54" s="150"/>
      <c r="AY54" s="150"/>
      <c r="AZ54" s="150"/>
      <c r="BA54" s="150"/>
      <c r="BB54" s="150"/>
      <c r="BC54" s="150"/>
      <c r="BD54" s="150"/>
      <c r="BE54" s="150"/>
      <c r="BF54" s="150"/>
      <c r="BG54" s="150"/>
      <c r="BH54" s="150"/>
      <c r="BI54" s="150"/>
      <c r="BJ54" s="150"/>
      <c r="BK54" s="150"/>
      <c r="BL54" s="150"/>
    </row>
    <row r="55" spans="1:64" ht="15.75" hidden="1" customHeight="1" x14ac:dyDescent="0.2">
      <c r="A55" s="6" t="s">
        <v>940</v>
      </c>
      <c r="B55" s="6" t="s">
        <v>365</v>
      </c>
      <c r="C55" s="6">
        <v>43538</v>
      </c>
      <c r="D55" s="6">
        <v>1887</v>
      </c>
      <c r="E55" s="6">
        <v>4.1399999999999997</v>
      </c>
      <c r="F55" s="6">
        <v>463438</v>
      </c>
      <c r="G55" s="6">
        <v>1257</v>
      </c>
      <c r="H55" s="6">
        <v>2.4500000000000002</v>
      </c>
      <c r="I55" s="6">
        <v>3</v>
      </c>
      <c r="J55" s="6">
        <v>4</v>
      </c>
      <c r="K55" s="6">
        <v>4</v>
      </c>
      <c r="L55" s="6">
        <v>3</v>
      </c>
      <c r="M55" s="6">
        <v>2</v>
      </c>
      <c r="N55" s="6">
        <v>3</v>
      </c>
      <c r="O55" s="6">
        <v>4</v>
      </c>
      <c r="P55" s="6">
        <v>0</v>
      </c>
      <c r="Q55" s="6">
        <v>4</v>
      </c>
      <c r="R55" s="6">
        <v>2</v>
      </c>
      <c r="S55" s="6">
        <v>1</v>
      </c>
      <c r="T55" s="6">
        <v>4</v>
      </c>
      <c r="U55" s="6">
        <v>1</v>
      </c>
      <c r="V55" s="6">
        <v>3</v>
      </c>
      <c r="W55" s="6">
        <v>0</v>
      </c>
      <c r="X55" s="6">
        <v>3</v>
      </c>
      <c r="AX55" s="150"/>
      <c r="AY55" s="150"/>
      <c r="AZ55" s="150"/>
      <c r="BA55" s="150"/>
      <c r="BB55" s="150"/>
      <c r="BC55" s="150"/>
      <c r="BD55" s="150"/>
      <c r="BE55" s="150"/>
      <c r="BF55" s="150"/>
      <c r="BG55" s="150"/>
      <c r="BH55" s="150"/>
      <c r="BI55" s="150"/>
      <c r="BJ55" s="150"/>
      <c r="BK55" s="150"/>
      <c r="BL55" s="150"/>
    </row>
    <row r="56" spans="1:64" ht="15.75" hidden="1" customHeight="1" x14ac:dyDescent="0.2">
      <c r="A56" s="6" t="s">
        <v>941</v>
      </c>
      <c r="B56" s="6" t="s">
        <v>421</v>
      </c>
      <c r="C56" s="6">
        <v>34576</v>
      </c>
      <c r="D56" s="6">
        <v>1764</v>
      </c>
      <c r="E56" s="6">
        <v>3.19</v>
      </c>
      <c r="F56" s="6">
        <v>37478</v>
      </c>
      <c r="G56" s="6">
        <v>1242</v>
      </c>
      <c r="H56" s="6">
        <v>2.42</v>
      </c>
      <c r="I56" s="6">
        <v>3</v>
      </c>
      <c r="J56" s="6">
        <v>4</v>
      </c>
      <c r="K56" s="6">
        <v>4</v>
      </c>
      <c r="L56" s="6">
        <v>3</v>
      </c>
      <c r="M56" s="6">
        <v>4</v>
      </c>
      <c r="N56" s="6">
        <v>2</v>
      </c>
      <c r="O56" s="6">
        <v>3</v>
      </c>
      <c r="P56" s="6">
        <v>1</v>
      </c>
      <c r="Q56" s="6">
        <v>3</v>
      </c>
      <c r="R56" s="6">
        <v>2</v>
      </c>
      <c r="S56" s="6">
        <v>0</v>
      </c>
      <c r="T56" s="6">
        <v>4</v>
      </c>
      <c r="U56" s="6">
        <v>1</v>
      </c>
      <c r="V56" s="6">
        <v>3</v>
      </c>
      <c r="W56" s="6">
        <v>2</v>
      </c>
      <c r="X56" s="6">
        <v>4</v>
      </c>
      <c r="AX56" s="150"/>
      <c r="AY56" s="150"/>
      <c r="AZ56" s="150"/>
      <c r="BA56" s="150"/>
      <c r="BB56" s="150"/>
      <c r="BC56" s="150"/>
      <c r="BD56" s="150"/>
      <c r="BE56" s="150"/>
      <c r="BF56" s="150"/>
      <c r="BG56" s="150"/>
      <c r="BH56" s="150"/>
      <c r="BI56" s="150"/>
      <c r="BJ56" s="150"/>
      <c r="BK56" s="150"/>
      <c r="BL56" s="150"/>
    </row>
    <row r="57" spans="1:64" ht="15.75" hidden="1" customHeight="1" x14ac:dyDescent="0.2">
      <c r="A57" s="6" t="s">
        <v>942</v>
      </c>
      <c r="B57" s="6" t="s">
        <v>479</v>
      </c>
      <c r="C57" s="6">
        <v>25437</v>
      </c>
      <c r="D57" s="6">
        <v>1970</v>
      </c>
      <c r="E57" s="6">
        <v>3.61</v>
      </c>
      <c r="F57" s="6">
        <v>10795</v>
      </c>
      <c r="G57" s="6">
        <v>1218</v>
      </c>
      <c r="H57" s="6">
        <v>2.37</v>
      </c>
      <c r="I57" s="6">
        <v>3</v>
      </c>
      <c r="J57" s="6">
        <v>4</v>
      </c>
      <c r="K57" s="6">
        <v>4</v>
      </c>
      <c r="L57" s="6">
        <v>1</v>
      </c>
      <c r="M57" s="6">
        <v>3</v>
      </c>
      <c r="N57" s="6">
        <v>2</v>
      </c>
      <c r="O57" s="6">
        <v>3</v>
      </c>
      <c r="P57" s="6">
        <v>0</v>
      </c>
      <c r="Q57" s="6">
        <v>3</v>
      </c>
      <c r="R57" s="6">
        <v>0</v>
      </c>
      <c r="S57" s="6">
        <v>1</v>
      </c>
      <c r="T57" s="6">
        <v>4</v>
      </c>
      <c r="U57" s="6">
        <v>0</v>
      </c>
      <c r="V57" s="6">
        <v>2</v>
      </c>
      <c r="W57" s="6">
        <v>3</v>
      </c>
      <c r="X57" s="6">
        <v>3</v>
      </c>
      <c r="AX57" s="150"/>
      <c r="AY57" s="150"/>
      <c r="AZ57" s="150"/>
      <c r="BA57" s="150"/>
      <c r="BB57" s="150"/>
      <c r="BC57" s="150"/>
      <c r="BD57" s="150"/>
      <c r="BE57" s="150"/>
      <c r="BF57" s="150"/>
      <c r="BG57" s="150"/>
      <c r="BH57" s="150"/>
      <c r="BI57" s="150"/>
      <c r="BJ57" s="150"/>
      <c r="BK57" s="150"/>
      <c r="BL57" s="150"/>
    </row>
    <row r="58" spans="1:64" ht="15.75" hidden="1" customHeight="1" x14ac:dyDescent="0.2">
      <c r="A58" s="6" t="s">
        <v>943</v>
      </c>
      <c r="B58" s="6" t="s">
        <v>473</v>
      </c>
      <c r="C58" s="6">
        <v>36616</v>
      </c>
      <c r="D58" s="6">
        <v>1916</v>
      </c>
      <c r="E58" s="6">
        <v>4.12</v>
      </c>
      <c r="F58" s="6">
        <v>10880</v>
      </c>
      <c r="G58" s="6">
        <v>1149</v>
      </c>
      <c r="H58" s="6">
        <v>2.2400000000000002</v>
      </c>
      <c r="I58" s="6">
        <v>2</v>
      </c>
      <c r="J58" s="6">
        <v>3</v>
      </c>
      <c r="K58" s="6">
        <v>3</v>
      </c>
      <c r="L58" s="6">
        <v>1</v>
      </c>
      <c r="M58" s="6">
        <v>4</v>
      </c>
      <c r="N58" s="6">
        <v>2</v>
      </c>
      <c r="O58" s="6">
        <v>3</v>
      </c>
      <c r="P58" s="6">
        <v>1</v>
      </c>
      <c r="Q58" s="6">
        <v>2</v>
      </c>
      <c r="R58" s="6">
        <v>0</v>
      </c>
      <c r="S58" s="6">
        <v>4</v>
      </c>
      <c r="T58" s="6">
        <v>2</v>
      </c>
      <c r="U58" s="6">
        <v>1</v>
      </c>
      <c r="V58" s="6">
        <v>2</v>
      </c>
      <c r="W58" s="6">
        <v>0</v>
      </c>
      <c r="X58" s="6">
        <v>3</v>
      </c>
      <c r="AX58" s="150"/>
      <c r="AY58" s="150"/>
      <c r="AZ58" s="150"/>
      <c r="BA58" s="150"/>
      <c r="BB58" s="150"/>
      <c r="BC58" s="150"/>
      <c r="BD58" s="150"/>
      <c r="BE58" s="150"/>
      <c r="BF58" s="150"/>
      <c r="BG58" s="150"/>
      <c r="BH58" s="150"/>
      <c r="BI58" s="150"/>
      <c r="BJ58" s="150"/>
      <c r="BK58" s="150"/>
      <c r="BL58" s="150"/>
    </row>
    <row r="59" spans="1:64" ht="15.75" hidden="1" customHeight="1" x14ac:dyDescent="0.2">
      <c r="A59" s="6" t="s">
        <v>944</v>
      </c>
      <c r="B59" s="6" t="s">
        <v>397</v>
      </c>
      <c r="C59" s="6">
        <v>12299</v>
      </c>
      <c r="D59" s="6">
        <v>1909</v>
      </c>
      <c r="E59" s="6">
        <v>4.07</v>
      </c>
      <c r="F59" s="6">
        <v>18168</v>
      </c>
      <c r="G59" s="6">
        <v>1144</v>
      </c>
      <c r="H59" s="6">
        <v>2.23</v>
      </c>
      <c r="I59" s="6">
        <v>2</v>
      </c>
      <c r="J59" s="6">
        <v>3</v>
      </c>
      <c r="K59" s="6">
        <v>4</v>
      </c>
      <c r="L59" s="6">
        <v>3</v>
      </c>
      <c r="M59" s="6">
        <v>2</v>
      </c>
      <c r="N59" s="6">
        <v>1</v>
      </c>
      <c r="O59" s="6">
        <v>3</v>
      </c>
      <c r="P59" s="6">
        <v>0</v>
      </c>
      <c r="Q59" s="6">
        <v>1</v>
      </c>
      <c r="R59" s="6">
        <v>0</v>
      </c>
      <c r="S59" s="6">
        <v>4</v>
      </c>
      <c r="T59" s="6">
        <v>4</v>
      </c>
      <c r="U59" s="6">
        <v>1</v>
      </c>
      <c r="V59" s="6">
        <v>3</v>
      </c>
      <c r="W59" s="6">
        <v>2</v>
      </c>
      <c r="X59" s="6">
        <v>3</v>
      </c>
      <c r="AX59" s="150"/>
      <c r="AY59" s="150"/>
      <c r="AZ59" s="150"/>
      <c r="BA59" s="150"/>
      <c r="BB59" s="150"/>
      <c r="BC59" s="150"/>
      <c r="BD59" s="150"/>
      <c r="BE59" s="150"/>
      <c r="BF59" s="150"/>
      <c r="BG59" s="150"/>
      <c r="BH59" s="150"/>
      <c r="BI59" s="150"/>
      <c r="BJ59" s="150"/>
      <c r="BK59" s="150"/>
      <c r="BL59" s="150"/>
    </row>
    <row r="60" spans="1:64" ht="15.75" customHeight="1" x14ac:dyDescent="0.2">
      <c r="A60" s="6" t="s">
        <v>945</v>
      </c>
      <c r="B60" s="6" t="s">
        <v>18</v>
      </c>
      <c r="C60" s="6">
        <v>99235</v>
      </c>
      <c r="D60" s="6">
        <v>1960</v>
      </c>
      <c r="E60" s="6">
        <v>4.26</v>
      </c>
      <c r="F60" s="6">
        <v>6389780</v>
      </c>
      <c r="G60" s="6">
        <v>1034</v>
      </c>
      <c r="H60" s="6">
        <v>2.02</v>
      </c>
      <c r="I60" s="6">
        <v>2</v>
      </c>
      <c r="J60" s="6">
        <v>3</v>
      </c>
      <c r="K60" s="6">
        <v>3</v>
      </c>
      <c r="L60" s="6">
        <v>2</v>
      </c>
      <c r="M60" s="6">
        <v>4</v>
      </c>
      <c r="N60" s="6">
        <v>2</v>
      </c>
      <c r="O60" s="6">
        <v>3</v>
      </c>
      <c r="P60" s="6">
        <v>1</v>
      </c>
      <c r="Q60" s="6">
        <v>2</v>
      </c>
      <c r="R60" s="6">
        <v>1</v>
      </c>
      <c r="S60" s="6">
        <v>3</v>
      </c>
      <c r="T60" s="6">
        <v>4</v>
      </c>
      <c r="U60" s="6">
        <v>2</v>
      </c>
      <c r="V60" s="6">
        <v>3</v>
      </c>
      <c r="W60" s="6">
        <v>4</v>
      </c>
      <c r="X60" s="6">
        <v>4</v>
      </c>
      <c r="AX60" s="150"/>
      <c r="AY60" s="150"/>
      <c r="AZ60" s="150"/>
      <c r="BA60" s="150"/>
      <c r="BB60" s="150"/>
      <c r="BC60" s="150"/>
      <c r="BD60" s="150"/>
      <c r="BE60" s="150"/>
      <c r="BF60" s="150"/>
      <c r="BG60" s="150"/>
      <c r="BH60" s="150"/>
      <c r="BI60" s="150"/>
      <c r="BJ60" s="150"/>
      <c r="BK60" s="150"/>
      <c r="BL60" s="150"/>
    </row>
    <row r="61" spans="1:64" ht="15.75" hidden="1" customHeight="1" x14ac:dyDescent="0.2">
      <c r="A61" s="6" t="s">
        <v>946</v>
      </c>
      <c r="B61" s="6" t="s">
        <v>510</v>
      </c>
      <c r="C61" s="6">
        <v>48722</v>
      </c>
      <c r="D61" s="6">
        <v>1999</v>
      </c>
      <c r="E61" s="6">
        <v>3.46</v>
      </c>
      <c r="F61" s="6">
        <v>6621</v>
      </c>
      <c r="G61" s="6">
        <v>1027</v>
      </c>
      <c r="H61" s="6">
        <v>2</v>
      </c>
      <c r="I61" s="6">
        <v>2</v>
      </c>
      <c r="J61" s="6">
        <v>3</v>
      </c>
      <c r="K61" s="6">
        <v>4</v>
      </c>
      <c r="L61" s="6">
        <v>2</v>
      </c>
      <c r="M61" s="6">
        <v>3</v>
      </c>
      <c r="N61" s="6">
        <v>1</v>
      </c>
      <c r="O61" s="6">
        <v>3</v>
      </c>
      <c r="P61" s="6">
        <v>1</v>
      </c>
      <c r="Q61" s="6">
        <v>2</v>
      </c>
      <c r="R61" s="6">
        <v>1</v>
      </c>
      <c r="S61" s="6">
        <v>3</v>
      </c>
      <c r="T61" s="6">
        <v>2</v>
      </c>
      <c r="U61" s="6">
        <v>1</v>
      </c>
      <c r="V61" s="6">
        <v>2</v>
      </c>
      <c r="W61" s="6">
        <v>2</v>
      </c>
      <c r="X61" s="6">
        <v>3</v>
      </c>
      <c r="AX61" s="150"/>
      <c r="AY61" s="150"/>
      <c r="AZ61" s="150"/>
      <c r="BA61" s="150"/>
      <c r="BB61" s="150"/>
      <c r="BC61" s="150"/>
      <c r="BD61" s="150"/>
      <c r="BE61" s="150"/>
      <c r="BF61" s="150"/>
      <c r="BG61" s="150"/>
      <c r="BH61" s="150"/>
      <c r="BI61" s="150"/>
      <c r="BJ61" s="150"/>
      <c r="BK61" s="150"/>
      <c r="BL61" s="150"/>
    </row>
    <row r="62" spans="1:64" ht="15.75" hidden="1" customHeight="1" x14ac:dyDescent="0.2">
      <c r="A62" s="6" t="s">
        <v>947</v>
      </c>
      <c r="B62" s="6" t="s">
        <v>453</v>
      </c>
      <c r="C62" s="6">
        <v>38401</v>
      </c>
      <c r="D62" s="6">
        <v>1971</v>
      </c>
      <c r="E62" s="6">
        <v>3.69</v>
      </c>
      <c r="F62" s="6">
        <v>40366</v>
      </c>
      <c r="G62" s="6">
        <v>1004</v>
      </c>
      <c r="H62" s="6">
        <v>1.96</v>
      </c>
      <c r="I62" s="6">
        <v>3</v>
      </c>
      <c r="J62" s="6">
        <v>4</v>
      </c>
      <c r="K62" s="6">
        <v>4</v>
      </c>
      <c r="L62" s="6">
        <v>2</v>
      </c>
      <c r="M62" s="6">
        <v>3</v>
      </c>
      <c r="N62" s="6">
        <v>1</v>
      </c>
      <c r="O62" s="6">
        <v>4</v>
      </c>
      <c r="P62" s="6">
        <v>0</v>
      </c>
      <c r="Q62" s="6">
        <v>1</v>
      </c>
      <c r="R62" s="6">
        <v>0</v>
      </c>
      <c r="S62" s="6">
        <v>2</v>
      </c>
      <c r="T62" s="6">
        <v>4</v>
      </c>
      <c r="U62" s="6">
        <v>1</v>
      </c>
      <c r="V62" s="6">
        <v>2</v>
      </c>
      <c r="W62" s="6">
        <v>0</v>
      </c>
      <c r="X62" s="6">
        <v>3</v>
      </c>
      <c r="AX62" s="150"/>
      <c r="AY62" s="150"/>
      <c r="AZ62" s="150"/>
      <c r="BA62" s="150"/>
      <c r="BB62" s="150"/>
      <c r="BC62" s="150"/>
      <c r="BD62" s="150"/>
      <c r="BE62" s="150"/>
      <c r="BF62" s="150"/>
      <c r="BG62" s="150"/>
      <c r="BH62" s="150"/>
      <c r="BI62" s="150"/>
      <c r="BJ62" s="150"/>
      <c r="BK62" s="150"/>
      <c r="BL62" s="150"/>
    </row>
    <row r="63" spans="1:64" ht="15.75" hidden="1" customHeight="1" x14ac:dyDescent="0.2">
      <c r="A63" s="6" t="s">
        <v>948</v>
      </c>
      <c r="B63" s="6" t="s">
        <v>439</v>
      </c>
      <c r="C63" s="6">
        <v>35155</v>
      </c>
      <c r="D63" s="6">
        <v>1936</v>
      </c>
      <c r="E63" s="6">
        <v>4.0599999999999996</v>
      </c>
      <c r="F63" s="6">
        <v>27008</v>
      </c>
      <c r="G63" s="6">
        <v>1</v>
      </c>
      <c r="H63" s="6">
        <v>0</v>
      </c>
      <c r="I63" s="6">
        <v>3</v>
      </c>
      <c r="J63" s="6">
        <v>4</v>
      </c>
      <c r="K63" s="6">
        <v>4</v>
      </c>
      <c r="L63" s="6">
        <v>1</v>
      </c>
      <c r="M63" s="6">
        <v>3</v>
      </c>
      <c r="N63" s="6">
        <v>2</v>
      </c>
      <c r="O63" s="6">
        <v>3</v>
      </c>
      <c r="P63" s="6">
        <v>0</v>
      </c>
      <c r="Q63" s="6">
        <v>3</v>
      </c>
      <c r="R63" s="6">
        <v>1</v>
      </c>
      <c r="S63" s="6">
        <v>2</v>
      </c>
      <c r="T63" s="6">
        <v>4</v>
      </c>
      <c r="U63" s="6">
        <v>1</v>
      </c>
      <c r="V63" s="6">
        <v>2</v>
      </c>
      <c r="W63" s="6">
        <v>1</v>
      </c>
      <c r="X63" s="6">
        <v>2</v>
      </c>
      <c r="AX63" s="150"/>
      <c r="AY63" s="150"/>
      <c r="AZ63" s="150"/>
      <c r="BA63" s="150"/>
      <c r="BB63" s="150"/>
      <c r="BC63" s="150"/>
      <c r="BD63" s="150"/>
      <c r="BE63" s="150"/>
      <c r="BF63" s="150"/>
      <c r="BG63" s="150"/>
      <c r="BH63" s="150"/>
      <c r="BI63" s="150"/>
      <c r="BJ63" s="150"/>
      <c r="BK63" s="150"/>
      <c r="BL63" s="150"/>
    </row>
    <row r="64" spans="1:64" ht="15.75" hidden="1" customHeight="1" x14ac:dyDescent="0.2">
      <c r="A64" s="6" t="s">
        <v>949</v>
      </c>
      <c r="B64" s="6" t="s">
        <v>522</v>
      </c>
      <c r="C64" s="6">
        <v>66896</v>
      </c>
      <c r="D64" s="6">
        <v>1982</v>
      </c>
      <c r="E64" s="6">
        <v>3.92</v>
      </c>
      <c r="F64" s="6">
        <v>630282</v>
      </c>
      <c r="G64" s="6">
        <v>991</v>
      </c>
      <c r="H64" s="6">
        <v>1.93</v>
      </c>
      <c r="I64" s="6">
        <v>3</v>
      </c>
      <c r="J64" s="6">
        <v>4</v>
      </c>
      <c r="K64" s="6">
        <v>4</v>
      </c>
      <c r="L64" s="6">
        <v>3</v>
      </c>
      <c r="M64" s="6">
        <v>4</v>
      </c>
      <c r="N64" s="6">
        <v>2</v>
      </c>
      <c r="O64" s="6">
        <v>4</v>
      </c>
      <c r="P64" s="6">
        <v>0</v>
      </c>
      <c r="Q64" s="6">
        <v>2</v>
      </c>
      <c r="R64" s="6">
        <v>1</v>
      </c>
      <c r="S64" s="6">
        <v>0</v>
      </c>
      <c r="T64" s="6">
        <v>3</v>
      </c>
      <c r="U64" s="6">
        <v>1</v>
      </c>
      <c r="V64" s="6">
        <v>3</v>
      </c>
      <c r="W64" s="6">
        <v>0</v>
      </c>
      <c r="X64" s="6">
        <v>4</v>
      </c>
      <c r="AX64" s="150"/>
      <c r="AY64" s="150"/>
      <c r="AZ64" s="150"/>
      <c r="BA64" s="150"/>
      <c r="BB64" s="150"/>
      <c r="BC64" s="150"/>
      <c r="BD64" s="150"/>
      <c r="BE64" s="150"/>
      <c r="BF64" s="150"/>
      <c r="BG64" s="150"/>
      <c r="BH64" s="150"/>
      <c r="BI64" s="150"/>
      <c r="BJ64" s="150"/>
      <c r="BK64" s="150"/>
      <c r="BL64" s="150"/>
    </row>
    <row r="65" spans="1:64" ht="15.75" hidden="1" customHeight="1" x14ac:dyDescent="0.2">
      <c r="A65" s="6" t="s">
        <v>950</v>
      </c>
      <c r="B65" s="6" t="s">
        <v>394</v>
      </c>
      <c r="C65" s="6">
        <v>22395</v>
      </c>
      <c r="D65" s="6">
        <v>2002</v>
      </c>
      <c r="E65" s="6">
        <v>3.9</v>
      </c>
      <c r="F65" s="6">
        <v>26329</v>
      </c>
      <c r="G65" s="6">
        <v>989</v>
      </c>
      <c r="H65" s="6">
        <v>1.93</v>
      </c>
      <c r="I65" s="6">
        <v>2</v>
      </c>
      <c r="J65" s="6">
        <v>3</v>
      </c>
      <c r="K65" s="6">
        <v>4</v>
      </c>
      <c r="L65" s="6">
        <v>2</v>
      </c>
      <c r="M65" s="6">
        <v>3</v>
      </c>
      <c r="N65" s="6">
        <v>4</v>
      </c>
      <c r="O65" s="6">
        <v>4</v>
      </c>
      <c r="P65" s="6">
        <v>1</v>
      </c>
      <c r="Q65" s="6">
        <v>2</v>
      </c>
      <c r="R65" s="6">
        <v>1</v>
      </c>
      <c r="S65" s="6">
        <v>0</v>
      </c>
      <c r="T65" s="6">
        <v>3</v>
      </c>
      <c r="U65" s="6">
        <v>1</v>
      </c>
      <c r="V65" s="6">
        <v>2</v>
      </c>
      <c r="W65" s="6">
        <v>1</v>
      </c>
      <c r="X65" s="6">
        <v>3</v>
      </c>
      <c r="AX65" s="150"/>
      <c r="AY65" s="150"/>
      <c r="AZ65" s="150"/>
      <c r="BA65" s="150"/>
      <c r="BB65" s="150"/>
      <c r="BC65" s="150"/>
      <c r="BD65" s="150"/>
      <c r="BE65" s="150"/>
      <c r="BF65" s="150"/>
      <c r="BG65" s="150"/>
      <c r="BH65" s="150"/>
      <c r="BI65" s="150"/>
      <c r="BJ65" s="150"/>
      <c r="BK65" s="150"/>
      <c r="BL65" s="150"/>
    </row>
    <row r="66" spans="1:64" ht="15.75" hidden="1" customHeight="1" x14ac:dyDescent="0.2">
      <c r="A66" s="6" t="s">
        <v>951</v>
      </c>
      <c r="B66" s="6" t="s">
        <v>439</v>
      </c>
      <c r="C66" s="6">
        <v>34928</v>
      </c>
      <c r="D66" s="6">
        <v>1934</v>
      </c>
      <c r="E66" s="6">
        <v>3.77</v>
      </c>
      <c r="F66" s="6">
        <v>45252</v>
      </c>
      <c r="G66" s="6">
        <v>981</v>
      </c>
      <c r="H66" s="6">
        <v>1.91</v>
      </c>
      <c r="I66" s="6">
        <v>3</v>
      </c>
      <c r="J66" s="6">
        <v>4</v>
      </c>
      <c r="K66" s="6">
        <v>4</v>
      </c>
      <c r="L66" s="6">
        <v>2</v>
      </c>
      <c r="M66" s="6">
        <v>3</v>
      </c>
      <c r="N66" s="6">
        <v>1</v>
      </c>
      <c r="O66" s="6">
        <v>3</v>
      </c>
      <c r="P66" s="6">
        <v>0</v>
      </c>
      <c r="Q66" s="6">
        <v>2</v>
      </c>
      <c r="R66" s="6">
        <v>3</v>
      </c>
      <c r="S66" s="6">
        <v>0</v>
      </c>
      <c r="T66" s="6">
        <v>4</v>
      </c>
      <c r="U66" s="6">
        <v>1</v>
      </c>
      <c r="V66" s="6">
        <v>2</v>
      </c>
      <c r="W66" s="6">
        <v>3</v>
      </c>
      <c r="X66" s="6">
        <v>3</v>
      </c>
      <c r="AX66" s="150"/>
      <c r="AY66" s="150"/>
      <c r="AZ66" s="150"/>
      <c r="BA66" s="150"/>
      <c r="BB66" s="150"/>
      <c r="BC66" s="150"/>
      <c r="BD66" s="150"/>
      <c r="BE66" s="150"/>
      <c r="BF66" s="150"/>
      <c r="BG66" s="150"/>
      <c r="BH66" s="150"/>
      <c r="BI66" s="150"/>
      <c r="BJ66" s="150"/>
      <c r="BK66" s="150"/>
      <c r="BL66" s="150"/>
    </row>
    <row r="67" spans="1:64" ht="15.75" customHeight="1" x14ac:dyDescent="0.2">
      <c r="A67" s="6" t="s">
        <v>952</v>
      </c>
      <c r="B67" s="6" t="s">
        <v>483</v>
      </c>
      <c r="C67" s="6">
        <v>23203</v>
      </c>
      <c r="D67" s="6">
        <v>1933</v>
      </c>
      <c r="E67" s="6">
        <v>3.75</v>
      </c>
      <c r="F67" s="6">
        <v>1293</v>
      </c>
      <c r="G67" s="6">
        <v>941</v>
      </c>
      <c r="H67" s="6">
        <v>1.83</v>
      </c>
      <c r="I67" s="6">
        <v>2</v>
      </c>
      <c r="J67" s="6">
        <v>3</v>
      </c>
      <c r="K67" s="6">
        <v>4</v>
      </c>
      <c r="L67" s="6">
        <v>2</v>
      </c>
      <c r="M67" s="6">
        <v>4</v>
      </c>
      <c r="N67" s="6">
        <v>1</v>
      </c>
      <c r="O67" s="6">
        <v>3</v>
      </c>
      <c r="P67" s="6">
        <v>0</v>
      </c>
      <c r="Q67" s="6">
        <v>1</v>
      </c>
      <c r="R67" s="6">
        <v>1</v>
      </c>
      <c r="S67" s="6">
        <v>4</v>
      </c>
      <c r="T67" s="6">
        <v>4</v>
      </c>
      <c r="U67" s="6">
        <v>0</v>
      </c>
      <c r="V67" s="6">
        <v>3</v>
      </c>
      <c r="W67" s="6">
        <v>0</v>
      </c>
      <c r="X67" s="6">
        <v>3</v>
      </c>
      <c r="AX67" s="150"/>
      <c r="AY67" s="150"/>
      <c r="AZ67" s="150"/>
      <c r="BA67" s="150"/>
      <c r="BB67" s="150"/>
      <c r="BC67" s="150"/>
      <c r="BD67" s="150"/>
      <c r="BE67" s="150"/>
      <c r="BF67" s="150"/>
      <c r="BG67" s="150"/>
      <c r="BH67" s="150"/>
      <c r="BI67" s="150"/>
      <c r="BJ67" s="150"/>
      <c r="BK67" s="150"/>
      <c r="BL67" s="150"/>
    </row>
    <row r="68" spans="1:64" ht="15.75" hidden="1" customHeight="1" x14ac:dyDescent="0.2">
      <c r="A68" s="6" t="s">
        <v>953</v>
      </c>
      <c r="B68" s="6" t="s">
        <v>514</v>
      </c>
      <c r="C68" s="6">
        <v>38964</v>
      </c>
      <c r="D68" s="6">
        <v>1956</v>
      </c>
      <c r="E68" s="6">
        <v>3.53</v>
      </c>
      <c r="F68" s="6">
        <v>12895</v>
      </c>
      <c r="G68" s="6">
        <v>937</v>
      </c>
      <c r="H68" s="6">
        <v>1.83</v>
      </c>
      <c r="I68" s="6">
        <v>1</v>
      </c>
      <c r="J68" s="6">
        <v>3</v>
      </c>
      <c r="K68" s="6">
        <v>4</v>
      </c>
      <c r="L68" s="6">
        <v>2</v>
      </c>
      <c r="M68" s="6">
        <v>3</v>
      </c>
      <c r="N68" s="6">
        <v>4</v>
      </c>
      <c r="O68" s="6">
        <v>3</v>
      </c>
      <c r="P68" s="6">
        <v>0</v>
      </c>
      <c r="Q68" s="6">
        <v>1</v>
      </c>
      <c r="R68" s="6">
        <v>0</v>
      </c>
      <c r="S68" s="6">
        <v>2</v>
      </c>
      <c r="T68" s="6">
        <v>4</v>
      </c>
      <c r="U68" s="6">
        <v>0</v>
      </c>
      <c r="V68" s="6">
        <v>2</v>
      </c>
      <c r="W68" s="6">
        <v>1</v>
      </c>
      <c r="X68" s="6">
        <v>3</v>
      </c>
      <c r="AX68" s="150"/>
      <c r="AY68" s="150"/>
      <c r="AZ68" s="150"/>
      <c r="BA68" s="150"/>
      <c r="BB68" s="150"/>
      <c r="BC68" s="150"/>
      <c r="BD68" s="150"/>
      <c r="BE68" s="150"/>
      <c r="BF68" s="150"/>
      <c r="BG68" s="150"/>
      <c r="BH68" s="150"/>
      <c r="BI68" s="150"/>
      <c r="BJ68" s="150"/>
      <c r="BK68" s="150"/>
      <c r="BL68" s="150"/>
    </row>
    <row r="69" spans="1:64" ht="15.75" hidden="1" customHeight="1" x14ac:dyDescent="0.2">
      <c r="A69" s="6" t="s">
        <v>954</v>
      </c>
      <c r="B69" s="6" t="s">
        <v>462</v>
      </c>
      <c r="C69" s="6">
        <v>61059</v>
      </c>
      <c r="D69" s="6">
        <v>1939</v>
      </c>
      <c r="E69" s="6">
        <v>3.97</v>
      </c>
      <c r="F69" s="6">
        <v>4636</v>
      </c>
      <c r="G69" s="6">
        <v>894</v>
      </c>
      <c r="H69" s="6">
        <v>1.74</v>
      </c>
      <c r="I69" s="6">
        <v>2</v>
      </c>
      <c r="J69" s="6">
        <v>3</v>
      </c>
      <c r="K69" s="6">
        <v>4</v>
      </c>
      <c r="L69" s="6">
        <v>2</v>
      </c>
      <c r="M69" s="6">
        <v>3</v>
      </c>
      <c r="N69" s="6">
        <v>2</v>
      </c>
      <c r="O69" s="6">
        <v>3</v>
      </c>
      <c r="P69" s="6">
        <v>1</v>
      </c>
      <c r="Q69" s="6">
        <v>1</v>
      </c>
      <c r="R69" s="6">
        <v>2</v>
      </c>
      <c r="S69" s="6">
        <v>1</v>
      </c>
      <c r="T69" s="6">
        <v>4</v>
      </c>
      <c r="U69" s="6">
        <v>0</v>
      </c>
      <c r="V69" s="6">
        <v>2</v>
      </c>
      <c r="W69" s="6">
        <v>4</v>
      </c>
      <c r="X69" s="6">
        <v>3</v>
      </c>
      <c r="AX69" s="150"/>
      <c r="AY69" s="150"/>
      <c r="AZ69" s="150"/>
      <c r="BA69" s="150"/>
      <c r="BB69" s="150"/>
      <c r="BC69" s="150"/>
      <c r="BD69" s="150"/>
      <c r="BE69" s="150"/>
      <c r="BF69" s="150"/>
      <c r="BG69" s="150"/>
      <c r="BH69" s="150"/>
      <c r="BI69" s="150"/>
      <c r="BJ69" s="150"/>
      <c r="BK69" s="150"/>
      <c r="BL69" s="150"/>
    </row>
    <row r="70" spans="1:64" ht="15.75" hidden="1" customHeight="1" x14ac:dyDescent="0.2">
      <c r="A70" s="6" t="s">
        <v>955</v>
      </c>
      <c r="B70" s="6" t="s">
        <v>372</v>
      </c>
      <c r="C70" s="6">
        <v>34253</v>
      </c>
      <c r="D70" s="6">
        <v>1941</v>
      </c>
      <c r="E70" s="6">
        <v>3.83</v>
      </c>
      <c r="F70" s="6">
        <v>6691</v>
      </c>
      <c r="G70" s="6">
        <v>849</v>
      </c>
      <c r="H70" s="6">
        <v>1.65</v>
      </c>
      <c r="I70" s="6">
        <v>3</v>
      </c>
      <c r="J70" s="6">
        <v>4</v>
      </c>
      <c r="K70" s="6">
        <v>4</v>
      </c>
      <c r="L70" s="6">
        <v>1</v>
      </c>
      <c r="M70" s="6">
        <v>4</v>
      </c>
      <c r="N70" s="6">
        <v>2</v>
      </c>
      <c r="O70" s="6">
        <v>3</v>
      </c>
      <c r="P70" s="6">
        <v>0</v>
      </c>
      <c r="Q70" s="6">
        <v>2</v>
      </c>
      <c r="R70" s="6">
        <v>1</v>
      </c>
      <c r="S70" s="6">
        <v>2</v>
      </c>
      <c r="T70" s="6">
        <v>4</v>
      </c>
      <c r="U70" s="6">
        <v>0</v>
      </c>
      <c r="V70" s="6">
        <v>2</v>
      </c>
      <c r="W70" s="6">
        <v>1</v>
      </c>
      <c r="X70" s="6">
        <v>3</v>
      </c>
      <c r="AX70" s="150"/>
      <c r="AY70" s="150"/>
      <c r="AZ70" s="150"/>
      <c r="BA70" s="150"/>
      <c r="BB70" s="150"/>
      <c r="BC70" s="150"/>
      <c r="BD70" s="150"/>
      <c r="BE70" s="150"/>
      <c r="BF70" s="150"/>
      <c r="BG70" s="150"/>
      <c r="BH70" s="150"/>
      <c r="BI70" s="150"/>
      <c r="BJ70" s="150"/>
      <c r="BK70" s="150"/>
      <c r="BL70" s="150"/>
    </row>
    <row r="71" spans="1:64" ht="15.75" customHeight="1" x14ac:dyDescent="0.2">
      <c r="A71" s="6" t="s">
        <v>956</v>
      </c>
      <c r="B71" s="6" t="s">
        <v>21</v>
      </c>
      <c r="C71" s="6">
        <v>25149</v>
      </c>
      <c r="D71" s="6">
        <v>1970</v>
      </c>
      <c r="E71" s="6">
        <v>3.86</v>
      </c>
      <c r="F71" s="6">
        <v>14190</v>
      </c>
      <c r="G71" s="6">
        <v>842</v>
      </c>
      <c r="H71" s="6">
        <v>1.64</v>
      </c>
      <c r="I71" s="6">
        <v>2</v>
      </c>
      <c r="J71" s="6">
        <v>3</v>
      </c>
      <c r="K71" s="6">
        <v>4</v>
      </c>
      <c r="L71" s="6">
        <v>2</v>
      </c>
      <c r="M71" s="6">
        <v>4</v>
      </c>
      <c r="N71" s="6">
        <v>3</v>
      </c>
      <c r="O71" s="6">
        <v>4</v>
      </c>
      <c r="P71" s="6">
        <v>3</v>
      </c>
      <c r="Q71" s="6">
        <v>2</v>
      </c>
      <c r="R71" s="6">
        <v>1</v>
      </c>
      <c r="S71" s="6">
        <v>4</v>
      </c>
      <c r="T71" s="6">
        <v>1</v>
      </c>
      <c r="U71" s="6">
        <v>2</v>
      </c>
      <c r="V71" s="6">
        <v>2</v>
      </c>
      <c r="W71" s="6">
        <v>1</v>
      </c>
      <c r="X71" s="6">
        <v>3</v>
      </c>
      <c r="AX71" s="150"/>
      <c r="AY71" s="150"/>
      <c r="AZ71" s="150"/>
      <c r="BA71" s="150"/>
      <c r="BB71" s="150"/>
      <c r="BC71" s="150"/>
      <c r="BD71" s="150"/>
      <c r="BE71" s="150"/>
      <c r="BF71" s="150"/>
      <c r="BG71" s="150"/>
      <c r="BH71" s="150"/>
      <c r="BI71" s="150"/>
      <c r="BJ71" s="150"/>
      <c r="BK71" s="150"/>
      <c r="BL71" s="150"/>
    </row>
    <row r="72" spans="1:64" ht="15.75" hidden="1" customHeight="1" x14ac:dyDescent="0.2">
      <c r="A72" s="6" t="s">
        <v>957</v>
      </c>
      <c r="B72" s="6" t="s">
        <v>377</v>
      </c>
      <c r="C72" s="6">
        <v>43830</v>
      </c>
      <c r="D72" s="6">
        <v>1964</v>
      </c>
      <c r="E72" s="6">
        <v>4.0599999999999996</v>
      </c>
      <c r="F72" s="6">
        <v>34987</v>
      </c>
      <c r="G72" s="6">
        <v>832</v>
      </c>
      <c r="H72" s="6">
        <v>1.62</v>
      </c>
      <c r="I72" s="6">
        <v>2</v>
      </c>
      <c r="J72" s="6">
        <v>3</v>
      </c>
      <c r="K72" s="6">
        <v>4</v>
      </c>
      <c r="L72" s="6">
        <v>2</v>
      </c>
      <c r="M72" s="6">
        <v>4</v>
      </c>
      <c r="N72" s="6">
        <v>1</v>
      </c>
      <c r="O72" s="6">
        <v>3</v>
      </c>
      <c r="P72" s="6">
        <v>1</v>
      </c>
      <c r="Q72" s="6">
        <v>2</v>
      </c>
      <c r="R72" s="6">
        <v>1</v>
      </c>
      <c r="S72" s="6">
        <v>3</v>
      </c>
      <c r="T72" s="6">
        <v>2</v>
      </c>
      <c r="U72" s="6">
        <v>1</v>
      </c>
      <c r="V72" s="6">
        <v>2</v>
      </c>
      <c r="W72" s="6">
        <v>2</v>
      </c>
      <c r="X72" s="6">
        <v>4</v>
      </c>
      <c r="AX72" s="150"/>
      <c r="AY72" s="150"/>
      <c r="AZ72" s="150"/>
      <c r="BA72" s="150"/>
      <c r="BB72" s="150"/>
      <c r="BC72" s="150"/>
      <c r="BD72" s="150"/>
      <c r="BE72" s="150"/>
      <c r="BF72" s="150"/>
      <c r="BG72" s="150"/>
      <c r="BH72" s="150"/>
      <c r="BI72" s="150"/>
      <c r="BJ72" s="150"/>
      <c r="BK72" s="150"/>
      <c r="BL72" s="150"/>
    </row>
    <row r="73" spans="1:64" ht="15.75" hidden="1" customHeight="1" x14ac:dyDescent="0.2">
      <c r="A73" s="6" t="s">
        <v>958</v>
      </c>
      <c r="B73" s="6" t="s">
        <v>457</v>
      </c>
      <c r="C73" s="6">
        <v>13130</v>
      </c>
      <c r="D73" s="6">
        <v>1924</v>
      </c>
      <c r="E73" s="6">
        <v>3.68</v>
      </c>
      <c r="F73" s="6">
        <v>3591</v>
      </c>
      <c r="G73" s="6">
        <v>799</v>
      </c>
      <c r="H73" s="6">
        <v>1.56</v>
      </c>
      <c r="I73" s="6">
        <v>2</v>
      </c>
      <c r="J73" s="6">
        <v>3</v>
      </c>
      <c r="K73" s="6">
        <v>4</v>
      </c>
      <c r="L73" s="6">
        <v>3</v>
      </c>
      <c r="M73" s="6">
        <v>2</v>
      </c>
      <c r="N73" s="6">
        <v>4</v>
      </c>
      <c r="O73" s="6">
        <v>3</v>
      </c>
      <c r="P73" s="6">
        <v>1</v>
      </c>
      <c r="Q73" s="6">
        <v>0</v>
      </c>
      <c r="R73" s="6">
        <v>1</v>
      </c>
      <c r="S73" s="6">
        <v>0</v>
      </c>
      <c r="T73" s="6">
        <v>2</v>
      </c>
      <c r="U73" s="6">
        <v>1</v>
      </c>
      <c r="V73" s="6">
        <v>3</v>
      </c>
      <c r="W73" s="6">
        <v>0</v>
      </c>
      <c r="X73" s="6">
        <v>4</v>
      </c>
      <c r="AX73" s="150"/>
      <c r="AY73" s="150"/>
      <c r="AZ73" s="150"/>
      <c r="BA73" s="150"/>
      <c r="BB73" s="150"/>
      <c r="BC73" s="150"/>
      <c r="BD73" s="150"/>
      <c r="BE73" s="150"/>
      <c r="BF73" s="150"/>
      <c r="BG73" s="150"/>
      <c r="BH73" s="150"/>
      <c r="BI73" s="150"/>
      <c r="BJ73" s="150"/>
      <c r="BK73" s="150"/>
      <c r="BL73" s="150"/>
    </row>
    <row r="74" spans="1:64" ht="15.75" hidden="1" customHeight="1" x14ac:dyDescent="0.2">
      <c r="A74" s="6" t="s">
        <v>959</v>
      </c>
      <c r="B74" s="6" t="s">
        <v>392</v>
      </c>
      <c r="C74" s="6">
        <v>60390</v>
      </c>
      <c r="D74" s="6">
        <v>1929</v>
      </c>
      <c r="E74" s="6">
        <v>3.95</v>
      </c>
      <c r="F74" s="6">
        <v>28372</v>
      </c>
      <c r="G74" s="6">
        <v>774</v>
      </c>
      <c r="H74" s="6">
        <v>1.51</v>
      </c>
      <c r="I74" s="6">
        <v>3</v>
      </c>
      <c r="J74" s="6">
        <v>4</v>
      </c>
      <c r="K74" s="6">
        <v>4</v>
      </c>
      <c r="L74" s="6">
        <v>2</v>
      </c>
      <c r="M74" s="6">
        <v>4</v>
      </c>
      <c r="N74" s="6">
        <v>1</v>
      </c>
      <c r="O74" s="6">
        <v>3</v>
      </c>
      <c r="P74" s="6">
        <v>0</v>
      </c>
      <c r="Q74" s="6">
        <v>4</v>
      </c>
      <c r="R74" s="6">
        <v>0</v>
      </c>
      <c r="S74" s="6">
        <v>1</v>
      </c>
      <c r="T74" s="6">
        <v>2</v>
      </c>
      <c r="U74" s="6">
        <v>1</v>
      </c>
      <c r="V74" s="6">
        <v>2</v>
      </c>
      <c r="W74" s="6">
        <v>0</v>
      </c>
      <c r="X74" s="6">
        <v>3</v>
      </c>
      <c r="AX74" s="150"/>
      <c r="AY74" s="150"/>
      <c r="AZ74" s="150"/>
      <c r="BA74" s="150"/>
      <c r="BB74" s="150"/>
      <c r="BC74" s="150"/>
      <c r="BD74" s="150"/>
      <c r="BE74" s="150"/>
      <c r="BF74" s="150"/>
      <c r="BG74" s="150"/>
      <c r="BH74" s="150"/>
      <c r="BI74" s="150"/>
      <c r="BJ74" s="150"/>
      <c r="BK74" s="150"/>
      <c r="BL74" s="150"/>
    </row>
    <row r="75" spans="1:64" ht="15.75" hidden="1" customHeight="1" x14ac:dyDescent="0.2">
      <c r="A75" s="6" t="s">
        <v>960</v>
      </c>
      <c r="B75" s="6" t="s">
        <v>414</v>
      </c>
      <c r="C75" s="6">
        <v>29202</v>
      </c>
      <c r="D75" s="6">
        <v>1949</v>
      </c>
      <c r="E75" s="6">
        <v>3.79</v>
      </c>
      <c r="F75" s="6">
        <v>15523</v>
      </c>
      <c r="G75" s="6">
        <v>767</v>
      </c>
      <c r="H75" s="6">
        <v>1.49</v>
      </c>
      <c r="I75" s="6">
        <v>3</v>
      </c>
      <c r="J75" s="6">
        <v>4</v>
      </c>
      <c r="K75" s="6">
        <v>4</v>
      </c>
      <c r="L75" s="6">
        <v>3</v>
      </c>
      <c r="M75" s="6">
        <v>4</v>
      </c>
      <c r="N75" s="6">
        <v>2</v>
      </c>
      <c r="O75" s="6">
        <v>3</v>
      </c>
      <c r="P75" s="6">
        <v>1</v>
      </c>
      <c r="Q75" s="6">
        <v>4</v>
      </c>
      <c r="R75" s="6">
        <v>2</v>
      </c>
      <c r="S75" s="6">
        <v>2</v>
      </c>
      <c r="T75" s="6">
        <v>3</v>
      </c>
      <c r="U75" s="6">
        <v>1</v>
      </c>
      <c r="V75" s="6">
        <v>3</v>
      </c>
      <c r="W75" s="6">
        <v>1</v>
      </c>
      <c r="X75" s="6">
        <v>4</v>
      </c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</row>
    <row r="76" spans="1:64" ht="15.75" hidden="1" customHeight="1" x14ac:dyDescent="0.2">
      <c r="A76" s="6" t="s">
        <v>961</v>
      </c>
      <c r="B76" s="6" t="s">
        <v>486</v>
      </c>
      <c r="C76" s="6">
        <v>34693</v>
      </c>
      <c r="D76" s="6">
        <v>1928</v>
      </c>
      <c r="E76" s="6">
        <v>3.92</v>
      </c>
      <c r="F76" s="6">
        <v>69964</v>
      </c>
      <c r="G76" s="6">
        <v>712</v>
      </c>
      <c r="H76" s="6">
        <v>1.39</v>
      </c>
      <c r="I76" s="6">
        <v>3</v>
      </c>
      <c r="J76" s="6">
        <v>4</v>
      </c>
      <c r="K76" s="6">
        <v>4</v>
      </c>
      <c r="L76" s="6">
        <v>2</v>
      </c>
      <c r="M76" s="6">
        <v>4</v>
      </c>
      <c r="N76" s="6">
        <v>1</v>
      </c>
      <c r="O76" s="6">
        <v>3</v>
      </c>
      <c r="P76" s="6">
        <v>0</v>
      </c>
      <c r="Q76" s="6">
        <v>2</v>
      </c>
      <c r="R76" s="6">
        <v>1</v>
      </c>
      <c r="S76" s="6">
        <v>2</v>
      </c>
      <c r="T76" s="6">
        <v>4</v>
      </c>
      <c r="U76" s="6">
        <v>0</v>
      </c>
      <c r="V76" s="6">
        <v>2</v>
      </c>
      <c r="W76" s="6">
        <v>4</v>
      </c>
      <c r="X76" s="6">
        <v>3</v>
      </c>
      <c r="AX76" s="150"/>
      <c r="AY76" s="150"/>
      <c r="AZ76" s="150"/>
      <c r="BA76" s="150"/>
      <c r="BB76" s="150"/>
      <c r="BC76" s="150"/>
      <c r="BD76" s="150"/>
      <c r="BE76" s="150"/>
      <c r="BF76" s="150"/>
      <c r="BG76" s="150"/>
      <c r="BH76" s="150"/>
      <c r="BI76" s="150"/>
      <c r="BJ76" s="150"/>
      <c r="BK76" s="150"/>
      <c r="BL76" s="150"/>
    </row>
    <row r="77" spans="1:64" ht="15.75" hidden="1" customHeight="1" x14ac:dyDescent="0.2">
      <c r="A77" s="6" t="s">
        <v>962</v>
      </c>
      <c r="B77" s="6" t="s">
        <v>42</v>
      </c>
      <c r="C77" s="6">
        <v>18505</v>
      </c>
      <c r="D77" s="6">
        <v>1903</v>
      </c>
      <c r="E77" s="6">
        <v>3.63</v>
      </c>
      <c r="F77" s="6">
        <v>5179</v>
      </c>
      <c r="G77" s="6">
        <v>705</v>
      </c>
      <c r="H77" s="6">
        <v>1.37</v>
      </c>
      <c r="I77" s="6">
        <v>2</v>
      </c>
      <c r="J77" s="6">
        <v>3</v>
      </c>
      <c r="K77" s="6">
        <v>4</v>
      </c>
      <c r="L77" s="6">
        <v>1</v>
      </c>
      <c r="M77" s="6">
        <v>3</v>
      </c>
      <c r="N77" s="6">
        <v>2</v>
      </c>
      <c r="O77" s="6">
        <v>4</v>
      </c>
      <c r="P77" s="6">
        <v>0</v>
      </c>
      <c r="Q77" s="6">
        <v>1</v>
      </c>
      <c r="R77" s="6">
        <v>2</v>
      </c>
      <c r="S77" s="6">
        <v>0</v>
      </c>
      <c r="T77" s="6">
        <v>4</v>
      </c>
      <c r="U77" s="6">
        <v>0</v>
      </c>
      <c r="V77" s="6">
        <v>2</v>
      </c>
      <c r="W77" s="6">
        <v>1</v>
      </c>
      <c r="X77" s="6">
        <v>3</v>
      </c>
      <c r="AX77" s="150"/>
      <c r="AY77" s="150"/>
      <c r="AZ77" s="150"/>
      <c r="BA77" s="150"/>
      <c r="BB77" s="150"/>
      <c r="BC77" s="150"/>
      <c r="BD77" s="150"/>
      <c r="BE77" s="150"/>
      <c r="BF77" s="150"/>
      <c r="BG77" s="150"/>
      <c r="BH77" s="150"/>
      <c r="BI77" s="150"/>
      <c r="BJ77" s="150"/>
      <c r="BK77" s="150"/>
      <c r="BL77" s="150"/>
    </row>
    <row r="78" spans="1:64" ht="15.75" hidden="1" customHeight="1" x14ac:dyDescent="0.2">
      <c r="A78" s="6" t="s">
        <v>963</v>
      </c>
      <c r="B78" s="6" t="s">
        <v>433</v>
      </c>
      <c r="C78" s="6">
        <v>39766</v>
      </c>
      <c r="D78" s="6">
        <v>1958</v>
      </c>
      <c r="E78" s="6">
        <v>3.66</v>
      </c>
      <c r="F78" s="6">
        <v>16032</v>
      </c>
      <c r="G78" s="6">
        <v>638</v>
      </c>
      <c r="H78" s="6">
        <v>1.24</v>
      </c>
      <c r="I78" s="6">
        <v>2</v>
      </c>
      <c r="J78" s="6">
        <v>3</v>
      </c>
      <c r="K78" s="6">
        <v>4</v>
      </c>
      <c r="L78" s="6">
        <v>1</v>
      </c>
      <c r="M78" s="6">
        <v>4</v>
      </c>
      <c r="N78" s="6">
        <v>3</v>
      </c>
      <c r="O78" s="6">
        <v>4</v>
      </c>
      <c r="P78" s="6">
        <v>0</v>
      </c>
      <c r="Q78" s="6">
        <v>1</v>
      </c>
      <c r="R78" s="6">
        <v>3</v>
      </c>
      <c r="S78" s="6">
        <v>1</v>
      </c>
      <c r="T78" s="6">
        <v>4</v>
      </c>
      <c r="U78" s="6">
        <v>0</v>
      </c>
      <c r="V78" s="6">
        <v>2</v>
      </c>
      <c r="W78" s="6">
        <v>3</v>
      </c>
      <c r="X78" s="6">
        <v>3</v>
      </c>
      <c r="AX78" s="150"/>
      <c r="AY78" s="150"/>
      <c r="AZ78" s="150"/>
      <c r="BA78" s="150"/>
      <c r="BB78" s="150"/>
      <c r="BC78" s="150"/>
      <c r="BD78" s="150"/>
      <c r="BE78" s="150"/>
      <c r="BF78" s="150"/>
      <c r="BG78" s="150"/>
      <c r="BH78" s="150"/>
      <c r="BI78" s="150"/>
      <c r="BJ78" s="150"/>
      <c r="BK78" s="150"/>
      <c r="BL78" s="150"/>
    </row>
    <row r="79" spans="1:64" ht="15.75" hidden="1" customHeight="1" x14ac:dyDescent="0.2">
      <c r="A79" s="6" t="s">
        <v>964</v>
      </c>
      <c r="B79" s="6" t="s">
        <v>522</v>
      </c>
      <c r="C79" s="6">
        <v>15987</v>
      </c>
      <c r="D79" s="6">
        <v>1983</v>
      </c>
      <c r="E79" s="6">
        <v>3.66</v>
      </c>
      <c r="F79" s="6">
        <v>60613</v>
      </c>
      <c r="G79" s="6">
        <v>622</v>
      </c>
      <c r="H79" s="6">
        <v>1.21</v>
      </c>
      <c r="I79" s="6">
        <v>3</v>
      </c>
      <c r="J79" s="6">
        <v>4</v>
      </c>
      <c r="K79" s="6">
        <v>4</v>
      </c>
      <c r="L79" s="6">
        <v>3</v>
      </c>
      <c r="M79" s="6">
        <v>3</v>
      </c>
      <c r="N79" s="6">
        <v>2</v>
      </c>
      <c r="O79" s="6">
        <v>3</v>
      </c>
      <c r="P79" s="6">
        <v>1</v>
      </c>
      <c r="Q79" s="6">
        <v>3</v>
      </c>
      <c r="R79" s="6">
        <v>0</v>
      </c>
      <c r="S79" s="6">
        <v>1</v>
      </c>
      <c r="T79" s="6">
        <v>2</v>
      </c>
      <c r="U79" s="6">
        <v>2</v>
      </c>
      <c r="V79" s="6">
        <v>3</v>
      </c>
      <c r="W79" s="6">
        <v>1</v>
      </c>
      <c r="X79" s="6">
        <v>4</v>
      </c>
      <c r="AX79" s="150"/>
      <c r="AY79" s="150"/>
      <c r="AZ79" s="150"/>
      <c r="BA79" s="150"/>
      <c r="BB79" s="150"/>
      <c r="BC79" s="150"/>
      <c r="BD79" s="150"/>
      <c r="BE79" s="150"/>
      <c r="BF79" s="150"/>
      <c r="BG79" s="150"/>
      <c r="BH79" s="150"/>
      <c r="BI79" s="150"/>
      <c r="BJ79" s="150"/>
      <c r="BK79" s="150"/>
      <c r="BL79" s="150"/>
    </row>
    <row r="80" spans="1:64" ht="15.75" hidden="1" customHeight="1" x14ac:dyDescent="0.2">
      <c r="A80" s="6" t="s">
        <v>965</v>
      </c>
      <c r="B80" s="6" t="s">
        <v>427</v>
      </c>
      <c r="C80" s="6">
        <v>32887</v>
      </c>
      <c r="D80" s="6">
        <v>1972</v>
      </c>
      <c r="E80" s="6">
        <v>3.86</v>
      </c>
      <c r="F80" s="6">
        <v>45586</v>
      </c>
      <c r="G80" s="6">
        <v>608</v>
      </c>
      <c r="H80" s="6">
        <v>1.18</v>
      </c>
      <c r="I80" s="6">
        <v>3</v>
      </c>
      <c r="J80" s="6">
        <v>4</v>
      </c>
      <c r="K80" s="6">
        <v>4</v>
      </c>
      <c r="L80" s="6">
        <v>3</v>
      </c>
      <c r="M80" s="6">
        <v>2</v>
      </c>
      <c r="N80" s="6">
        <v>4</v>
      </c>
      <c r="O80" s="6">
        <v>3</v>
      </c>
      <c r="P80" s="6">
        <v>0</v>
      </c>
      <c r="Q80" s="6">
        <v>4</v>
      </c>
      <c r="R80" s="6">
        <v>0</v>
      </c>
      <c r="S80" s="6">
        <v>2</v>
      </c>
      <c r="T80" s="6">
        <v>3</v>
      </c>
      <c r="U80" s="6">
        <v>1</v>
      </c>
      <c r="V80" s="6">
        <v>3</v>
      </c>
      <c r="W80" s="6">
        <v>4</v>
      </c>
      <c r="X80" s="6">
        <v>3</v>
      </c>
      <c r="AX80" s="150"/>
      <c r="AY80" s="150"/>
      <c r="AZ80" s="150"/>
      <c r="BA80" s="150"/>
      <c r="BB80" s="150"/>
      <c r="BC80" s="150"/>
      <c r="BD80" s="150"/>
      <c r="BE80" s="150"/>
      <c r="BF80" s="150"/>
      <c r="BG80" s="150"/>
      <c r="BH80" s="150"/>
      <c r="BI80" s="150"/>
      <c r="BJ80" s="150"/>
      <c r="BK80" s="150"/>
      <c r="BL80" s="150"/>
    </row>
    <row r="81" spans="1:64" ht="15.75" hidden="1" customHeight="1" x14ac:dyDescent="0.2">
      <c r="A81" s="6" t="s">
        <v>966</v>
      </c>
      <c r="B81" s="6" t="s">
        <v>428</v>
      </c>
      <c r="C81" s="6">
        <v>27613</v>
      </c>
      <c r="D81" s="6">
        <v>1872</v>
      </c>
      <c r="E81" s="6">
        <v>3.86</v>
      </c>
      <c r="F81" s="6">
        <v>137485</v>
      </c>
      <c r="G81" s="6">
        <v>603</v>
      </c>
      <c r="H81" s="6">
        <v>1.17</v>
      </c>
      <c r="I81" s="6">
        <v>3</v>
      </c>
      <c r="J81" s="6">
        <v>4</v>
      </c>
      <c r="K81" s="6">
        <v>4</v>
      </c>
      <c r="L81" s="6">
        <v>2</v>
      </c>
      <c r="M81" s="6">
        <v>3</v>
      </c>
      <c r="N81" s="6">
        <v>4</v>
      </c>
      <c r="O81" s="6">
        <v>3</v>
      </c>
      <c r="P81" s="6">
        <v>0</v>
      </c>
      <c r="Q81" s="6">
        <v>3</v>
      </c>
      <c r="R81" s="6">
        <v>2</v>
      </c>
      <c r="S81" s="6">
        <v>0</v>
      </c>
      <c r="T81" s="6">
        <v>3</v>
      </c>
      <c r="U81" s="6">
        <v>1</v>
      </c>
      <c r="V81" s="6">
        <v>2</v>
      </c>
      <c r="W81" s="6">
        <v>3</v>
      </c>
      <c r="X81" s="6">
        <v>3</v>
      </c>
      <c r="AX81" s="150"/>
      <c r="AY81" s="150"/>
      <c r="AZ81" s="150"/>
      <c r="BA81" s="150"/>
      <c r="BB81" s="150"/>
      <c r="BC81" s="150"/>
      <c r="BD81" s="150"/>
      <c r="BE81" s="150"/>
      <c r="BF81" s="150"/>
      <c r="BG81" s="150"/>
      <c r="BH81" s="150"/>
      <c r="BI81" s="150"/>
      <c r="BJ81" s="150"/>
      <c r="BK81" s="150"/>
      <c r="BL81" s="150"/>
    </row>
    <row r="82" spans="1:64" ht="15.75" hidden="1" customHeight="1" x14ac:dyDescent="0.2">
      <c r="A82" s="6" t="s">
        <v>967</v>
      </c>
      <c r="B82" s="6" t="s">
        <v>416</v>
      </c>
      <c r="C82" s="6">
        <v>49808</v>
      </c>
      <c r="D82" s="6">
        <v>1896</v>
      </c>
      <c r="E82" s="6">
        <v>3.73</v>
      </c>
      <c r="F82" s="6">
        <v>125735</v>
      </c>
      <c r="G82" s="6">
        <v>592</v>
      </c>
      <c r="H82" s="6">
        <v>1.1499999999999999</v>
      </c>
      <c r="I82" s="6">
        <v>3</v>
      </c>
      <c r="J82" s="6">
        <v>4</v>
      </c>
      <c r="K82" s="6">
        <v>4</v>
      </c>
      <c r="L82" s="6">
        <v>3</v>
      </c>
      <c r="M82" s="6">
        <v>4</v>
      </c>
      <c r="N82" s="6">
        <v>2</v>
      </c>
      <c r="O82" s="6">
        <v>3</v>
      </c>
      <c r="P82" s="6">
        <v>0</v>
      </c>
      <c r="Q82" s="6">
        <v>1</v>
      </c>
      <c r="R82" s="6">
        <v>0</v>
      </c>
      <c r="S82" s="6">
        <v>2</v>
      </c>
      <c r="T82" s="6">
        <v>3</v>
      </c>
      <c r="U82" s="6">
        <v>1</v>
      </c>
      <c r="V82" s="6">
        <v>2</v>
      </c>
      <c r="W82" s="6">
        <v>0</v>
      </c>
      <c r="X82" s="6">
        <v>3</v>
      </c>
      <c r="AX82" s="150"/>
      <c r="AY82" s="150"/>
      <c r="AZ82" s="150"/>
      <c r="BA82" s="150"/>
      <c r="BB82" s="150"/>
      <c r="BC82" s="150"/>
      <c r="BD82" s="150"/>
      <c r="BE82" s="150"/>
      <c r="BF82" s="150"/>
      <c r="BG82" s="150"/>
      <c r="BH82" s="150"/>
      <c r="BI82" s="150"/>
      <c r="BJ82" s="150"/>
      <c r="BK82" s="150"/>
      <c r="BL82" s="150"/>
    </row>
    <row r="83" spans="1:64" ht="15.75" hidden="1" customHeight="1" x14ac:dyDescent="0.2">
      <c r="A83" s="6" t="s">
        <v>968</v>
      </c>
      <c r="B83" s="6" t="s">
        <v>44</v>
      </c>
      <c r="C83" s="6">
        <v>39543</v>
      </c>
      <c r="D83" s="6">
        <v>1930</v>
      </c>
      <c r="E83" s="6">
        <v>4.1399999999999997</v>
      </c>
      <c r="F83" s="6">
        <v>55852</v>
      </c>
      <c r="G83" s="6">
        <v>557</v>
      </c>
      <c r="H83" s="6">
        <v>1.08</v>
      </c>
      <c r="I83" s="6">
        <v>3</v>
      </c>
      <c r="J83" s="6">
        <v>4</v>
      </c>
      <c r="K83" s="6">
        <v>4</v>
      </c>
      <c r="L83" s="6">
        <v>2</v>
      </c>
      <c r="M83" s="6">
        <v>3</v>
      </c>
      <c r="N83" s="6">
        <v>1</v>
      </c>
      <c r="O83" s="6">
        <v>3</v>
      </c>
      <c r="P83" s="6">
        <v>0</v>
      </c>
      <c r="Q83" s="6">
        <v>1</v>
      </c>
      <c r="R83" s="6">
        <v>2</v>
      </c>
      <c r="S83" s="6">
        <v>1</v>
      </c>
      <c r="T83" s="6">
        <v>4</v>
      </c>
      <c r="U83" s="6">
        <v>1</v>
      </c>
      <c r="V83" s="6">
        <v>2</v>
      </c>
      <c r="W83" s="6">
        <v>3</v>
      </c>
      <c r="X83" s="6">
        <v>3</v>
      </c>
      <c r="AX83" s="150"/>
      <c r="AY83" s="150"/>
      <c r="AZ83" s="150"/>
      <c r="BA83" s="150"/>
      <c r="BB83" s="150"/>
      <c r="BC83" s="150"/>
      <c r="BD83" s="150"/>
      <c r="BE83" s="150"/>
      <c r="BF83" s="150"/>
      <c r="BG83" s="150"/>
      <c r="BH83" s="150"/>
      <c r="BI83" s="150"/>
      <c r="BJ83" s="150"/>
      <c r="BK83" s="150"/>
      <c r="BL83" s="150"/>
    </row>
    <row r="84" spans="1:64" ht="15.75" hidden="1" customHeight="1" x14ac:dyDescent="0.2">
      <c r="A84" s="6" t="s">
        <v>969</v>
      </c>
      <c r="B84" s="6" t="s">
        <v>543</v>
      </c>
      <c r="C84" s="6">
        <v>55321</v>
      </c>
      <c r="D84" s="6">
        <v>1913</v>
      </c>
      <c r="E84" s="6">
        <v>3.9</v>
      </c>
      <c r="F84" s="6">
        <v>55464</v>
      </c>
      <c r="G84" s="6">
        <v>554</v>
      </c>
      <c r="H84" s="6">
        <v>1.08</v>
      </c>
      <c r="I84" s="6">
        <v>2</v>
      </c>
      <c r="J84" s="6">
        <v>3</v>
      </c>
      <c r="K84" s="6">
        <v>4</v>
      </c>
      <c r="L84" s="6">
        <v>2</v>
      </c>
      <c r="M84" s="6">
        <v>3</v>
      </c>
      <c r="N84" s="6">
        <v>2</v>
      </c>
      <c r="O84" s="6">
        <v>4</v>
      </c>
      <c r="P84" s="6">
        <v>1</v>
      </c>
      <c r="Q84" s="6">
        <v>0</v>
      </c>
      <c r="R84" s="6">
        <v>3</v>
      </c>
      <c r="S84" s="6">
        <v>0</v>
      </c>
      <c r="T84" s="6">
        <v>3</v>
      </c>
      <c r="U84" s="6">
        <v>1</v>
      </c>
      <c r="V84" s="6">
        <v>2</v>
      </c>
      <c r="W84" s="6">
        <v>4</v>
      </c>
      <c r="X84" s="6">
        <v>3</v>
      </c>
      <c r="AX84" s="150"/>
      <c r="AY84" s="150"/>
      <c r="AZ84" s="150"/>
      <c r="BA84" s="150"/>
      <c r="BB84" s="150"/>
      <c r="BC84" s="150"/>
      <c r="BD84" s="150"/>
      <c r="BE84" s="150"/>
      <c r="BF84" s="150"/>
      <c r="BG84" s="150"/>
      <c r="BH84" s="150"/>
      <c r="BI84" s="150"/>
      <c r="BJ84" s="150"/>
      <c r="BK84" s="150"/>
      <c r="BL84" s="150"/>
    </row>
    <row r="85" spans="1:64" ht="15.75" customHeight="1" x14ac:dyDescent="0.2">
      <c r="A85" s="6" t="s">
        <v>970</v>
      </c>
      <c r="B85" s="6" t="s">
        <v>392</v>
      </c>
      <c r="C85" s="6">
        <v>66479</v>
      </c>
      <c r="D85" s="6">
        <v>1930</v>
      </c>
      <c r="E85" s="6">
        <v>3.87</v>
      </c>
      <c r="F85" s="6">
        <v>110152</v>
      </c>
      <c r="G85" s="6">
        <v>553</v>
      </c>
      <c r="H85" s="6">
        <v>1.08</v>
      </c>
      <c r="I85" s="6">
        <v>3</v>
      </c>
      <c r="J85" s="6">
        <v>4</v>
      </c>
      <c r="K85" s="6">
        <v>4</v>
      </c>
      <c r="L85" s="6">
        <v>2</v>
      </c>
      <c r="M85" s="6">
        <v>4</v>
      </c>
      <c r="N85" s="6">
        <v>3</v>
      </c>
      <c r="O85" s="6">
        <v>2</v>
      </c>
      <c r="P85" s="6">
        <v>0</v>
      </c>
      <c r="Q85" s="6">
        <v>4</v>
      </c>
      <c r="R85" s="6">
        <v>1</v>
      </c>
      <c r="S85" s="6">
        <v>2</v>
      </c>
      <c r="T85" s="6">
        <v>3</v>
      </c>
      <c r="U85" s="6">
        <v>1</v>
      </c>
      <c r="V85" s="6">
        <v>2</v>
      </c>
      <c r="W85" s="6">
        <v>0</v>
      </c>
      <c r="X85" s="6">
        <v>3</v>
      </c>
      <c r="AX85" s="150"/>
      <c r="AY85" s="150"/>
      <c r="AZ85" s="150"/>
      <c r="BA85" s="150"/>
      <c r="BB85" s="150"/>
      <c r="BC85" s="150"/>
      <c r="BD85" s="150"/>
      <c r="BE85" s="150"/>
      <c r="BF85" s="150"/>
      <c r="BG85" s="150"/>
      <c r="BH85" s="150"/>
      <c r="BI85" s="150"/>
      <c r="BJ85" s="150"/>
      <c r="BK85" s="150"/>
      <c r="BL85" s="150"/>
    </row>
    <row r="86" spans="1:64" ht="15.75" hidden="1" customHeight="1" x14ac:dyDescent="0.2">
      <c r="A86" s="6" t="s">
        <v>971</v>
      </c>
      <c r="B86" s="6" t="s">
        <v>382</v>
      </c>
      <c r="C86" s="6">
        <v>30047</v>
      </c>
      <c r="D86" s="6">
        <v>1986</v>
      </c>
      <c r="E86" s="6">
        <v>4.07</v>
      </c>
      <c r="F86" s="6">
        <v>61358</v>
      </c>
      <c r="G86" s="6">
        <v>531</v>
      </c>
      <c r="H86" s="6">
        <v>1.03</v>
      </c>
      <c r="I86" s="6">
        <v>3</v>
      </c>
      <c r="J86" s="6">
        <v>4</v>
      </c>
      <c r="K86" s="6">
        <v>4</v>
      </c>
      <c r="L86" s="6">
        <v>2</v>
      </c>
      <c r="M86" s="6">
        <v>3</v>
      </c>
      <c r="N86" s="6">
        <v>1</v>
      </c>
      <c r="O86" s="6">
        <v>2</v>
      </c>
      <c r="P86" s="6">
        <v>0</v>
      </c>
      <c r="Q86" s="6">
        <v>2</v>
      </c>
      <c r="R86" s="6">
        <v>1</v>
      </c>
      <c r="S86" s="6">
        <v>0</v>
      </c>
      <c r="T86" s="6">
        <v>3</v>
      </c>
      <c r="U86" s="6">
        <v>1</v>
      </c>
      <c r="V86" s="6">
        <v>2</v>
      </c>
      <c r="W86" s="6">
        <v>3</v>
      </c>
      <c r="X86" s="6">
        <v>3</v>
      </c>
      <c r="AX86" s="150"/>
      <c r="AY86" s="150"/>
      <c r="AZ86" s="150"/>
      <c r="BA86" s="150"/>
      <c r="BB86" s="150"/>
      <c r="BC86" s="150"/>
      <c r="BD86" s="150"/>
      <c r="BE86" s="150"/>
      <c r="BF86" s="150"/>
      <c r="BG86" s="150"/>
      <c r="BH86" s="150"/>
      <c r="BI86" s="150"/>
      <c r="BJ86" s="150"/>
      <c r="BK86" s="150"/>
      <c r="BL86" s="150"/>
    </row>
    <row r="87" spans="1:64" ht="15.75" hidden="1" customHeight="1" x14ac:dyDescent="0.2">
      <c r="A87" s="6" t="s">
        <v>972</v>
      </c>
      <c r="B87" s="6" t="s">
        <v>534</v>
      </c>
      <c r="C87" s="6">
        <v>40760</v>
      </c>
      <c r="D87" s="6">
        <v>1972</v>
      </c>
      <c r="E87" s="6">
        <v>4.05</v>
      </c>
      <c r="F87" s="6">
        <v>35852</v>
      </c>
      <c r="G87" s="6">
        <v>531</v>
      </c>
      <c r="H87" s="6">
        <v>1.03</v>
      </c>
      <c r="I87" s="6">
        <v>3</v>
      </c>
      <c r="J87" s="6">
        <v>4</v>
      </c>
      <c r="K87" s="6">
        <v>4</v>
      </c>
      <c r="L87" s="6">
        <v>3</v>
      </c>
      <c r="M87" s="6">
        <v>4</v>
      </c>
      <c r="N87" s="6">
        <v>2</v>
      </c>
      <c r="O87" s="6">
        <v>3</v>
      </c>
      <c r="P87" s="6">
        <v>1</v>
      </c>
      <c r="Q87" s="6">
        <v>2</v>
      </c>
      <c r="R87" s="6">
        <v>1</v>
      </c>
      <c r="S87" s="6">
        <v>3</v>
      </c>
      <c r="T87" s="6">
        <v>4</v>
      </c>
      <c r="U87" s="6">
        <v>2</v>
      </c>
      <c r="V87" s="6">
        <v>3</v>
      </c>
      <c r="W87" s="6">
        <v>2</v>
      </c>
      <c r="X87" s="6">
        <v>4</v>
      </c>
      <c r="AX87" s="150"/>
      <c r="AY87" s="150"/>
      <c r="AZ87" s="150"/>
      <c r="BA87" s="150"/>
      <c r="BB87" s="150"/>
      <c r="BC87" s="150"/>
      <c r="BD87" s="150"/>
      <c r="BE87" s="150"/>
      <c r="BF87" s="150"/>
      <c r="BG87" s="150"/>
      <c r="BH87" s="150"/>
      <c r="BI87" s="150"/>
      <c r="BJ87" s="150"/>
      <c r="BK87" s="150"/>
      <c r="BL87" s="150"/>
    </row>
    <row r="88" spans="1:64" ht="15.75" hidden="1" customHeight="1" x14ac:dyDescent="0.2">
      <c r="A88" s="6" t="s">
        <v>973</v>
      </c>
      <c r="B88" s="6" t="s">
        <v>432</v>
      </c>
      <c r="C88" s="6">
        <v>44944</v>
      </c>
      <c r="D88" s="6">
        <v>1986</v>
      </c>
      <c r="E88" s="6">
        <v>3.42</v>
      </c>
      <c r="F88" s="6">
        <v>11741</v>
      </c>
      <c r="G88" s="6">
        <v>523</v>
      </c>
      <c r="H88" s="6">
        <v>1.02</v>
      </c>
      <c r="I88" s="6">
        <v>2</v>
      </c>
      <c r="J88" s="6">
        <v>3</v>
      </c>
      <c r="K88" s="6">
        <v>4</v>
      </c>
      <c r="L88" s="6">
        <v>2</v>
      </c>
      <c r="M88" s="6">
        <v>4</v>
      </c>
      <c r="N88" s="6">
        <v>1</v>
      </c>
      <c r="O88" s="6">
        <v>3</v>
      </c>
      <c r="P88" s="6">
        <v>0</v>
      </c>
      <c r="Q88" s="6">
        <v>2</v>
      </c>
      <c r="R88" s="6">
        <v>1</v>
      </c>
      <c r="S88" s="6">
        <v>2</v>
      </c>
      <c r="T88" s="6">
        <v>3</v>
      </c>
      <c r="U88" s="6">
        <v>0</v>
      </c>
      <c r="V88" s="6">
        <v>2</v>
      </c>
      <c r="W88" s="6">
        <v>4</v>
      </c>
      <c r="X88" s="6">
        <v>3</v>
      </c>
      <c r="AX88" s="150"/>
      <c r="AY88" s="150"/>
      <c r="AZ88" s="150"/>
      <c r="BA88" s="150"/>
      <c r="BB88" s="150"/>
      <c r="BC88" s="150"/>
      <c r="BD88" s="150"/>
      <c r="BE88" s="150"/>
      <c r="BF88" s="150"/>
      <c r="BG88" s="150"/>
      <c r="BH88" s="150"/>
      <c r="BI88" s="150"/>
      <c r="BJ88" s="150"/>
      <c r="BK88" s="150"/>
      <c r="BL88" s="150"/>
    </row>
    <row r="89" spans="1:64" ht="15.75" hidden="1" customHeight="1" x14ac:dyDescent="0.2">
      <c r="A89" s="6" t="s">
        <v>974</v>
      </c>
      <c r="B89" s="6" t="s">
        <v>42</v>
      </c>
      <c r="C89" s="6">
        <v>38781</v>
      </c>
      <c r="D89" s="6">
        <v>1888</v>
      </c>
      <c r="E89" s="6">
        <v>3.7</v>
      </c>
      <c r="F89" s="6">
        <v>6306</v>
      </c>
      <c r="G89" s="6">
        <v>493</v>
      </c>
      <c r="H89" s="6">
        <v>0.96</v>
      </c>
      <c r="I89" s="6">
        <v>2</v>
      </c>
      <c r="J89" s="6">
        <v>3</v>
      </c>
      <c r="K89" s="6">
        <v>4</v>
      </c>
      <c r="L89" s="6">
        <v>2</v>
      </c>
      <c r="M89" s="6">
        <v>3</v>
      </c>
      <c r="N89" s="6">
        <v>2</v>
      </c>
      <c r="O89" s="6">
        <v>3</v>
      </c>
      <c r="P89" s="6">
        <v>1</v>
      </c>
      <c r="Q89" s="6">
        <v>3</v>
      </c>
      <c r="R89" s="6">
        <v>2</v>
      </c>
      <c r="S89" s="6">
        <v>2</v>
      </c>
      <c r="T89" s="6">
        <v>3</v>
      </c>
      <c r="U89" s="6">
        <v>1</v>
      </c>
      <c r="V89" s="6">
        <v>2</v>
      </c>
      <c r="W89" s="6">
        <v>3</v>
      </c>
      <c r="X89" s="6">
        <v>3</v>
      </c>
      <c r="AX89" s="150"/>
      <c r="AY89" s="150"/>
      <c r="AZ89" s="150"/>
      <c r="BA89" s="150"/>
      <c r="BB89" s="150"/>
      <c r="BC89" s="150"/>
      <c r="BD89" s="150"/>
      <c r="BE89" s="150"/>
      <c r="BF89" s="150"/>
      <c r="BG89" s="150"/>
      <c r="BH89" s="150"/>
      <c r="BI89" s="150"/>
      <c r="BJ89" s="150"/>
      <c r="BK89" s="150"/>
      <c r="BL89" s="150"/>
    </row>
    <row r="90" spans="1:64" ht="15.75" hidden="1" customHeight="1" x14ac:dyDescent="0.2">
      <c r="A90" s="6" t="s">
        <v>975</v>
      </c>
      <c r="B90" s="6" t="s">
        <v>523</v>
      </c>
      <c r="C90" s="6">
        <v>39219</v>
      </c>
      <c r="D90" s="6">
        <v>2010</v>
      </c>
      <c r="E90" s="6">
        <v>3.52</v>
      </c>
      <c r="F90" s="6">
        <v>229702</v>
      </c>
      <c r="G90" s="6">
        <v>484</v>
      </c>
      <c r="H90" s="6">
        <v>0.94</v>
      </c>
      <c r="I90" s="6">
        <v>2</v>
      </c>
      <c r="J90" s="6">
        <v>3</v>
      </c>
      <c r="K90" s="6">
        <v>3</v>
      </c>
      <c r="L90" s="6">
        <v>1</v>
      </c>
      <c r="M90" s="6">
        <v>4</v>
      </c>
      <c r="N90" s="6">
        <v>2</v>
      </c>
      <c r="O90" s="6">
        <v>3</v>
      </c>
      <c r="P90" s="6">
        <v>0</v>
      </c>
      <c r="Q90" s="6">
        <v>2</v>
      </c>
      <c r="R90" s="6">
        <v>1</v>
      </c>
      <c r="S90" s="6">
        <v>2</v>
      </c>
      <c r="T90" s="6">
        <v>4</v>
      </c>
      <c r="U90" s="6">
        <v>1</v>
      </c>
      <c r="V90" s="6">
        <v>1</v>
      </c>
      <c r="W90" s="6">
        <v>3</v>
      </c>
      <c r="X90" s="6">
        <v>3</v>
      </c>
      <c r="AX90" s="150"/>
      <c r="AY90" s="150"/>
      <c r="AZ90" s="150"/>
      <c r="BA90" s="150"/>
      <c r="BB90" s="150"/>
      <c r="BC90" s="150"/>
      <c r="BD90" s="150"/>
      <c r="BE90" s="150"/>
      <c r="BF90" s="150"/>
      <c r="BG90" s="150"/>
      <c r="BH90" s="150"/>
      <c r="BI90" s="150"/>
      <c r="BJ90" s="150"/>
      <c r="BK90" s="150"/>
      <c r="BL90" s="150"/>
    </row>
    <row r="91" spans="1:64" ht="15.75" hidden="1" customHeight="1" x14ac:dyDescent="0.2">
      <c r="A91" s="6" t="s">
        <v>976</v>
      </c>
      <c r="B91" s="6" t="s">
        <v>375</v>
      </c>
      <c r="C91" s="6">
        <v>39001</v>
      </c>
      <c r="D91" s="6">
        <v>1966</v>
      </c>
      <c r="E91" s="6">
        <v>3.85</v>
      </c>
      <c r="F91" s="6">
        <v>4242</v>
      </c>
      <c r="G91" s="6">
        <v>478</v>
      </c>
      <c r="H91" s="6">
        <v>0.93</v>
      </c>
      <c r="I91" s="6">
        <v>2</v>
      </c>
      <c r="J91" s="6">
        <v>3</v>
      </c>
      <c r="K91" s="6">
        <v>4</v>
      </c>
      <c r="L91" s="6">
        <v>2</v>
      </c>
      <c r="M91" s="6">
        <v>3</v>
      </c>
      <c r="N91" s="6">
        <v>1</v>
      </c>
      <c r="O91" s="6">
        <v>4</v>
      </c>
      <c r="P91" s="6">
        <v>2</v>
      </c>
      <c r="Q91" s="6">
        <v>1</v>
      </c>
      <c r="R91" s="6">
        <v>3</v>
      </c>
      <c r="S91" s="6">
        <v>2</v>
      </c>
      <c r="T91" s="6">
        <v>1</v>
      </c>
      <c r="U91" s="6">
        <v>2</v>
      </c>
      <c r="V91" s="6">
        <v>3</v>
      </c>
      <c r="W91" s="6">
        <v>2</v>
      </c>
      <c r="X91" s="6">
        <v>4</v>
      </c>
      <c r="AX91" s="150"/>
      <c r="AY91" s="150"/>
      <c r="AZ91" s="150"/>
      <c r="BA91" s="150"/>
      <c r="BB91" s="150"/>
      <c r="BC91" s="150"/>
      <c r="BD91" s="150"/>
      <c r="BE91" s="150"/>
      <c r="BF91" s="150"/>
      <c r="BG91" s="150"/>
      <c r="BH91" s="150"/>
      <c r="BI91" s="150"/>
      <c r="BJ91" s="150"/>
      <c r="BK91" s="150"/>
      <c r="BL91" s="150"/>
    </row>
    <row r="92" spans="1:64" ht="15.75" customHeight="1" x14ac:dyDescent="0.2">
      <c r="A92" s="6" t="s">
        <v>977</v>
      </c>
      <c r="B92" s="6" t="s">
        <v>425</v>
      </c>
      <c r="C92" s="6">
        <v>36743</v>
      </c>
      <c r="D92" s="6">
        <v>2007</v>
      </c>
      <c r="E92" s="6">
        <v>3.61</v>
      </c>
      <c r="F92" s="6">
        <v>96791</v>
      </c>
      <c r="G92" s="6">
        <v>475</v>
      </c>
      <c r="H92" s="6">
        <v>0.92</v>
      </c>
      <c r="I92" s="6">
        <v>2</v>
      </c>
      <c r="J92" s="6">
        <v>3</v>
      </c>
      <c r="K92" s="6">
        <v>4</v>
      </c>
      <c r="L92" s="6">
        <v>1</v>
      </c>
      <c r="M92" s="6">
        <v>3</v>
      </c>
      <c r="N92" s="6">
        <v>4</v>
      </c>
      <c r="O92" s="6">
        <v>3</v>
      </c>
      <c r="P92" s="6">
        <v>0</v>
      </c>
      <c r="Q92" s="6">
        <v>1</v>
      </c>
      <c r="R92" s="6">
        <v>2</v>
      </c>
      <c r="S92" s="6">
        <v>1</v>
      </c>
      <c r="T92" s="6">
        <v>4</v>
      </c>
      <c r="U92" s="6">
        <v>1</v>
      </c>
      <c r="V92" s="6">
        <v>2</v>
      </c>
      <c r="W92" s="6">
        <v>3</v>
      </c>
      <c r="X92" s="6">
        <v>3</v>
      </c>
      <c r="AX92" s="150"/>
      <c r="AY92" s="150"/>
      <c r="AZ92" s="150"/>
      <c r="BA92" s="150"/>
      <c r="BB92" s="150"/>
      <c r="BC92" s="150"/>
      <c r="BD92" s="150"/>
      <c r="BE92" s="150"/>
      <c r="BF92" s="150"/>
      <c r="BG92" s="150"/>
      <c r="BH92" s="150"/>
      <c r="BI92" s="150"/>
      <c r="BJ92" s="150"/>
      <c r="BK92" s="150"/>
      <c r="BL92" s="150"/>
    </row>
    <row r="93" spans="1:64" ht="15.75" hidden="1" customHeight="1" x14ac:dyDescent="0.2">
      <c r="A93" s="6" t="s">
        <v>978</v>
      </c>
      <c r="B93" s="6" t="s">
        <v>392</v>
      </c>
      <c r="C93" s="6">
        <v>64429</v>
      </c>
      <c r="D93" s="6">
        <v>1931</v>
      </c>
      <c r="E93" s="6">
        <v>3.92</v>
      </c>
      <c r="F93" s="6">
        <v>13053</v>
      </c>
      <c r="G93" s="6">
        <v>474</v>
      </c>
      <c r="H93" s="6">
        <v>0.92</v>
      </c>
      <c r="I93" s="6">
        <v>3</v>
      </c>
      <c r="J93" s="6">
        <v>4</v>
      </c>
      <c r="K93" s="6">
        <v>4</v>
      </c>
      <c r="L93" s="6">
        <v>2</v>
      </c>
      <c r="M93" s="6">
        <v>4</v>
      </c>
      <c r="N93" s="6">
        <v>3</v>
      </c>
      <c r="O93" s="6">
        <v>2</v>
      </c>
      <c r="P93" s="6">
        <v>1</v>
      </c>
      <c r="Q93" s="6">
        <v>4</v>
      </c>
      <c r="R93" s="6">
        <v>2</v>
      </c>
      <c r="S93" s="6">
        <v>3</v>
      </c>
      <c r="T93" s="6">
        <v>4</v>
      </c>
      <c r="U93" s="6">
        <v>1</v>
      </c>
      <c r="V93" s="6">
        <v>2</v>
      </c>
      <c r="W93" s="6">
        <v>3</v>
      </c>
      <c r="X93" s="6">
        <v>3</v>
      </c>
      <c r="AX93" s="150"/>
      <c r="AY93" s="150"/>
      <c r="AZ93" s="150"/>
      <c r="BA93" s="150"/>
      <c r="BB93" s="150"/>
      <c r="BC93" s="150"/>
      <c r="BD93" s="150"/>
      <c r="BE93" s="150"/>
      <c r="BF93" s="150"/>
      <c r="BG93" s="150"/>
      <c r="BH93" s="150"/>
      <c r="BI93" s="150"/>
      <c r="BJ93" s="150"/>
      <c r="BK93" s="150"/>
      <c r="BL93" s="150"/>
    </row>
    <row r="94" spans="1:64" ht="15.75" hidden="1" customHeight="1" x14ac:dyDescent="0.2">
      <c r="A94" s="6" t="s">
        <v>979</v>
      </c>
      <c r="B94" s="6" t="s">
        <v>544</v>
      </c>
      <c r="C94" s="6">
        <v>103854</v>
      </c>
      <c r="D94" s="6">
        <v>1958</v>
      </c>
      <c r="E94" s="6">
        <v>3.83</v>
      </c>
      <c r="F94" s="6">
        <v>1887</v>
      </c>
      <c r="G94" s="6">
        <v>467</v>
      </c>
      <c r="H94" s="6">
        <v>0.91</v>
      </c>
      <c r="I94" s="6">
        <v>3</v>
      </c>
      <c r="J94" s="6">
        <v>4</v>
      </c>
      <c r="K94" s="6">
        <v>4</v>
      </c>
      <c r="L94" s="6">
        <v>3</v>
      </c>
      <c r="M94" s="6">
        <v>4</v>
      </c>
      <c r="N94" s="6">
        <v>2</v>
      </c>
      <c r="O94" s="6">
        <v>4</v>
      </c>
      <c r="P94" s="6">
        <v>1</v>
      </c>
      <c r="Q94" s="6">
        <v>2</v>
      </c>
      <c r="R94" s="6">
        <v>1</v>
      </c>
      <c r="S94" s="6">
        <v>3</v>
      </c>
      <c r="T94" s="6">
        <v>4</v>
      </c>
      <c r="U94" s="6">
        <v>1</v>
      </c>
      <c r="V94" s="6">
        <v>3</v>
      </c>
      <c r="W94" s="6">
        <v>2</v>
      </c>
      <c r="X94" s="6">
        <v>4</v>
      </c>
      <c r="AX94" s="150"/>
      <c r="AY94" s="150"/>
      <c r="AZ94" s="150"/>
      <c r="BA94" s="150"/>
      <c r="BB94" s="150"/>
      <c r="BC94" s="150"/>
      <c r="BD94" s="150"/>
      <c r="BE94" s="150"/>
      <c r="BF94" s="150"/>
      <c r="BG94" s="150"/>
      <c r="BH94" s="150"/>
      <c r="BI94" s="150"/>
      <c r="BJ94" s="150"/>
      <c r="BK94" s="150"/>
      <c r="BL94" s="150"/>
    </row>
    <row r="95" spans="1:64" ht="15.75" customHeight="1" x14ac:dyDescent="0.2">
      <c r="A95" s="6" t="s">
        <v>980</v>
      </c>
      <c r="B95" s="6" t="s">
        <v>23</v>
      </c>
      <c r="C95" s="6">
        <v>11750</v>
      </c>
      <c r="D95" s="6">
        <v>1950</v>
      </c>
      <c r="E95" s="6">
        <v>4</v>
      </c>
      <c r="F95" s="6">
        <v>8170</v>
      </c>
      <c r="G95" s="6">
        <v>457</v>
      </c>
      <c r="H95" s="6">
        <v>0.89</v>
      </c>
      <c r="I95" s="6">
        <v>3</v>
      </c>
      <c r="J95" s="6">
        <v>4</v>
      </c>
      <c r="K95" s="6">
        <v>4</v>
      </c>
      <c r="L95" s="6">
        <v>3</v>
      </c>
      <c r="M95" s="6">
        <v>2</v>
      </c>
      <c r="N95" s="6">
        <v>3</v>
      </c>
      <c r="O95" s="6">
        <v>2</v>
      </c>
      <c r="P95" s="6">
        <v>3</v>
      </c>
      <c r="Q95" s="6">
        <v>1</v>
      </c>
      <c r="R95" s="6">
        <v>3</v>
      </c>
      <c r="S95" s="6">
        <v>2</v>
      </c>
      <c r="T95" s="6">
        <v>0</v>
      </c>
      <c r="U95" s="6">
        <v>1</v>
      </c>
      <c r="V95" s="6">
        <v>2</v>
      </c>
      <c r="W95" s="6">
        <v>3</v>
      </c>
      <c r="X95" s="6">
        <v>4</v>
      </c>
      <c r="AX95" s="150"/>
      <c r="AY95" s="150"/>
      <c r="AZ95" s="150"/>
      <c r="BA95" s="150"/>
      <c r="BB95" s="150"/>
      <c r="BC95" s="150"/>
      <c r="BD95" s="150"/>
      <c r="BE95" s="150"/>
      <c r="BF95" s="150"/>
      <c r="BG95" s="150"/>
      <c r="BH95" s="150"/>
      <c r="BI95" s="150"/>
      <c r="BJ95" s="150"/>
      <c r="BK95" s="150"/>
      <c r="BL95" s="150"/>
    </row>
    <row r="96" spans="1:64" ht="15.75" hidden="1" customHeight="1" x14ac:dyDescent="0.2">
      <c r="A96" s="6" t="s">
        <v>981</v>
      </c>
      <c r="B96" s="6" t="s">
        <v>406</v>
      </c>
      <c r="C96" s="6">
        <v>32155</v>
      </c>
      <c r="D96" s="6">
        <v>1954</v>
      </c>
      <c r="E96" s="6">
        <v>3.63</v>
      </c>
      <c r="F96" s="6">
        <v>2165</v>
      </c>
      <c r="G96" s="6">
        <v>433</v>
      </c>
      <c r="H96" s="6">
        <v>0.84</v>
      </c>
      <c r="I96" s="6">
        <v>2</v>
      </c>
      <c r="J96" s="6">
        <v>3</v>
      </c>
      <c r="K96" s="6">
        <v>4</v>
      </c>
      <c r="L96" s="6">
        <v>1</v>
      </c>
      <c r="M96" s="6">
        <v>4</v>
      </c>
      <c r="N96" s="6">
        <v>2</v>
      </c>
      <c r="O96" s="6">
        <v>3</v>
      </c>
      <c r="P96" s="6">
        <v>1</v>
      </c>
      <c r="Q96" s="6">
        <v>3</v>
      </c>
      <c r="R96" s="6">
        <v>1</v>
      </c>
      <c r="S96" s="6">
        <v>3</v>
      </c>
      <c r="T96" s="6">
        <v>2</v>
      </c>
      <c r="U96" s="6">
        <v>1</v>
      </c>
      <c r="V96" s="6">
        <v>2</v>
      </c>
      <c r="W96" s="6">
        <v>3</v>
      </c>
      <c r="X96" s="6">
        <v>3</v>
      </c>
      <c r="AX96" s="150"/>
      <c r="AY96" s="150"/>
      <c r="AZ96" s="150"/>
      <c r="BA96" s="150"/>
      <c r="BB96" s="150"/>
      <c r="BC96" s="150"/>
      <c r="BD96" s="150"/>
      <c r="BE96" s="150"/>
      <c r="BF96" s="150"/>
      <c r="BG96" s="150"/>
      <c r="BH96" s="150"/>
      <c r="BI96" s="150"/>
      <c r="BJ96" s="150"/>
      <c r="BK96" s="150"/>
      <c r="BL96" s="150"/>
    </row>
    <row r="97" spans="1:64" ht="15.75" hidden="1" customHeight="1" x14ac:dyDescent="0.2">
      <c r="A97" s="6" t="s">
        <v>982</v>
      </c>
      <c r="B97" s="6" t="s">
        <v>418</v>
      </c>
      <c r="C97" s="6">
        <v>41233</v>
      </c>
      <c r="D97" s="6">
        <v>1936</v>
      </c>
      <c r="E97" s="6">
        <v>3.8</v>
      </c>
      <c r="F97" s="6">
        <v>57267</v>
      </c>
      <c r="G97" s="6">
        <v>432</v>
      </c>
      <c r="H97" s="6">
        <v>0.84</v>
      </c>
      <c r="I97" s="6">
        <v>2</v>
      </c>
      <c r="J97" s="6">
        <v>3</v>
      </c>
      <c r="K97" s="6">
        <v>4</v>
      </c>
      <c r="L97" s="6">
        <v>2</v>
      </c>
      <c r="M97" s="6">
        <v>3</v>
      </c>
      <c r="N97" s="6">
        <v>3</v>
      </c>
      <c r="O97" s="6">
        <v>2</v>
      </c>
      <c r="P97" s="6">
        <v>0</v>
      </c>
      <c r="Q97" s="6">
        <v>3</v>
      </c>
      <c r="R97" s="6">
        <v>0</v>
      </c>
      <c r="S97" s="6">
        <v>1</v>
      </c>
      <c r="T97" s="6">
        <v>4</v>
      </c>
      <c r="U97" s="6">
        <v>1</v>
      </c>
      <c r="V97" s="6">
        <v>2</v>
      </c>
      <c r="W97" s="6">
        <v>0</v>
      </c>
      <c r="X97" s="6">
        <v>3</v>
      </c>
      <c r="AX97" s="150"/>
      <c r="AY97" s="150"/>
      <c r="AZ97" s="150"/>
      <c r="BA97" s="150"/>
      <c r="BB97" s="150"/>
      <c r="BC97" s="150"/>
      <c r="BD97" s="150"/>
      <c r="BE97" s="150"/>
      <c r="BF97" s="150"/>
      <c r="BG97" s="150"/>
      <c r="BH97" s="150"/>
      <c r="BI97" s="150"/>
      <c r="BJ97" s="150"/>
      <c r="BK97" s="150"/>
      <c r="BL97" s="150"/>
    </row>
    <row r="98" spans="1:64" ht="15.75" hidden="1" customHeight="1" x14ac:dyDescent="0.2">
      <c r="A98" s="6" t="s">
        <v>983</v>
      </c>
      <c r="B98" s="6" t="s">
        <v>356</v>
      </c>
      <c r="C98" s="6">
        <v>54775</v>
      </c>
      <c r="D98" s="6">
        <v>1959</v>
      </c>
      <c r="E98" s="6">
        <v>3.9</v>
      </c>
      <c r="F98" s="6">
        <v>3067</v>
      </c>
      <c r="G98" s="6">
        <v>429</v>
      </c>
      <c r="H98" s="6">
        <v>0.84</v>
      </c>
      <c r="I98" s="6">
        <v>1</v>
      </c>
      <c r="J98" s="6">
        <v>2</v>
      </c>
      <c r="K98" s="6">
        <v>3</v>
      </c>
      <c r="L98" s="6">
        <v>1</v>
      </c>
      <c r="M98" s="6">
        <v>4</v>
      </c>
      <c r="N98" s="6">
        <v>2</v>
      </c>
      <c r="O98" s="6">
        <v>3</v>
      </c>
      <c r="P98" s="6">
        <v>0</v>
      </c>
      <c r="Q98" s="6">
        <v>1</v>
      </c>
      <c r="R98" s="6">
        <v>0</v>
      </c>
      <c r="S98" s="6">
        <v>2</v>
      </c>
      <c r="T98" s="6">
        <v>4</v>
      </c>
      <c r="U98" s="6">
        <v>0</v>
      </c>
      <c r="V98" s="6">
        <v>2</v>
      </c>
      <c r="W98" s="6">
        <v>0</v>
      </c>
      <c r="X98" s="6">
        <v>3</v>
      </c>
      <c r="AX98" s="150"/>
      <c r="AY98" s="150"/>
      <c r="AZ98" s="150"/>
      <c r="BA98" s="150"/>
      <c r="BB98" s="150"/>
      <c r="BC98" s="150"/>
      <c r="BD98" s="150"/>
      <c r="BE98" s="150"/>
      <c r="BF98" s="150"/>
      <c r="BG98" s="150"/>
      <c r="BH98" s="150"/>
      <c r="BI98" s="150"/>
      <c r="BJ98" s="150"/>
      <c r="BK98" s="150"/>
      <c r="BL98" s="150"/>
    </row>
    <row r="99" spans="1:64" ht="15.75" hidden="1" customHeight="1" x14ac:dyDescent="0.2">
      <c r="A99" s="6" t="s">
        <v>984</v>
      </c>
      <c r="B99" s="6" t="s">
        <v>441</v>
      </c>
      <c r="C99" s="6">
        <v>21436</v>
      </c>
      <c r="D99" s="6">
        <v>1976</v>
      </c>
      <c r="E99" s="6">
        <v>3.78</v>
      </c>
      <c r="F99" s="6">
        <v>6841</v>
      </c>
      <c r="G99" s="6">
        <v>428</v>
      </c>
      <c r="H99" s="6">
        <v>0.83</v>
      </c>
      <c r="I99" s="6">
        <v>2</v>
      </c>
      <c r="J99" s="6">
        <v>3</v>
      </c>
      <c r="K99" s="6">
        <v>4</v>
      </c>
      <c r="L99" s="6">
        <v>2</v>
      </c>
      <c r="M99" s="6">
        <v>3</v>
      </c>
      <c r="N99" s="6">
        <v>1</v>
      </c>
      <c r="O99" s="6">
        <v>3</v>
      </c>
      <c r="P99" s="6">
        <v>0</v>
      </c>
      <c r="Q99" s="6">
        <v>1</v>
      </c>
      <c r="R99" s="6">
        <v>0</v>
      </c>
      <c r="S99" s="6">
        <v>2</v>
      </c>
      <c r="T99" s="6">
        <v>3</v>
      </c>
      <c r="U99" s="6">
        <v>0</v>
      </c>
      <c r="V99" s="6">
        <v>2</v>
      </c>
      <c r="W99" s="6">
        <v>4</v>
      </c>
      <c r="X99" s="6">
        <v>3</v>
      </c>
      <c r="AX99" s="150"/>
      <c r="AY99" s="150"/>
      <c r="AZ99" s="150"/>
      <c r="BA99" s="150"/>
      <c r="BB99" s="150"/>
      <c r="BC99" s="150"/>
      <c r="BD99" s="150"/>
      <c r="BE99" s="150"/>
      <c r="BF99" s="150"/>
      <c r="BG99" s="150"/>
      <c r="BH99" s="150"/>
      <c r="BI99" s="150"/>
      <c r="BJ99" s="150"/>
      <c r="BK99" s="150"/>
      <c r="BL99" s="150"/>
    </row>
    <row r="100" spans="1:64" ht="15.75" hidden="1" customHeight="1" x14ac:dyDescent="0.2">
      <c r="A100" s="6" t="s">
        <v>985</v>
      </c>
      <c r="B100" s="6" t="s">
        <v>374</v>
      </c>
      <c r="C100" s="6">
        <v>30418</v>
      </c>
      <c r="D100" s="6">
        <v>1844</v>
      </c>
      <c r="E100" s="6">
        <v>4</v>
      </c>
      <c r="F100" s="6">
        <v>1330</v>
      </c>
      <c r="G100" s="6">
        <v>419</v>
      </c>
      <c r="H100" s="6">
        <v>0.82</v>
      </c>
      <c r="I100" s="6">
        <v>3</v>
      </c>
      <c r="J100" s="6">
        <v>4</v>
      </c>
      <c r="K100" s="6">
        <v>4</v>
      </c>
      <c r="L100" s="6">
        <v>3</v>
      </c>
      <c r="M100" s="6">
        <v>4</v>
      </c>
      <c r="N100" s="6">
        <v>2</v>
      </c>
      <c r="O100" s="6">
        <v>3</v>
      </c>
      <c r="P100" s="6">
        <v>3</v>
      </c>
      <c r="Q100" s="6">
        <v>1</v>
      </c>
      <c r="R100" s="6">
        <v>2</v>
      </c>
      <c r="S100" s="6">
        <v>4</v>
      </c>
      <c r="T100" s="6">
        <v>2</v>
      </c>
      <c r="U100" s="6">
        <v>2</v>
      </c>
      <c r="V100" s="6">
        <v>3</v>
      </c>
      <c r="W100" s="6">
        <v>3</v>
      </c>
      <c r="X100" s="6">
        <v>3</v>
      </c>
      <c r="AX100" s="150"/>
      <c r="AY100" s="150"/>
      <c r="AZ100" s="150"/>
      <c r="BA100" s="150"/>
      <c r="BB100" s="150"/>
      <c r="BC100" s="150"/>
      <c r="BD100" s="150"/>
      <c r="BE100" s="150"/>
      <c r="BF100" s="150"/>
      <c r="BG100" s="150"/>
      <c r="BH100" s="150"/>
      <c r="BI100" s="150"/>
      <c r="BJ100" s="150"/>
      <c r="BK100" s="150"/>
      <c r="BL100" s="150"/>
    </row>
    <row r="101" spans="1:64" ht="15.75" hidden="1" customHeight="1" x14ac:dyDescent="0.2">
      <c r="A101" s="6" t="s">
        <v>986</v>
      </c>
      <c r="B101" s="6" t="s">
        <v>381</v>
      </c>
      <c r="C101" s="6">
        <v>20038</v>
      </c>
      <c r="D101" s="6">
        <v>2020</v>
      </c>
      <c r="E101" s="6">
        <v>3.21</v>
      </c>
      <c r="F101" s="6">
        <v>9642</v>
      </c>
      <c r="G101" s="6">
        <v>397</v>
      </c>
      <c r="H101" s="6">
        <v>0.77</v>
      </c>
      <c r="I101" s="6">
        <v>2</v>
      </c>
      <c r="J101" s="6">
        <v>3</v>
      </c>
      <c r="K101" s="6">
        <v>4</v>
      </c>
      <c r="L101" s="6">
        <v>3</v>
      </c>
      <c r="M101" s="6">
        <v>2</v>
      </c>
      <c r="N101" s="6">
        <v>3</v>
      </c>
      <c r="O101" s="6">
        <v>4</v>
      </c>
      <c r="P101" s="6">
        <v>0</v>
      </c>
      <c r="Q101" s="6">
        <v>1</v>
      </c>
      <c r="R101" s="6">
        <v>0</v>
      </c>
      <c r="S101" s="6">
        <v>2</v>
      </c>
      <c r="T101" s="6">
        <v>3</v>
      </c>
      <c r="U101" s="6">
        <v>1</v>
      </c>
      <c r="V101" s="6">
        <v>3</v>
      </c>
      <c r="W101" s="6">
        <v>2</v>
      </c>
      <c r="X101" s="6">
        <v>4</v>
      </c>
      <c r="AX101" s="150"/>
      <c r="AY101" s="150"/>
      <c r="AZ101" s="150"/>
      <c r="BA101" s="150"/>
      <c r="BB101" s="150"/>
      <c r="BC101" s="150"/>
      <c r="BD101" s="150"/>
      <c r="BE101" s="150"/>
      <c r="BF101" s="150"/>
      <c r="BG101" s="150"/>
      <c r="BH101" s="150"/>
      <c r="BI101" s="150"/>
      <c r="BJ101" s="150"/>
      <c r="BK101" s="150"/>
      <c r="BL101" s="150"/>
    </row>
    <row r="102" spans="1:64" ht="15.75" hidden="1" customHeight="1" x14ac:dyDescent="0.2">
      <c r="A102" s="6" t="s">
        <v>987</v>
      </c>
      <c r="B102" s="6" t="s">
        <v>363</v>
      </c>
      <c r="C102" s="6">
        <v>44210</v>
      </c>
      <c r="D102" s="6">
        <v>1688</v>
      </c>
      <c r="E102" s="6">
        <v>4.17</v>
      </c>
      <c r="F102" s="6">
        <v>219423</v>
      </c>
      <c r="G102" s="6">
        <v>395</v>
      </c>
      <c r="H102" s="6">
        <v>0.77</v>
      </c>
      <c r="I102" s="6">
        <v>3</v>
      </c>
      <c r="J102" s="6">
        <v>4</v>
      </c>
      <c r="K102" s="6">
        <v>4</v>
      </c>
      <c r="L102" s="6">
        <v>3</v>
      </c>
      <c r="M102" s="6">
        <v>4</v>
      </c>
      <c r="N102" s="6">
        <v>2</v>
      </c>
      <c r="O102" s="6">
        <v>4</v>
      </c>
      <c r="P102" s="6">
        <v>0</v>
      </c>
      <c r="Q102" s="6">
        <v>0</v>
      </c>
      <c r="R102" s="6">
        <v>3</v>
      </c>
      <c r="S102" s="6">
        <v>1</v>
      </c>
      <c r="T102" s="6">
        <v>4</v>
      </c>
      <c r="U102" s="6">
        <v>1</v>
      </c>
      <c r="V102" s="6">
        <v>2</v>
      </c>
      <c r="W102" s="6">
        <v>2</v>
      </c>
      <c r="X102" s="6">
        <v>3</v>
      </c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  <c r="BL102" s="150"/>
    </row>
    <row r="103" spans="1:64" ht="15.75" hidden="1" customHeight="1" x14ac:dyDescent="0.2">
      <c r="A103" s="6" t="s">
        <v>988</v>
      </c>
      <c r="B103" s="6" t="s">
        <v>437</v>
      </c>
      <c r="C103" s="6">
        <v>16742</v>
      </c>
      <c r="D103" s="6">
        <v>1934</v>
      </c>
      <c r="E103" s="6">
        <v>3.01</v>
      </c>
      <c r="F103" s="6">
        <v>15644</v>
      </c>
      <c r="G103" s="6">
        <v>393</v>
      </c>
      <c r="H103" s="6">
        <v>0.76</v>
      </c>
      <c r="I103" s="6">
        <v>2</v>
      </c>
      <c r="J103" s="6">
        <v>3</v>
      </c>
      <c r="K103" s="6">
        <v>4</v>
      </c>
      <c r="L103" s="6">
        <v>2</v>
      </c>
      <c r="M103" s="6">
        <v>3</v>
      </c>
      <c r="N103" s="6">
        <v>4</v>
      </c>
      <c r="O103" s="6">
        <v>4</v>
      </c>
      <c r="P103" s="6">
        <v>2</v>
      </c>
      <c r="Q103" s="6">
        <v>0</v>
      </c>
      <c r="R103" s="6">
        <v>2</v>
      </c>
      <c r="S103" s="6">
        <v>1</v>
      </c>
      <c r="T103" s="6">
        <v>2</v>
      </c>
      <c r="U103" s="6">
        <v>1</v>
      </c>
      <c r="V103" s="6">
        <v>2</v>
      </c>
      <c r="W103" s="6">
        <v>1</v>
      </c>
      <c r="X103" s="6">
        <v>3</v>
      </c>
      <c r="AX103" s="150"/>
      <c r="AY103" s="150"/>
      <c r="AZ103" s="150"/>
      <c r="BA103" s="150"/>
      <c r="BB103" s="150"/>
      <c r="BC103" s="150"/>
      <c r="BD103" s="150"/>
      <c r="BE103" s="150"/>
      <c r="BF103" s="150"/>
      <c r="BG103" s="150"/>
      <c r="BH103" s="150"/>
      <c r="BI103" s="150"/>
      <c r="BJ103" s="150"/>
      <c r="BK103" s="150"/>
      <c r="BL103" s="150"/>
    </row>
    <row r="104" spans="1:64" ht="15.75" hidden="1" customHeight="1" x14ac:dyDescent="0.2">
      <c r="A104" s="6" t="s">
        <v>989</v>
      </c>
      <c r="B104" s="6" t="s">
        <v>362</v>
      </c>
      <c r="C104" s="6">
        <v>67115</v>
      </c>
      <c r="D104" s="6">
        <v>2010</v>
      </c>
      <c r="E104" s="6">
        <v>3.97</v>
      </c>
      <c r="F104" s="6">
        <v>13755</v>
      </c>
      <c r="G104" s="6">
        <v>392</v>
      </c>
      <c r="H104" s="6">
        <v>0.76</v>
      </c>
      <c r="I104" s="6">
        <v>2</v>
      </c>
      <c r="J104" s="6">
        <v>3</v>
      </c>
      <c r="K104" s="6">
        <v>4</v>
      </c>
      <c r="L104" s="6">
        <v>2</v>
      </c>
      <c r="M104" s="6">
        <v>4</v>
      </c>
      <c r="N104" s="6">
        <v>1</v>
      </c>
      <c r="O104" s="6">
        <v>4</v>
      </c>
      <c r="P104" s="6">
        <v>0</v>
      </c>
      <c r="Q104" s="6">
        <v>1</v>
      </c>
      <c r="R104" s="6">
        <v>1</v>
      </c>
      <c r="S104" s="6">
        <v>0</v>
      </c>
      <c r="T104" s="6">
        <v>4</v>
      </c>
      <c r="U104" s="6">
        <v>1</v>
      </c>
      <c r="V104" s="6">
        <v>3</v>
      </c>
      <c r="W104" s="6">
        <v>4</v>
      </c>
      <c r="X104" s="6">
        <v>3</v>
      </c>
      <c r="AX104" s="150"/>
      <c r="AY104" s="150"/>
      <c r="AZ104" s="150"/>
      <c r="BA104" s="150"/>
      <c r="BB104" s="150"/>
      <c r="BC104" s="150"/>
      <c r="BD104" s="150"/>
      <c r="BE104" s="150"/>
      <c r="BF104" s="150"/>
      <c r="BG104" s="150"/>
      <c r="BH104" s="150"/>
      <c r="BI104" s="150"/>
      <c r="BJ104" s="150"/>
      <c r="BK104" s="150"/>
      <c r="BL104" s="150"/>
    </row>
    <row r="105" spans="1:64" ht="15.75" hidden="1" customHeight="1" x14ac:dyDescent="0.2">
      <c r="A105" s="6" t="s">
        <v>990</v>
      </c>
      <c r="B105" s="6" t="s">
        <v>407</v>
      </c>
      <c r="C105" s="6">
        <v>30842</v>
      </c>
      <c r="D105" s="6">
        <v>1948</v>
      </c>
      <c r="E105" s="6">
        <v>4.08</v>
      </c>
      <c r="F105" s="6">
        <v>8811</v>
      </c>
      <c r="G105" s="6">
        <v>382</v>
      </c>
      <c r="H105" s="6">
        <v>0.74</v>
      </c>
      <c r="I105" s="6">
        <v>2</v>
      </c>
      <c r="J105" s="6">
        <v>3</v>
      </c>
      <c r="K105" s="6">
        <v>3</v>
      </c>
      <c r="L105" s="6">
        <v>1</v>
      </c>
      <c r="M105" s="6">
        <v>4</v>
      </c>
      <c r="N105" s="6">
        <v>2</v>
      </c>
      <c r="O105" s="6">
        <v>3</v>
      </c>
      <c r="P105" s="6">
        <v>0</v>
      </c>
      <c r="Q105" s="6">
        <v>1</v>
      </c>
      <c r="R105" s="6">
        <v>2</v>
      </c>
      <c r="S105" s="6">
        <v>4</v>
      </c>
      <c r="T105" s="6">
        <v>3</v>
      </c>
      <c r="U105" s="6">
        <v>1</v>
      </c>
      <c r="V105" s="6">
        <v>2</v>
      </c>
      <c r="W105" s="6">
        <v>2</v>
      </c>
      <c r="X105" s="6">
        <v>3</v>
      </c>
      <c r="AX105" s="150"/>
      <c r="AY105" s="150"/>
      <c r="AZ105" s="150"/>
      <c r="BA105" s="150"/>
      <c r="BB105" s="150"/>
      <c r="BC105" s="150"/>
      <c r="BD105" s="150"/>
      <c r="BE105" s="150"/>
      <c r="BF105" s="150"/>
      <c r="BG105" s="150"/>
      <c r="BH105" s="150"/>
      <c r="BI105" s="150"/>
      <c r="BJ105" s="150"/>
      <c r="BK105" s="150"/>
      <c r="BL105" s="150"/>
    </row>
    <row r="106" spans="1:64" ht="15.75" hidden="1" customHeight="1" x14ac:dyDescent="0.2">
      <c r="A106" s="6" t="s">
        <v>991</v>
      </c>
      <c r="B106" s="6" t="s">
        <v>487</v>
      </c>
      <c r="C106" s="6">
        <v>113092</v>
      </c>
      <c r="D106" s="6">
        <v>2015</v>
      </c>
      <c r="E106" s="6">
        <v>3.76</v>
      </c>
      <c r="F106" s="6">
        <v>12919</v>
      </c>
      <c r="G106" s="6">
        <v>379</v>
      </c>
      <c r="H106" s="6">
        <v>0.74</v>
      </c>
      <c r="I106" s="6">
        <v>3</v>
      </c>
      <c r="J106" s="6">
        <v>4</v>
      </c>
      <c r="K106" s="6">
        <v>4</v>
      </c>
      <c r="L106" s="6">
        <v>4</v>
      </c>
      <c r="M106" s="6">
        <v>3</v>
      </c>
      <c r="N106" s="6">
        <v>2</v>
      </c>
      <c r="O106" s="6">
        <v>4</v>
      </c>
      <c r="P106" s="6">
        <v>1</v>
      </c>
      <c r="Q106" s="6">
        <v>2</v>
      </c>
      <c r="R106" s="6">
        <v>2</v>
      </c>
      <c r="S106" s="6">
        <v>1</v>
      </c>
      <c r="T106" s="6">
        <v>3</v>
      </c>
      <c r="U106" s="6">
        <v>2</v>
      </c>
      <c r="V106" s="6">
        <v>4</v>
      </c>
      <c r="W106" s="6">
        <v>4</v>
      </c>
      <c r="X106" s="6">
        <v>4</v>
      </c>
      <c r="AX106" s="150"/>
      <c r="AY106" s="150"/>
      <c r="AZ106" s="150"/>
      <c r="BA106" s="150"/>
      <c r="BB106" s="150"/>
      <c r="BC106" s="150"/>
      <c r="BD106" s="150"/>
      <c r="BE106" s="150"/>
      <c r="BF106" s="150"/>
      <c r="BG106" s="150"/>
      <c r="BH106" s="150"/>
      <c r="BI106" s="150"/>
      <c r="BJ106" s="150"/>
      <c r="BK106" s="150"/>
      <c r="BL106" s="150"/>
    </row>
    <row r="107" spans="1:64" ht="15.75" hidden="1" customHeight="1" x14ac:dyDescent="0.2">
      <c r="A107" s="6" t="s">
        <v>992</v>
      </c>
      <c r="B107" s="6" t="s">
        <v>376</v>
      </c>
      <c r="C107" s="6">
        <v>50646</v>
      </c>
      <c r="D107" s="6">
        <v>1959</v>
      </c>
      <c r="E107" s="6">
        <v>3.86</v>
      </c>
      <c r="F107" s="6">
        <v>76020</v>
      </c>
      <c r="G107" s="6">
        <v>379</v>
      </c>
      <c r="H107" s="6">
        <v>0.74</v>
      </c>
      <c r="I107" s="6">
        <v>3</v>
      </c>
      <c r="J107" s="6">
        <v>4</v>
      </c>
      <c r="K107" s="6">
        <v>4</v>
      </c>
      <c r="L107" s="6">
        <v>3</v>
      </c>
      <c r="M107" s="6">
        <v>4</v>
      </c>
      <c r="N107" s="6">
        <v>2</v>
      </c>
      <c r="O107" s="6">
        <v>4</v>
      </c>
      <c r="P107" s="6">
        <v>0</v>
      </c>
      <c r="Q107" s="6">
        <v>1</v>
      </c>
      <c r="R107" s="6">
        <v>0</v>
      </c>
      <c r="S107" s="6">
        <v>2</v>
      </c>
      <c r="T107" s="6">
        <v>4</v>
      </c>
      <c r="U107" s="6">
        <v>1</v>
      </c>
      <c r="V107" s="6">
        <v>3</v>
      </c>
      <c r="W107" s="6">
        <v>1</v>
      </c>
      <c r="X107" s="6">
        <v>3</v>
      </c>
      <c r="AX107" s="150"/>
      <c r="AY107" s="150"/>
      <c r="AZ107" s="150"/>
      <c r="BA107" s="150"/>
      <c r="BB107" s="150"/>
      <c r="BC107" s="150"/>
      <c r="BD107" s="150"/>
      <c r="BE107" s="150"/>
      <c r="BF107" s="150"/>
      <c r="BG107" s="150"/>
      <c r="BH107" s="150"/>
      <c r="BI107" s="150"/>
      <c r="BJ107" s="150"/>
      <c r="BK107" s="150"/>
      <c r="BL107" s="150"/>
    </row>
    <row r="108" spans="1:64" ht="15.75" hidden="1" customHeight="1" x14ac:dyDescent="0.2">
      <c r="A108" s="6" t="s">
        <v>993</v>
      </c>
      <c r="B108" s="6" t="s">
        <v>367</v>
      </c>
      <c r="C108" s="6">
        <v>39803</v>
      </c>
      <c r="D108" s="6">
        <v>2019</v>
      </c>
      <c r="E108" s="6">
        <v>3.74</v>
      </c>
      <c r="F108" s="6">
        <v>386468</v>
      </c>
      <c r="G108" s="6">
        <v>378</v>
      </c>
      <c r="H108" s="6">
        <v>0.74</v>
      </c>
      <c r="I108" s="6">
        <v>1</v>
      </c>
      <c r="J108" s="6">
        <v>2</v>
      </c>
      <c r="K108" s="6">
        <v>3</v>
      </c>
      <c r="L108" s="6">
        <v>2</v>
      </c>
      <c r="M108" s="6">
        <v>4</v>
      </c>
      <c r="N108" s="6">
        <v>3</v>
      </c>
      <c r="O108" s="6">
        <v>3</v>
      </c>
      <c r="P108" s="6">
        <v>1</v>
      </c>
      <c r="Q108" s="6">
        <v>2</v>
      </c>
      <c r="R108" s="6">
        <v>1</v>
      </c>
      <c r="S108" s="6">
        <v>1</v>
      </c>
      <c r="T108" s="6">
        <v>2</v>
      </c>
      <c r="U108" s="6">
        <v>1</v>
      </c>
      <c r="V108" s="6">
        <v>2</v>
      </c>
      <c r="W108" s="6">
        <v>4</v>
      </c>
      <c r="X108" s="6">
        <v>4</v>
      </c>
      <c r="AX108" s="150"/>
      <c r="AY108" s="150"/>
      <c r="AZ108" s="150"/>
      <c r="BA108" s="150"/>
      <c r="BB108" s="150"/>
      <c r="BC108" s="150"/>
      <c r="BD108" s="150"/>
      <c r="BE108" s="150"/>
      <c r="BF108" s="150"/>
      <c r="BG108" s="150"/>
      <c r="BH108" s="150"/>
      <c r="BI108" s="150"/>
      <c r="BJ108" s="150"/>
      <c r="BK108" s="150"/>
      <c r="BL108" s="150"/>
    </row>
    <row r="109" spans="1:64" ht="15.75" hidden="1" customHeight="1" x14ac:dyDescent="0.2">
      <c r="A109" s="6" t="s">
        <v>994</v>
      </c>
      <c r="B109" s="6" t="s">
        <v>414</v>
      </c>
      <c r="C109" s="6">
        <v>33057</v>
      </c>
      <c r="D109" s="6">
        <v>1985</v>
      </c>
      <c r="E109" s="6">
        <v>4.2</v>
      </c>
      <c r="F109" s="6">
        <v>48106</v>
      </c>
      <c r="G109" s="6">
        <v>377</v>
      </c>
      <c r="H109" s="6">
        <v>0.73</v>
      </c>
      <c r="I109" s="6">
        <v>3</v>
      </c>
      <c r="J109" s="6">
        <v>4</v>
      </c>
      <c r="K109" s="6">
        <v>4</v>
      </c>
      <c r="L109" s="6">
        <v>2</v>
      </c>
      <c r="M109" s="6">
        <v>3</v>
      </c>
      <c r="N109" s="6">
        <v>1</v>
      </c>
      <c r="O109" s="6">
        <v>4</v>
      </c>
      <c r="P109" s="6">
        <v>0</v>
      </c>
      <c r="Q109" s="6">
        <v>2</v>
      </c>
      <c r="R109" s="6">
        <v>1</v>
      </c>
      <c r="S109" s="6">
        <v>0</v>
      </c>
      <c r="T109" s="6">
        <v>4</v>
      </c>
      <c r="U109" s="6">
        <v>1</v>
      </c>
      <c r="V109" s="6">
        <v>3</v>
      </c>
      <c r="W109" s="6">
        <v>1</v>
      </c>
      <c r="X109" s="6">
        <v>3</v>
      </c>
      <c r="AX109" s="150"/>
      <c r="AY109" s="150"/>
      <c r="AZ109" s="150"/>
      <c r="BA109" s="150"/>
      <c r="BB109" s="150"/>
      <c r="BC109" s="150"/>
      <c r="BD109" s="150"/>
      <c r="BE109" s="150"/>
      <c r="BF109" s="150"/>
      <c r="BG109" s="150"/>
      <c r="BH109" s="150"/>
      <c r="BI109" s="150"/>
      <c r="BJ109" s="150"/>
      <c r="BK109" s="150"/>
      <c r="BL109" s="150"/>
    </row>
    <row r="110" spans="1:64" ht="15.75" hidden="1" customHeight="1" x14ac:dyDescent="0.2">
      <c r="A110" s="6" t="s">
        <v>995</v>
      </c>
      <c r="B110" s="6" t="s">
        <v>375</v>
      </c>
      <c r="C110" s="6">
        <v>60809</v>
      </c>
      <c r="D110" s="6">
        <v>1968</v>
      </c>
      <c r="E110" s="6">
        <v>3.73</v>
      </c>
      <c r="F110" s="6">
        <v>5033</v>
      </c>
      <c r="G110" s="6">
        <v>376</v>
      </c>
      <c r="H110" s="6">
        <v>0.73</v>
      </c>
      <c r="I110" s="6">
        <v>3</v>
      </c>
      <c r="J110" s="6">
        <v>4</v>
      </c>
      <c r="K110" s="6">
        <v>4</v>
      </c>
      <c r="L110" s="6">
        <v>3</v>
      </c>
      <c r="M110" s="6">
        <v>2</v>
      </c>
      <c r="N110" s="6">
        <v>3</v>
      </c>
      <c r="O110" s="6">
        <v>4</v>
      </c>
      <c r="P110" s="6">
        <v>1</v>
      </c>
      <c r="Q110" s="6">
        <v>2</v>
      </c>
      <c r="R110" s="6">
        <v>0</v>
      </c>
      <c r="S110" s="6">
        <v>2</v>
      </c>
      <c r="T110" s="6">
        <v>2</v>
      </c>
      <c r="U110" s="6">
        <v>1</v>
      </c>
      <c r="V110" s="6">
        <v>3</v>
      </c>
      <c r="W110" s="6">
        <v>4</v>
      </c>
      <c r="X110" s="6">
        <v>3</v>
      </c>
      <c r="AX110" s="150"/>
      <c r="AY110" s="150"/>
      <c r="AZ110" s="150"/>
      <c r="BA110" s="150"/>
      <c r="BB110" s="150"/>
      <c r="BC110" s="150"/>
      <c r="BD110" s="150"/>
      <c r="BE110" s="150"/>
      <c r="BF110" s="150"/>
      <c r="BG110" s="150"/>
      <c r="BH110" s="150"/>
      <c r="BI110" s="150"/>
      <c r="BJ110" s="150"/>
      <c r="BK110" s="150"/>
      <c r="BL110" s="150"/>
    </row>
    <row r="111" spans="1:64" ht="15.75" hidden="1" customHeight="1" x14ac:dyDescent="0.2">
      <c r="A111" s="6" t="s">
        <v>996</v>
      </c>
      <c r="B111" s="6" t="s">
        <v>432</v>
      </c>
      <c r="C111" s="6">
        <v>64986</v>
      </c>
      <c r="D111" s="6">
        <v>1980</v>
      </c>
      <c r="E111" s="6">
        <v>4.17</v>
      </c>
      <c r="F111" s="6">
        <v>63661</v>
      </c>
      <c r="G111" s="6">
        <v>374</v>
      </c>
      <c r="H111" s="6">
        <v>0.73</v>
      </c>
      <c r="I111" s="6">
        <v>3</v>
      </c>
      <c r="J111" s="6">
        <v>4</v>
      </c>
      <c r="K111" s="6">
        <v>4</v>
      </c>
      <c r="L111" s="6">
        <v>2</v>
      </c>
      <c r="M111" s="6">
        <v>3</v>
      </c>
      <c r="N111" s="6">
        <v>1</v>
      </c>
      <c r="O111" s="6">
        <v>4</v>
      </c>
      <c r="P111" s="6">
        <v>0</v>
      </c>
      <c r="Q111" s="6">
        <v>1</v>
      </c>
      <c r="R111" s="6">
        <v>2</v>
      </c>
      <c r="S111" s="6">
        <v>3</v>
      </c>
      <c r="T111" s="6">
        <v>4</v>
      </c>
      <c r="U111" s="6">
        <v>0</v>
      </c>
      <c r="V111" s="6">
        <v>2</v>
      </c>
      <c r="W111" s="6">
        <v>1</v>
      </c>
      <c r="X111" s="6">
        <v>3</v>
      </c>
      <c r="AX111" s="150"/>
      <c r="AY111" s="150"/>
      <c r="AZ111" s="150"/>
      <c r="BA111" s="150"/>
      <c r="BB111" s="150"/>
      <c r="BC111" s="150"/>
      <c r="BD111" s="150"/>
      <c r="BE111" s="150"/>
      <c r="BF111" s="150"/>
      <c r="BG111" s="150"/>
      <c r="BH111" s="150"/>
      <c r="BI111" s="150"/>
      <c r="BJ111" s="150"/>
      <c r="BK111" s="150"/>
      <c r="BL111" s="150"/>
    </row>
    <row r="112" spans="1:64" ht="15.75" hidden="1" customHeight="1" x14ac:dyDescent="0.2">
      <c r="A112" s="6" t="s">
        <v>997</v>
      </c>
      <c r="B112" s="6" t="s">
        <v>460</v>
      </c>
      <c r="C112" s="6">
        <v>28016</v>
      </c>
      <c r="D112" s="6">
        <v>2011</v>
      </c>
      <c r="E112" s="6">
        <v>3.93</v>
      </c>
      <c r="F112" s="6">
        <v>33420</v>
      </c>
      <c r="G112" s="6">
        <v>374</v>
      </c>
      <c r="H112" s="6">
        <v>0.73</v>
      </c>
      <c r="I112" s="6">
        <v>3</v>
      </c>
      <c r="J112" s="6">
        <v>4</v>
      </c>
      <c r="K112" s="6">
        <v>4</v>
      </c>
      <c r="L112" s="6">
        <v>2</v>
      </c>
      <c r="M112" s="6">
        <v>4</v>
      </c>
      <c r="N112" s="6">
        <v>1</v>
      </c>
      <c r="O112" s="6">
        <v>3</v>
      </c>
      <c r="P112" s="6">
        <v>0</v>
      </c>
      <c r="Q112" s="6">
        <v>1</v>
      </c>
      <c r="R112" s="6">
        <v>0</v>
      </c>
      <c r="S112" s="6">
        <v>1</v>
      </c>
      <c r="T112" s="6">
        <v>4</v>
      </c>
      <c r="U112" s="6">
        <v>0</v>
      </c>
      <c r="V112" s="6">
        <v>2</v>
      </c>
      <c r="W112" s="6">
        <v>1</v>
      </c>
      <c r="X112" s="6">
        <v>3</v>
      </c>
      <c r="AX112" s="150"/>
      <c r="AY112" s="150"/>
      <c r="AZ112" s="150"/>
      <c r="BA112" s="150"/>
      <c r="BB112" s="150"/>
      <c r="BC112" s="150"/>
      <c r="BD112" s="150"/>
      <c r="BE112" s="150"/>
      <c r="BF112" s="150"/>
      <c r="BG112" s="150"/>
      <c r="BH112" s="150"/>
      <c r="BI112" s="150"/>
      <c r="BJ112" s="150"/>
      <c r="BK112" s="150"/>
      <c r="BL112" s="150"/>
    </row>
    <row r="113" spans="1:64" ht="15.75" customHeight="1" x14ac:dyDescent="0.2">
      <c r="A113" s="6" t="s">
        <v>998</v>
      </c>
      <c r="B113" s="6" t="s">
        <v>44</v>
      </c>
      <c r="C113" s="6">
        <v>38579</v>
      </c>
      <c r="D113" s="6">
        <v>2016</v>
      </c>
      <c r="E113" s="6">
        <v>3.72</v>
      </c>
      <c r="F113" s="6">
        <v>24075</v>
      </c>
      <c r="G113" s="6">
        <v>367</v>
      </c>
      <c r="H113" s="6">
        <v>0.71</v>
      </c>
      <c r="I113" s="6">
        <v>3</v>
      </c>
      <c r="J113" s="6">
        <v>4</v>
      </c>
      <c r="K113" s="6">
        <v>4</v>
      </c>
      <c r="L113" s="6">
        <v>3</v>
      </c>
      <c r="M113" s="6">
        <v>4</v>
      </c>
      <c r="N113" s="6">
        <v>2</v>
      </c>
      <c r="O113" s="6">
        <v>3</v>
      </c>
      <c r="P113" s="6">
        <v>1</v>
      </c>
      <c r="Q113" s="6">
        <v>4</v>
      </c>
      <c r="R113" s="6">
        <v>1</v>
      </c>
      <c r="S113" s="6">
        <v>2</v>
      </c>
      <c r="T113" s="6">
        <v>3</v>
      </c>
      <c r="U113" s="6">
        <v>2</v>
      </c>
      <c r="V113" s="6">
        <v>3</v>
      </c>
      <c r="W113" s="6">
        <v>4</v>
      </c>
      <c r="X113" s="6">
        <v>4</v>
      </c>
      <c r="AX113" s="150"/>
      <c r="AY113" s="150"/>
      <c r="AZ113" s="150"/>
      <c r="BA113" s="150"/>
      <c r="BB113" s="150"/>
      <c r="BC113" s="150"/>
      <c r="BD113" s="150"/>
      <c r="BE113" s="150"/>
      <c r="BF113" s="150"/>
      <c r="BG113" s="150"/>
      <c r="BH113" s="150"/>
      <c r="BI113" s="150"/>
      <c r="BJ113" s="150"/>
      <c r="BK113" s="150"/>
      <c r="BL113" s="150"/>
    </row>
    <row r="114" spans="1:64" ht="15.75" hidden="1" customHeight="1" x14ac:dyDescent="0.2">
      <c r="A114" s="6" t="s">
        <v>999</v>
      </c>
      <c r="B114" s="6" t="s">
        <v>483</v>
      </c>
      <c r="C114" s="6">
        <v>48266</v>
      </c>
      <c r="D114" s="6">
        <v>1939</v>
      </c>
      <c r="E114" s="6">
        <v>3.81</v>
      </c>
      <c r="F114" s="6">
        <v>116563</v>
      </c>
      <c r="G114" s="6">
        <v>364</v>
      </c>
      <c r="H114" s="6">
        <v>0.71</v>
      </c>
      <c r="I114" s="6">
        <v>2</v>
      </c>
      <c r="J114" s="6">
        <v>3</v>
      </c>
      <c r="K114" s="6">
        <v>4</v>
      </c>
      <c r="L114" s="6">
        <v>1</v>
      </c>
      <c r="M114" s="6">
        <v>4</v>
      </c>
      <c r="N114" s="6">
        <v>2</v>
      </c>
      <c r="O114" s="6">
        <v>3</v>
      </c>
      <c r="P114" s="6">
        <v>1</v>
      </c>
      <c r="Q114" s="6">
        <v>0</v>
      </c>
      <c r="R114" s="6">
        <v>2</v>
      </c>
      <c r="S114" s="6">
        <v>4</v>
      </c>
      <c r="T114" s="6">
        <v>3</v>
      </c>
      <c r="U114" s="6">
        <v>1</v>
      </c>
      <c r="V114" s="6">
        <v>2</v>
      </c>
      <c r="W114" s="6">
        <v>1</v>
      </c>
      <c r="X114" s="6">
        <v>3</v>
      </c>
      <c r="AX114" s="150"/>
      <c r="AY114" s="150"/>
      <c r="AZ114" s="150"/>
      <c r="BA114" s="150"/>
      <c r="BB114" s="150"/>
      <c r="BC114" s="150"/>
      <c r="BD114" s="150"/>
      <c r="BE114" s="150"/>
      <c r="BF114" s="150"/>
      <c r="BG114" s="150"/>
      <c r="BH114" s="150"/>
      <c r="BI114" s="150"/>
      <c r="BJ114" s="150"/>
      <c r="BK114" s="150"/>
      <c r="BL114" s="150"/>
    </row>
    <row r="115" spans="1:64" ht="15.75" hidden="1" customHeight="1" x14ac:dyDescent="0.2">
      <c r="A115" s="6" t="s">
        <v>1000</v>
      </c>
      <c r="B115" s="6" t="s">
        <v>474</v>
      </c>
      <c r="C115" s="6">
        <v>32142</v>
      </c>
      <c r="D115" s="6">
        <v>2018</v>
      </c>
      <c r="E115" s="6">
        <v>3.71</v>
      </c>
      <c r="F115" s="6">
        <v>23144</v>
      </c>
      <c r="G115" s="6">
        <v>363</v>
      </c>
      <c r="H115" s="6">
        <v>0.71</v>
      </c>
      <c r="I115" s="6">
        <v>3</v>
      </c>
      <c r="J115" s="6">
        <v>4</v>
      </c>
      <c r="K115" s="6">
        <v>4</v>
      </c>
      <c r="L115" s="6">
        <v>2</v>
      </c>
      <c r="M115" s="6">
        <v>3</v>
      </c>
      <c r="N115" s="6">
        <v>1</v>
      </c>
      <c r="O115" s="6">
        <v>3</v>
      </c>
      <c r="P115" s="6">
        <v>0</v>
      </c>
      <c r="Q115" s="6">
        <v>3</v>
      </c>
      <c r="R115" s="6">
        <v>0</v>
      </c>
      <c r="S115" s="6">
        <v>1</v>
      </c>
      <c r="T115" s="6">
        <v>2</v>
      </c>
      <c r="U115" s="6">
        <v>2</v>
      </c>
      <c r="V115" s="6">
        <v>3</v>
      </c>
      <c r="W115" s="6">
        <v>4</v>
      </c>
      <c r="X115" s="6">
        <v>4</v>
      </c>
      <c r="AX115" s="150"/>
      <c r="AY115" s="150"/>
      <c r="AZ115" s="150"/>
      <c r="BA115" s="150"/>
      <c r="BB115" s="150"/>
      <c r="BC115" s="150"/>
      <c r="BD115" s="150"/>
      <c r="BE115" s="150"/>
      <c r="BF115" s="150"/>
      <c r="BG115" s="150"/>
      <c r="BH115" s="150"/>
      <c r="BI115" s="150"/>
      <c r="BJ115" s="150"/>
      <c r="BK115" s="150"/>
      <c r="BL115" s="150"/>
    </row>
    <row r="116" spans="1:64" ht="15.75" hidden="1" customHeight="1" x14ac:dyDescent="0.2">
      <c r="A116" s="6" t="s">
        <v>1001</v>
      </c>
      <c r="B116" s="6" t="s">
        <v>474</v>
      </c>
      <c r="C116" s="6">
        <v>34891</v>
      </c>
      <c r="D116" s="6">
        <v>2018</v>
      </c>
      <c r="E116" s="6">
        <v>4.26</v>
      </c>
      <c r="F116" s="6">
        <v>161150</v>
      </c>
      <c r="G116" s="6">
        <v>359</v>
      </c>
      <c r="H116" s="6">
        <v>0.7</v>
      </c>
      <c r="I116" s="6">
        <v>3</v>
      </c>
      <c r="J116" s="6">
        <v>4</v>
      </c>
      <c r="K116" s="6">
        <v>4</v>
      </c>
      <c r="L116" s="6">
        <v>2</v>
      </c>
      <c r="M116" s="6">
        <v>3</v>
      </c>
      <c r="N116" s="6">
        <v>1</v>
      </c>
      <c r="O116" s="6">
        <v>3</v>
      </c>
      <c r="P116" s="6">
        <v>0</v>
      </c>
      <c r="Q116" s="6">
        <v>2</v>
      </c>
      <c r="R116" s="6">
        <v>0</v>
      </c>
      <c r="S116" s="6">
        <v>1</v>
      </c>
      <c r="T116" s="6">
        <v>2</v>
      </c>
      <c r="U116" s="6">
        <v>1</v>
      </c>
      <c r="V116" s="6">
        <v>2</v>
      </c>
      <c r="W116" s="6">
        <v>3</v>
      </c>
      <c r="X116" s="6">
        <v>4</v>
      </c>
      <c r="AX116" s="150"/>
      <c r="AY116" s="150"/>
      <c r="AZ116" s="150"/>
      <c r="BA116" s="150"/>
      <c r="BB116" s="150"/>
      <c r="BC116" s="150"/>
      <c r="BD116" s="150"/>
      <c r="BE116" s="150"/>
      <c r="BF116" s="150"/>
      <c r="BG116" s="150"/>
      <c r="BH116" s="150"/>
      <c r="BI116" s="150"/>
      <c r="BJ116" s="150"/>
      <c r="BK116" s="150"/>
      <c r="BL116" s="150"/>
    </row>
    <row r="117" spans="1:64" ht="15.75" hidden="1" customHeight="1" x14ac:dyDescent="0.2">
      <c r="A117" s="6" t="s">
        <v>1002</v>
      </c>
      <c r="B117" s="6" t="s">
        <v>387</v>
      </c>
      <c r="C117" s="6">
        <v>16554</v>
      </c>
      <c r="D117" s="6">
        <v>1989</v>
      </c>
      <c r="E117" s="6">
        <v>4.25</v>
      </c>
      <c r="F117" s="6">
        <v>130176</v>
      </c>
      <c r="G117" s="6">
        <v>354</v>
      </c>
      <c r="H117" s="6">
        <v>0.69</v>
      </c>
      <c r="I117" s="6">
        <v>2</v>
      </c>
      <c r="J117" s="6">
        <v>3</v>
      </c>
      <c r="K117" s="6">
        <v>4</v>
      </c>
      <c r="L117" s="6">
        <v>2</v>
      </c>
      <c r="M117" s="6">
        <v>4</v>
      </c>
      <c r="N117" s="6">
        <v>1</v>
      </c>
      <c r="O117" s="6">
        <v>3</v>
      </c>
      <c r="P117" s="6">
        <v>0</v>
      </c>
      <c r="Q117" s="6">
        <v>1</v>
      </c>
      <c r="R117" s="6">
        <v>0</v>
      </c>
      <c r="S117" s="6">
        <v>1</v>
      </c>
      <c r="T117" s="6">
        <v>4</v>
      </c>
      <c r="U117" s="6">
        <v>0</v>
      </c>
      <c r="V117" s="6">
        <v>2</v>
      </c>
      <c r="W117" s="6">
        <v>3</v>
      </c>
      <c r="X117" s="6">
        <v>3</v>
      </c>
      <c r="AX117" s="150"/>
      <c r="AY117" s="150"/>
      <c r="AZ117" s="150"/>
      <c r="BA117" s="150"/>
      <c r="BB117" s="150"/>
      <c r="BC117" s="150"/>
      <c r="BD117" s="150"/>
      <c r="BE117" s="150"/>
      <c r="BF117" s="150"/>
      <c r="BG117" s="150"/>
      <c r="BH117" s="150"/>
      <c r="BI117" s="150"/>
      <c r="BJ117" s="150"/>
      <c r="BK117" s="150"/>
      <c r="BL117" s="150"/>
    </row>
    <row r="118" spans="1:64" ht="15.75" hidden="1" customHeight="1" x14ac:dyDescent="0.2">
      <c r="A118" s="6" t="s">
        <v>1003</v>
      </c>
      <c r="B118" s="6" t="s">
        <v>503</v>
      </c>
      <c r="C118" s="6">
        <v>35676</v>
      </c>
      <c r="D118" s="6">
        <v>1950</v>
      </c>
      <c r="E118" s="6">
        <v>3.9</v>
      </c>
      <c r="F118" s="6">
        <v>4617</v>
      </c>
      <c r="G118" s="6">
        <v>351</v>
      </c>
      <c r="H118" s="6">
        <v>0.68</v>
      </c>
      <c r="I118" s="6">
        <v>3</v>
      </c>
      <c r="J118" s="6">
        <v>4</v>
      </c>
      <c r="K118" s="6">
        <v>4</v>
      </c>
      <c r="L118" s="6">
        <v>3</v>
      </c>
      <c r="M118" s="6">
        <v>3</v>
      </c>
      <c r="N118" s="6">
        <v>2</v>
      </c>
      <c r="O118" s="6">
        <v>3</v>
      </c>
      <c r="P118" s="6">
        <v>2</v>
      </c>
      <c r="Q118" s="6">
        <v>3</v>
      </c>
      <c r="R118" s="6">
        <v>1</v>
      </c>
      <c r="S118" s="6">
        <v>3</v>
      </c>
      <c r="T118" s="6">
        <v>1</v>
      </c>
      <c r="U118" s="6">
        <v>2</v>
      </c>
      <c r="V118" s="6">
        <v>3</v>
      </c>
      <c r="W118" s="6">
        <v>2</v>
      </c>
      <c r="X118" s="6">
        <v>4</v>
      </c>
      <c r="AX118" s="150"/>
      <c r="AY118" s="150"/>
      <c r="AZ118" s="150"/>
      <c r="BA118" s="150"/>
      <c r="BB118" s="150"/>
      <c r="BC118" s="150"/>
      <c r="BD118" s="150"/>
      <c r="BE118" s="150"/>
      <c r="BF118" s="150"/>
      <c r="BG118" s="150"/>
      <c r="BH118" s="150"/>
      <c r="BI118" s="150"/>
      <c r="BJ118" s="150"/>
      <c r="BK118" s="150"/>
      <c r="BL118" s="150"/>
    </row>
    <row r="119" spans="1:64" ht="15.75" hidden="1" customHeight="1" x14ac:dyDescent="0.2">
      <c r="A119" s="6" t="s">
        <v>1004</v>
      </c>
      <c r="B119" s="6" t="s">
        <v>532</v>
      </c>
      <c r="C119" s="6">
        <v>22766</v>
      </c>
      <c r="D119" s="6">
        <v>1986</v>
      </c>
      <c r="E119" s="6">
        <v>3.87</v>
      </c>
      <c r="F119" s="6">
        <v>8527</v>
      </c>
      <c r="G119" s="6">
        <v>346</v>
      </c>
      <c r="H119" s="6">
        <v>0.67</v>
      </c>
      <c r="I119" s="6">
        <v>2</v>
      </c>
      <c r="J119" s="6">
        <v>3</v>
      </c>
      <c r="K119" s="6">
        <v>4</v>
      </c>
      <c r="L119" s="6">
        <v>2</v>
      </c>
      <c r="M119" s="6">
        <v>4</v>
      </c>
      <c r="N119" s="6">
        <v>3</v>
      </c>
      <c r="O119" s="6">
        <v>4</v>
      </c>
      <c r="P119" s="6">
        <v>0</v>
      </c>
      <c r="Q119" s="6">
        <v>1</v>
      </c>
      <c r="R119" s="6">
        <v>0</v>
      </c>
      <c r="S119" s="6">
        <v>2</v>
      </c>
      <c r="T119" s="6">
        <v>3</v>
      </c>
      <c r="U119" s="6">
        <v>1</v>
      </c>
      <c r="V119" s="6">
        <v>2</v>
      </c>
      <c r="W119" s="6">
        <v>0</v>
      </c>
      <c r="X119" s="6">
        <v>3</v>
      </c>
      <c r="AX119" s="150"/>
      <c r="AY119" s="150"/>
      <c r="AZ119" s="150"/>
      <c r="BA119" s="150"/>
      <c r="BB119" s="150"/>
      <c r="BC119" s="150"/>
      <c r="BD119" s="150"/>
      <c r="BE119" s="150"/>
      <c r="BF119" s="150"/>
      <c r="BG119" s="150"/>
      <c r="BH119" s="150"/>
      <c r="BI119" s="150"/>
      <c r="BJ119" s="150"/>
      <c r="BK119" s="150"/>
      <c r="BL119" s="150"/>
    </row>
    <row r="120" spans="1:64" ht="15.75" hidden="1" customHeight="1" x14ac:dyDescent="0.2">
      <c r="A120" s="6" t="s">
        <v>1005</v>
      </c>
      <c r="B120" s="6" t="s">
        <v>408</v>
      </c>
      <c r="C120" s="6">
        <v>14727</v>
      </c>
      <c r="D120" s="6">
        <v>1922</v>
      </c>
      <c r="E120" s="6">
        <v>3.83</v>
      </c>
      <c r="F120" s="6">
        <v>1857</v>
      </c>
      <c r="G120" s="6">
        <v>346</v>
      </c>
      <c r="H120" s="6">
        <v>0.67</v>
      </c>
      <c r="I120" s="6">
        <v>2</v>
      </c>
      <c r="J120" s="6">
        <v>3</v>
      </c>
      <c r="K120" s="6">
        <v>3</v>
      </c>
      <c r="L120" s="6">
        <v>2</v>
      </c>
      <c r="M120" s="6">
        <v>4</v>
      </c>
      <c r="N120" s="6">
        <v>1</v>
      </c>
      <c r="O120" s="6">
        <v>3</v>
      </c>
      <c r="P120" s="6">
        <v>1</v>
      </c>
      <c r="Q120" s="6">
        <v>2</v>
      </c>
      <c r="R120" s="6">
        <v>3</v>
      </c>
      <c r="S120" s="6">
        <v>4</v>
      </c>
      <c r="T120" s="6">
        <v>3</v>
      </c>
      <c r="U120" s="6">
        <v>1</v>
      </c>
      <c r="V120" s="6">
        <v>2</v>
      </c>
      <c r="W120" s="6">
        <v>2</v>
      </c>
      <c r="X120" s="6">
        <v>3</v>
      </c>
      <c r="AX120" s="150"/>
      <c r="AY120" s="150"/>
      <c r="AZ120" s="150"/>
      <c r="BA120" s="150"/>
      <c r="BB120" s="150"/>
      <c r="BC120" s="150"/>
      <c r="BD120" s="150"/>
      <c r="BE120" s="150"/>
      <c r="BF120" s="150"/>
      <c r="BG120" s="150"/>
      <c r="BH120" s="150"/>
      <c r="BI120" s="150"/>
      <c r="BJ120" s="150"/>
      <c r="BK120" s="150"/>
      <c r="BL120" s="150"/>
    </row>
    <row r="121" spans="1:64" ht="15.75" customHeight="1" x14ac:dyDescent="0.2">
      <c r="A121" s="6" t="s">
        <v>1006</v>
      </c>
      <c r="B121" s="6" t="s">
        <v>60</v>
      </c>
      <c r="C121" s="6">
        <v>14313</v>
      </c>
      <c r="D121" s="6">
        <v>2010</v>
      </c>
      <c r="E121" s="6">
        <v>3.61</v>
      </c>
      <c r="F121" s="6">
        <v>3975</v>
      </c>
      <c r="G121" s="6">
        <v>343</v>
      </c>
      <c r="H121" s="6">
        <v>0.67</v>
      </c>
      <c r="I121" s="6">
        <v>2</v>
      </c>
      <c r="J121" s="6">
        <v>3</v>
      </c>
      <c r="K121" s="6">
        <v>4</v>
      </c>
      <c r="L121" s="6">
        <v>2</v>
      </c>
      <c r="M121" s="6">
        <v>4</v>
      </c>
      <c r="N121" s="6">
        <v>1</v>
      </c>
      <c r="O121" s="6">
        <v>3</v>
      </c>
      <c r="P121" s="6">
        <v>1</v>
      </c>
      <c r="Q121" s="6">
        <v>2</v>
      </c>
      <c r="R121" s="6">
        <v>2</v>
      </c>
      <c r="S121" s="6">
        <v>1</v>
      </c>
      <c r="T121" s="6">
        <v>2</v>
      </c>
      <c r="U121" s="6">
        <v>1</v>
      </c>
      <c r="V121" s="6">
        <v>3</v>
      </c>
      <c r="W121" s="6">
        <v>4</v>
      </c>
      <c r="X121" s="6">
        <v>3</v>
      </c>
      <c r="AX121" s="150"/>
      <c r="AY121" s="150"/>
      <c r="AZ121" s="150"/>
      <c r="BA121" s="150"/>
      <c r="BB121" s="150"/>
      <c r="BC121" s="150"/>
      <c r="BD121" s="150"/>
      <c r="BE121" s="150"/>
      <c r="BF121" s="150"/>
      <c r="BG121" s="150"/>
      <c r="BH121" s="150"/>
      <c r="BI121" s="150"/>
      <c r="BJ121" s="150"/>
      <c r="BK121" s="150"/>
      <c r="BL121" s="150"/>
    </row>
    <row r="122" spans="1:64" ht="15.75" hidden="1" customHeight="1" x14ac:dyDescent="0.2">
      <c r="A122" s="6" t="s">
        <v>1007</v>
      </c>
      <c r="B122" s="6" t="s">
        <v>457</v>
      </c>
      <c r="C122" s="6">
        <v>51819</v>
      </c>
      <c r="D122" s="6">
        <v>1924</v>
      </c>
      <c r="E122" s="6">
        <v>3.74</v>
      </c>
      <c r="F122" s="6">
        <v>3615</v>
      </c>
      <c r="G122" s="6">
        <v>338</v>
      </c>
      <c r="H122" s="6">
        <v>0.66</v>
      </c>
      <c r="I122" s="6">
        <v>2</v>
      </c>
      <c r="J122" s="6">
        <v>3</v>
      </c>
      <c r="K122" s="6">
        <v>3</v>
      </c>
      <c r="L122" s="6">
        <v>2</v>
      </c>
      <c r="M122" s="6">
        <v>4</v>
      </c>
      <c r="N122" s="6">
        <v>3</v>
      </c>
      <c r="O122" s="6">
        <v>4</v>
      </c>
      <c r="P122" s="6">
        <v>0</v>
      </c>
      <c r="Q122" s="6">
        <v>1</v>
      </c>
      <c r="R122" s="6">
        <v>1</v>
      </c>
      <c r="S122" s="6">
        <v>0</v>
      </c>
      <c r="T122" s="6">
        <v>4</v>
      </c>
      <c r="U122" s="6">
        <v>1</v>
      </c>
      <c r="V122" s="6">
        <v>2</v>
      </c>
      <c r="W122" s="6">
        <v>1</v>
      </c>
      <c r="X122" s="6">
        <v>3</v>
      </c>
      <c r="AX122" s="150"/>
      <c r="AY122" s="150"/>
      <c r="AZ122" s="150"/>
      <c r="BA122" s="150"/>
      <c r="BB122" s="150"/>
      <c r="BC122" s="150"/>
      <c r="BD122" s="150"/>
      <c r="BE122" s="150"/>
      <c r="BF122" s="150"/>
      <c r="BG122" s="150"/>
      <c r="BH122" s="150"/>
      <c r="BI122" s="150"/>
      <c r="BJ122" s="150"/>
      <c r="BK122" s="150"/>
      <c r="BL122" s="150"/>
    </row>
    <row r="123" spans="1:64" ht="15.75" hidden="1" customHeight="1" x14ac:dyDescent="0.2">
      <c r="A123" s="6" t="s">
        <v>1008</v>
      </c>
      <c r="B123" s="6" t="s">
        <v>500</v>
      </c>
      <c r="C123" s="6">
        <v>54059</v>
      </c>
      <c r="D123" s="6">
        <v>1977</v>
      </c>
      <c r="E123" s="6">
        <v>3.96</v>
      </c>
      <c r="F123" s="6">
        <v>106</v>
      </c>
      <c r="G123" s="6">
        <v>335</v>
      </c>
      <c r="H123" s="6">
        <v>0.65</v>
      </c>
      <c r="I123" s="6">
        <v>2</v>
      </c>
      <c r="J123" s="6">
        <v>3</v>
      </c>
      <c r="K123" s="6">
        <v>4</v>
      </c>
      <c r="L123" s="6">
        <v>1</v>
      </c>
      <c r="M123" s="6">
        <v>3</v>
      </c>
      <c r="N123" s="6">
        <v>2</v>
      </c>
      <c r="O123" s="6">
        <v>3</v>
      </c>
      <c r="P123" s="6">
        <v>0</v>
      </c>
      <c r="Q123" s="6">
        <v>1</v>
      </c>
      <c r="R123" s="6">
        <v>0</v>
      </c>
      <c r="S123" s="6">
        <v>2</v>
      </c>
      <c r="T123" s="6">
        <v>4</v>
      </c>
      <c r="U123" s="6">
        <v>0</v>
      </c>
      <c r="V123" s="6">
        <v>1</v>
      </c>
      <c r="W123" s="6">
        <v>0</v>
      </c>
      <c r="X123" s="6">
        <v>3</v>
      </c>
      <c r="AX123" s="150"/>
      <c r="AY123" s="150"/>
      <c r="AZ123" s="150"/>
      <c r="BA123" s="150"/>
      <c r="BB123" s="150"/>
      <c r="BC123" s="150"/>
      <c r="BD123" s="150"/>
      <c r="BE123" s="150"/>
      <c r="BF123" s="150"/>
      <c r="BG123" s="150"/>
      <c r="BH123" s="150"/>
      <c r="BI123" s="150"/>
      <c r="BJ123" s="150"/>
      <c r="BK123" s="150"/>
      <c r="BL123" s="150"/>
    </row>
    <row r="124" spans="1:64" ht="15.75" hidden="1" customHeight="1" x14ac:dyDescent="0.2">
      <c r="A124" s="6" t="s">
        <v>1009</v>
      </c>
      <c r="B124" s="6" t="s">
        <v>415</v>
      </c>
      <c r="C124" s="6">
        <v>32080</v>
      </c>
      <c r="D124" s="6">
        <v>2016</v>
      </c>
      <c r="E124" s="6">
        <v>3.72</v>
      </c>
      <c r="F124" s="6">
        <v>51732</v>
      </c>
      <c r="G124" s="6">
        <v>328</v>
      </c>
      <c r="H124" s="6">
        <v>0.64</v>
      </c>
      <c r="I124" s="6">
        <v>2</v>
      </c>
      <c r="J124" s="6">
        <v>3</v>
      </c>
      <c r="K124" s="6">
        <v>4</v>
      </c>
      <c r="L124" s="6">
        <v>1</v>
      </c>
      <c r="M124" s="6">
        <v>4</v>
      </c>
      <c r="N124" s="6">
        <v>2</v>
      </c>
      <c r="O124" s="6">
        <v>3</v>
      </c>
      <c r="P124" s="6">
        <v>0</v>
      </c>
      <c r="Q124" s="6">
        <v>1</v>
      </c>
      <c r="R124" s="6">
        <v>2</v>
      </c>
      <c r="S124" s="6">
        <v>1</v>
      </c>
      <c r="T124" s="6">
        <v>4</v>
      </c>
      <c r="U124" s="6">
        <v>1</v>
      </c>
      <c r="V124" s="6">
        <v>2</v>
      </c>
      <c r="W124" s="6">
        <v>4</v>
      </c>
      <c r="X124" s="6">
        <v>3</v>
      </c>
      <c r="AX124" s="150"/>
      <c r="AY124" s="150"/>
      <c r="AZ124" s="150"/>
      <c r="BA124" s="150"/>
      <c r="BB124" s="150"/>
      <c r="BC124" s="150"/>
      <c r="BD124" s="150"/>
      <c r="BE124" s="150"/>
      <c r="BF124" s="150"/>
      <c r="BG124" s="150"/>
      <c r="BH124" s="150"/>
      <c r="BI124" s="150"/>
      <c r="BJ124" s="150"/>
      <c r="BK124" s="150"/>
      <c r="BL124" s="150"/>
    </row>
    <row r="125" spans="1:64" ht="15.75" hidden="1" customHeight="1" x14ac:dyDescent="0.2">
      <c r="A125" s="6" t="s">
        <v>1010</v>
      </c>
      <c r="B125" s="6" t="s">
        <v>515</v>
      </c>
      <c r="C125" s="6">
        <v>617</v>
      </c>
      <c r="D125" s="6">
        <v>1964</v>
      </c>
      <c r="E125" s="6">
        <v>3.69</v>
      </c>
      <c r="F125" s="6">
        <v>17132</v>
      </c>
      <c r="G125" s="6">
        <v>325</v>
      </c>
      <c r="H125" s="6">
        <v>0.63</v>
      </c>
      <c r="I125" s="6">
        <v>2</v>
      </c>
      <c r="J125" s="6">
        <v>3</v>
      </c>
      <c r="K125" s="6">
        <v>4</v>
      </c>
      <c r="L125" s="6">
        <v>1</v>
      </c>
      <c r="M125" s="6">
        <v>3</v>
      </c>
      <c r="N125" s="6">
        <v>4</v>
      </c>
      <c r="O125" s="6">
        <v>3</v>
      </c>
      <c r="P125" s="6">
        <v>0</v>
      </c>
      <c r="Q125" s="6">
        <v>0</v>
      </c>
      <c r="R125" s="6">
        <v>1</v>
      </c>
      <c r="S125" s="6">
        <v>2</v>
      </c>
      <c r="T125" s="6">
        <v>3</v>
      </c>
      <c r="U125" s="6">
        <v>1</v>
      </c>
      <c r="V125" s="6">
        <v>2</v>
      </c>
      <c r="W125" s="6">
        <v>1</v>
      </c>
      <c r="X125" s="6">
        <v>2</v>
      </c>
      <c r="AX125" s="150"/>
      <c r="AY125" s="150"/>
      <c r="AZ125" s="150"/>
      <c r="BA125" s="150"/>
      <c r="BB125" s="150"/>
      <c r="BC125" s="150"/>
      <c r="BD125" s="150"/>
      <c r="BE125" s="150"/>
      <c r="BF125" s="150"/>
      <c r="BG125" s="150"/>
      <c r="BH125" s="150"/>
      <c r="BI125" s="150"/>
      <c r="BJ125" s="150"/>
      <c r="BK125" s="150"/>
      <c r="BL125" s="150"/>
    </row>
    <row r="126" spans="1:64" ht="15.75" hidden="1" customHeight="1" x14ac:dyDescent="0.2">
      <c r="A126" s="6" t="s">
        <v>1011</v>
      </c>
      <c r="B126" s="6" t="s">
        <v>353</v>
      </c>
      <c r="C126" s="6">
        <v>108476</v>
      </c>
      <c r="D126" s="6">
        <v>1992</v>
      </c>
      <c r="E126" s="6">
        <v>4.38</v>
      </c>
      <c r="F126" s="6">
        <v>1165630</v>
      </c>
      <c r="G126" s="6">
        <v>324</v>
      </c>
      <c r="H126" s="6">
        <v>0.63</v>
      </c>
      <c r="I126" s="6">
        <v>2</v>
      </c>
      <c r="J126" s="6">
        <v>3</v>
      </c>
      <c r="K126" s="6">
        <v>3</v>
      </c>
      <c r="L126" s="6">
        <v>1</v>
      </c>
      <c r="M126" s="6">
        <v>4</v>
      </c>
      <c r="N126" s="6">
        <v>2</v>
      </c>
      <c r="O126" s="6">
        <v>3</v>
      </c>
      <c r="P126" s="6">
        <v>1</v>
      </c>
      <c r="Q126" s="6">
        <v>2</v>
      </c>
      <c r="R126" s="6">
        <v>3</v>
      </c>
      <c r="S126" s="6">
        <v>1</v>
      </c>
      <c r="T126" s="6">
        <v>3</v>
      </c>
      <c r="U126" s="6">
        <v>1</v>
      </c>
      <c r="V126" s="6">
        <v>2</v>
      </c>
      <c r="W126" s="6">
        <v>3</v>
      </c>
      <c r="X126" s="6">
        <v>3</v>
      </c>
      <c r="AX126" s="150"/>
      <c r="AY126" s="150"/>
      <c r="AZ126" s="150"/>
      <c r="BA126" s="150"/>
      <c r="BB126" s="150"/>
      <c r="BC126" s="150"/>
      <c r="BD126" s="150"/>
      <c r="BE126" s="150"/>
      <c r="BF126" s="150"/>
      <c r="BG126" s="150"/>
      <c r="BH126" s="150"/>
      <c r="BI126" s="150"/>
      <c r="BJ126" s="150"/>
      <c r="BK126" s="150"/>
      <c r="BL126" s="150"/>
    </row>
    <row r="127" spans="1:64" ht="15.75" hidden="1" customHeight="1" x14ac:dyDescent="0.2">
      <c r="A127" s="6" t="s">
        <v>1012</v>
      </c>
      <c r="B127" s="6" t="s">
        <v>360</v>
      </c>
      <c r="C127" s="6">
        <v>50967</v>
      </c>
      <c r="D127" s="6">
        <v>2016</v>
      </c>
      <c r="E127" s="6">
        <v>3.64</v>
      </c>
      <c r="F127" s="6">
        <v>5988</v>
      </c>
      <c r="G127" s="6">
        <v>321</v>
      </c>
      <c r="H127" s="6">
        <v>0.62</v>
      </c>
      <c r="I127" s="6">
        <v>2</v>
      </c>
      <c r="J127" s="6">
        <v>3</v>
      </c>
      <c r="K127" s="6">
        <v>3</v>
      </c>
      <c r="L127" s="6">
        <v>2</v>
      </c>
      <c r="M127" s="6">
        <v>1</v>
      </c>
      <c r="N127" s="6">
        <v>4</v>
      </c>
      <c r="O127" s="6">
        <v>3</v>
      </c>
      <c r="P127" s="6">
        <v>0</v>
      </c>
      <c r="Q127" s="6">
        <v>0</v>
      </c>
      <c r="R127" s="6">
        <v>0</v>
      </c>
      <c r="S127" s="6">
        <v>0</v>
      </c>
      <c r="T127" s="6">
        <v>2</v>
      </c>
      <c r="U127" s="6">
        <v>1</v>
      </c>
      <c r="V127" s="6">
        <v>2</v>
      </c>
      <c r="W127" s="6">
        <v>0</v>
      </c>
      <c r="X127" s="6">
        <v>3</v>
      </c>
      <c r="AX127" s="150"/>
      <c r="AY127" s="150"/>
      <c r="AZ127" s="150"/>
      <c r="BA127" s="150"/>
      <c r="BB127" s="150"/>
      <c r="BC127" s="150"/>
      <c r="BD127" s="150"/>
      <c r="BE127" s="150"/>
      <c r="BF127" s="150"/>
      <c r="BG127" s="150"/>
      <c r="BH127" s="150"/>
      <c r="BI127" s="150"/>
      <c r="BJ127" s="150"/>
      <c r="BK127" s="150"/>
      <c r="BL127" s="150"/>
    </row>
    <row r="128" spans="1:64" ht="15.75" hidden="1" customHeight="1" x14ac:dyDescent="0.2">
      <c r="A128" s="6" t="s">
        <v>1013</v>
      </c>
      <c r="B128" s="6" t="s">
        <v>456</v>
      </c>
      <c r="C128" s="6">
        <v>21414</v>
      </c>
      <c r="D128" s="6">
        <v>1938</v>
      </c>
      <c r="E128" s="6">
        <v>3.85</v>
      </c>
      <c r="F128" s="6">
        <v>608</v>
      </c>
      <c r="G128" s="6">
        <v>316</v>
      </c>
      <c r="H128" s="6">
        <v>0.61</v>
      </c>
      <c r="I128" s="6">
        <v>3</v>
      </c>
      <c r="J128" s="6">
        <v>4</v>
      </c>
      <c r="K128" s="6">
        <v>4</v>
      </c>
      <c r="L128" s="6">
        <v>2</v>
      </c>
      <c r="M128" s="6">
        <v>3</v>
      </c>
      <c r="N128" s="6">
        <v>1</v>
      </c>
      <c r="O128" s="6">
        <v>2</v>
      </c>
      <c r="P128" s="6">
        <v>0</v>
      </c>
      <c r="Q128" s="6">
        <v>3</v>
      </c>
      <c r="R128" s="6">
        <v>0</v>
      </c>
      <c r="S128" s="6">
        <v>0</v>
      </c>
      <c r="T128" s="6">
        <v>1</v>
      </c>
      <c r="U128" s="6">
        <v>1</v>
      </c>
      <c r="V128" s="6">
        <v>2</v>
      </c>
      <c r="W128" s="6">
        <v>0</v>
      </c>
      <c r="X128" s="6">
        <v>3</v>
      </c>
      <c r="AX128" s="150"/>
      <c r="AY128" s="150"/>
      <c r="AZ128" s="150"/>
      <c r="BA128" s="150"/>
      <c r="BB128" s="150"/>
      <c r="BC128" s="150"/>
      <c r="BD128" s="150"/>
      <c r="BE128" s="150"/>
      <c r="BF128" s="150"/>
      <c r="BG128" s="150"/>
      <c r="BH128" s="150"/>
      <c r="BI128" s="150"/>
      <c r="BJ128" s="150"/>
      <c r="BK128" s="150"/>
      <c r="BL128" s="150"/>
    </row>
    <row r="129" spans="1:64" ht="15.75" hidden="1" customHeight="1" x14ac:dyDescent="0.2">
      <c r="A129" s="6" t="s">
        <v>1014</v>
      </c>
      <c r="B129" s="6" t="s">
        <v>479</v>
      </c>
      <c r="C129" s="6">
        <v>23927</v>
      </c>
      <c r="D129" s="6">
        <v>1974</v>
      </c>
      <c r="E129" s="6">
        <v>3.81</v>
      </c>
      <c r="F129" s="6">
        <v>1202</v>
      </c>
      <c r="G129" s="6">
        <v>294</v>
      </c>
      <c r="H129" s="6">
        <v>0.56999999999999995</v>
      </c>
      <c r="I129" s="6">
        <v>2</v>
      </c>
      <c r="J129" s="6">
        <v>3</v>
      </c>
      <c r="K129" s="6">
        <v>3</v>
      </c>
      <c r="L129" s="6">
        <v>2</v>
      </c>
      <c r="M129" s="6">
        <v>4</v>
      </c>
      <c r="N129" s="6">
        <v>1</v>
      </c>
      <c r="O129" s="6">
        <v>2</v>
      </c>
      <c r="P129" s="6">
        <v>2</v>
      </c>
      <c r="Q129" s="6">
        <v>3</v>
      </c>
      <c r="R129" s="6">
        <v>1</v>
      </c>
      <c r="S129" s="6">
        <v>4</v>
      </c>
      <c r="T129" s="6">
        <v>2</v>
      </c>
      <c r="U129" s="6">
        <v>1</v>
      </c>
      <c r="V129" s="6">
        <v>2</v>
      </c>
      <c r="W129" s="6">
        <v>3</v>
      </c>
      <c r="X129" s="6">
        <v>3</v>
      </c>
      <c r="AX129" s="150"/>
      <c r="AY129" s="150"/>
      <c r="AZ129" s="150"/>
      <c r="BA129" s="150"/>
      <c r="BB129" s="150"/>
      <c r="BC129" s="150"/>
      <c r="BD129" s="150"/>
      <c r="BE129" s="150"/>
      <c r="BF129" s="150"/>
      <c r="BG129" s="150"/>
      <c r="BH129" s="150"/>
      <c r="BI129" s="150"/>
      <c r="BJ129" s="150"/>
      <c r="BK129" s="150"/>
      <c r="BL129" s="150"/>
    </row>
    <row r="130" spans="1:64" ht="15.75" hidden="1" customHeight="1" x14ac:dyDescent="0.2">
      <c r="A130" s="6" t="s">
        <v>1015</v>
      </c>
      <c r="B130" s="6" t="s">
        <v>444</v>
      </c>
      <c r="C130" s="6">
        <v>29926</v>
      </c>
      <c r="D130" s="6">
        <v>1987</v>
      </c>
      <c r="E130" s="6">
        <v>3.47</v>
      </c>
      <c r="F130" s="6">
        <v>1285</v>
      </c>
      <c r="G130" s="6">
        <v>290</v>
      </c>
      <c r="H130" s="6">
        <v>0.56000000000000005</v>
      </c>
      <c r="I130" s="6">
        <v>2</v>
      </c>
      <c r="J130" s="6">
        <v>3</v>
      </c>
      <c r="K130" s="6">
        <v>4</v>
      </c>
      <c r="L130" s="6">
        <v>1</v>
      </c>
      <c r="M130" s="6">
        <v>4</v>
      </c>
      <c r="N130" s="6">
        <v>3</v>
      </c>
      <c r="O130" s="6">
        <v>3</v>
      </c>
      <c r="P130" s="6">
        <v>2</v>
      </c>
      <c r="Q130" s="6">
        <v>1</v>
      </c>
      <c r="R130" s="6">
        <v>2</v>
      </c>
      <c r="S130" s="6">
        <v>1</v>
      </c>
      <c r="T130" s="6">
        <v>2</v>
      </c>
      <c r="U130" s="6">
        <v>1</v>
      </c>
      <c r="V130" s="6">
        <v>2</v>
      </c>
      <c r="W130" s="6">
        <v>3</v>
      </c>
      <c r="X130" s="6">
        <v>4</v>
      </c>
      <c r="AX130" s="150"/>
      <c r="AY130" s="150"/>
      <c r="AZ130" s="150"/>
      <c r="BA130" s="150"/>
      <c r="BB130" s="150"/>
      <c r="BC130" s="150"/>
      <c r="BD130" s="150"/>
      <c r="BE130" s="150"/>
      <c r="BF130" s="150"/>
      <c r="BG130" s="150"/>
      <c r="BH130" s="150"/>
      <c r="BI130" s="150"/>
      <c r="BJ130" s="150"/>
      <c r="BK130" s="150"/>
      <c r="BL130" s="150"/>
    </row>
    <row r="131" spans="1:64" ht="15.75" hidden="1" customHeight="1" x14ac:dyDescent="0.2">
      <c r="A131" s="6" t="s">
        <v>1016</v>
      </c>
      <c r="B131" s="6" t="s">
        <v>425</v>
      </c>
      <c r="C131" s="6">
        <v>42354</v>
      </c>
      <c r="D131" s="6">
        <v>1978</v>
      </c>
      <c r="E131" s="6">
        <v>3.76</v>
      </c>
      <c r="F131" s="6">
        <v>3313</v>
      </c>
      <c r="G131" s="6">
        <v>284</v>
      </c>
      <c r="H131" s="6">
        <v>0.55000000000000004</v>
      </c>
      <c r="I131" s="6">
        <v>2</v>
      </c>
      <c r="J131" s="6">
        <v>3</v>
      </c>
      <c r="K131" s="6">
        <v>4</v>
      </c>
      <c r="L131" s="6">
        <v>1</v>
      </c>
      <c r="M131" s="6">
        <v>4</v>
      </c>
      <c r="N131" s="6">
        <v>2</v>
      </c>
      <c r="O131" s="6">
        <v>3</v>
      </c>
      <c r="P131" s="6">
        <v>0</v>
      </c>
      <c r="Q131" s="6">
        <v>2</v>
      </c>
      <c r="R131" s="6">
        <v>1</v>
      </c>
      <c r="S131" s="6">
        <v>0</v>
      </c>
      <c r="T131" s="6">
        <v>3</v>
      </c>
      <c r="U131" s="6">
        <v>0</v>
      </c>
      <c r="V131" s="6">
        <v>1</v>
      </c>
      <c r="W131" s="6">
        <v>2</v>
      </c>
      <c r="X131" s="6">
        <v>3</v>
      </c>
      <c r="AX131" s="150"/>
      <c r="AY131" s="150"/>
      <c r="AZ131" s="150"/>
      <c r="BA131" s="150"/>
      <c r="BB131" s="150"/>
      <c r="BC131" s="150"/>
      <c r="BD131" s="150"/>
      <c r="BE131" s="150"/>
      <c r="BF131" s="150"/>
      <c r="BG131" s="150"/>
      <c r="BH131" s="150"/>
      <c r="BI131" s="150"/>
      <c r="BJ131" s="150"/>
      <c r="BK131" s="150"/>
      <c r="BL131" s="150"/>
    </row>
    <row r="132" spans="1:64" ht="15.75" hidden="1" customHeight="1" x14ac:dyDescent="0.2">
      <c r="A132" s="6" t="s">
        <v>1017</v>
      </c>
      <c r="B132" s="6" t="s">
        <v>373</v>
      </c>
      <c r="C132" s="6">
        <v>83301</v>
      </c>
      <c r="D132" s="6">
        <v>1982</v>
      </c>
      <c r="E132" s="6">
        <v>3.54</v>
      </c>
      <c r="F132" s="6">
        <v>33208</v>
      </c>
      <c r="G132" s="6">
        <v>280</v>
      </c>
      <c r="H132" s="6">
        <v>0.54</v>
      </c>
      <c r="I132" s="6">
        <v>2</v>
      </c>
      <c r="J132" s="6">
        <v>3</v>
      </c>
      <c r="K132" s="6">
        <v>4</v>
      </c>
      <c r="L132" s="6">
        <v>2</v>
      </c>
      <c r="M132" s="6">
        <v>3</v>
      </c>
      <c r="N132" s="6">
        <v>4</v>
      </c>
      <c r="O132" s="6">
        <v>4</v>
      </c>
      <c r="P132" s="6">
        <v>1</v>
      </c>
      <c r="Q132" s="6">
        <v>0</v>
      </c>
      <c r="R132" s="6">
        <v>0</v>
      </c>
      <c r="S132" s="6">
        <v>3</v>
      </c>
      <c r="T132" s="6">
        <v>2</v>
      </c>
      <c r="U132" s="6">
        <v>1</v>
      </c>
      <c r="V132" s="6">
        <v>2</v>
      </c>
      <c r="W132" s="6">
        <v>0</v>
      </c>
      <c r="X132" s="6">
        <v>3</v>
      </c>
      <c r="AX132" s="150"/>
      <c r="AY132" s="150"/>
      <c r="AZ132" s="150"/>
      <c r="BA132" s="150"/>
      <c r="BB132" s="150"/>
      <c r="BC132" s="150"/>
      <c r="BD132" s="150"/>
      <c r="BE132" s="150"/>
      <c r="BF132" s="150"/>
      <c r="BG132" s="150"/>
      <c r="BH132" s="150"/>
      <c r="BI132" s="150"/>
      <c r="BJ132" s="150"/>
      <c r="BK132" s="150"/>
      <c r="BL132" s="150"/>
    </row>
    <row r="133" spans="1:64" ht="15.75" hidden="1" customHeight="1" x14ac:dyDescent="0.2">
      <c r="A133" s="6" t="s">
        <v>1018</v>
      </c>
      <c r="B133" s="6" t="s">
        <v>430</v>
      </c>
      <c r="C133" s="6">
        <v>20241</v>
      </c>
      <c r="D133" s="6">
        <v>1999</v>
      </c>
      <c r="E133" s="6">
        <v>4.1399999999999997</v>
      </c>
      <c r="F133" s="6">
        <v>110779</v>
      </c>
      <c r="G133" s="6">
        <v>278</v>
      </c>
      <c r="H133" s="6">
        <v>0.54</v>
      </c>
      <c r="I133" s="6">
        <v>3</v>
      </c>
      <c r="J133" s="6">
        <v>4</v>
      </c>
      <c r="K133" s="6">
        <v>4</v>
      </c>
      <c r="L133" s="6">
        <v>2</v>
      </c>
      <c r="M133" s="6">
        <v>3</v>
      </c>
      <c r="N133" s="6">
        <v>1</v>
      </c>
      <c r="O133" s="6">
        <v>3</v>
      </c>
      <c r="P133" s="6">
        <v>0</v>
      </c>
      <c r="Q133" s="6">
        <v>4</v>
      </c>
      <c r="R133" s="6">
        <v>0</v>
      </c>
      <c r="S133" s="6">
        <v>2</v>
      </c>
      <c r="T133" s="6">
        <v>4</v>
      </c>
      <c r="U133" s="6">
        <v>1</v>
      </c>
      <c r="V133" s="6">
        <v>2</v>
      </c>
      <c r="W133" s="6">
        <v>3</v>
      </c>
      <c r="X133" s="6">
        <v>3</v>
      </c>
      <c r="AX133" s="150"/>
      <c r="AY133" s="150"/>
      <c r="AZ133" s="150"/>
      <c r="BA133" s="150"/>
      <c r="BB133" s="150"/>
      <c r="BC133" s="150"/>
      <c r="BD133" s="150"/>
      <c r="BE133" s="150"/>
      <c r="BF133" s="150"/>
      <c r="BG133" s="150"/>
      <c r="BH133" s="150"/>
      <c r="BI133" s="150"/>
      <c r="BJ133" s="150"/>
      <c r="BK133" s="150"/>
      <c r="BL133" s="150"/>
    </row>
    <row r="134" spans="1:64" ht="15.75" hidden="1" customHeight="1" x14ac:dyDescent="0.2">
      <c r="A134" s="6" t="s">
        <v>1019</v>
      </c>
      <c r="B134" s="6" t="s">
        <v>430</v>
      </c>
      <c r="C134" s="6">
        <v>25768</v>
      </c>
      <c r="D134" s="6">
        <v>1886</v>
      </c>
      <c r="E134" s="6">
        <v>3.58</v>
      </c>
      <c r="F134" s="6">
        <v>3233</v>
      </c>
      <c r="G134" s="6">
        <v>273</v>
      </c>
      <c r="H134" s="6">
        <v>0.53</v>
      </c>
      <c r="I134" s="6">
        <v>2</v>
      </c>
      <c r="J134" s="6">
        <v>4</v>
      </c>
      <c r="K134" s="6">
        <v>4</v>
      </c>
      <c r="L134" s="6">
        <v>1</v>
      </c>
      <c r="M134" s="6">
        <v>3</v>
      </c>
      <c r="N134" s="6">
        <v>2</v>
      </c>
      <c r="O134" s="6">
        <v>4</v>
      </c>
      <c r="P134" s="6">
        <v>0</v>
      </c>
      <c r="Q134" s="6">
        <v>4</v>
      </c>
      <c r="R134" s="6">
        <v>0</v>
      </c>
      <c r="S134" s="6">
        <v>2</v>
      </c>
      <c r="T134" s="6">
        <v>4</v>
      </c>
      <c r="U134" s="6">
        <v>1</v>
      </c>
      <c r="V134" s="6">
        <v>2</v>
      </c>
      <c r="W134" s="6">
        <v>0</v>
      </c>
      <c r="X134" s="6">
        <v>3</v>
      </c>
      <c r="AX134" s="150"/>
      <c r="AY134" s="150"/>
      <c r="AZ134" s="150"/>
      <c r="BA134" s="150"/>
      <c r="BB134" s="150"/>
      <c r="BC134" s="150"/>
      <c r="BD134" s="150"/>
      <c r="BE134" s="150"/>
      <c r="BF134" s="150"/>
      <c r="BG134" s="150"/>
      <c r="BH134" s="150"/>
      <c r="BI134" s="150"/>
      <c r="BJ134" s="150"/>
      <c r="BK134" s="150"/>
      <c r="BL134" s="150"/>
    </row>
    <row r="135" spans="1:64" ht="15.75" hidden="1" customHeight="1" x14ac:dyDescent="0.2">
      <c r="A135" s="6" t="s">
        <v>1020</v>
      </c>
      <c r="B135" s="6" t="s">
        <v>392</v>
      </c>
      <c r="C135" s="6">
        <v>57939</v>
      </c>
      <c r="D135" s="6">
        <v>1934</v>
      </c>
      <c r="E135" s="6">
        <v>3.91</v>
      </c>
      <c r="F135" s="6">
        <v>36380</v>
      </c>
      <c r="G135" s="6">
        <v>271</v>
      </c>
      <c r="H135" s="6">
        <v>0.53</v>
      </c>
      <c r="I135" s="6">
        <v>2</v>
      </c>
      <c r="J135" s="6">
        <v>3</v>
      </c>
      <c r="K135" s="6">
        <v>4</v>
      </c>
      <c r="L135" s="6">
        <v>1</v>
      </c>
      <c r="M135" s="6">
        <v>4</v>
      </c>
      <c r="N135" s="6">
        <v>2</v>
      </c>
      <c r="O135" s="6">
        <v>3</v>
      </c>
      <c r="P135" s="6">
        <v>1</v>
      </c>
      <c r="Q135" s="6">
        <v>4</v>
      </c>
      <c r="R135" s="6">
        <v>1</v>
      </c>
      <c r="S135" s="6">
        <v>2</v>
      </c>
      <c r="T135" s="6">
        <v>2</v>
      </c>
      <c r="U135" s="6">
        <v>1</v>
      </c>
      <c r="V135" s="6">
        <v>2</v>
      </c>
      <c r="W135" s="6">
        <v>1</v>
      </c>
      <c r="X135" s="6">
        <v>2</v>
      </c>
      <c r="AX135" s="150"/>
      <c r="AY135" s="150"/>
      <c r="AZ135" s="150"/>
      <c r="BA135" s="150"/>
      <c r="BB135" s="150"/>
      <c r="BC135" s="150"/>
      <c r="BD135" s="150"/>
      <c r="BE135" s="150"/>
      <c r="BF135" s="150"/>
      <c r="BG135" s="150"/>
      <c r="BH135" s="150"/>
      <c r="BI135" s="150"/>
      <c r="BJ135" s="150"/>
      <c r="BK135" s="150"/>
      <c r="BL135" s="150"/>
    </row>
    <row r="136" spans="1:64" ht="15.75" hidden="1" customHeight="1" x14ac:dyDescent="0.2">
      <c r="A136" s="6" t="s">
        <v>1021</v>
      </c>
      <c r="B136" s="6" t="s">
        <v>452</v>
      </c>
      <c r="C136" s="6">
        <v>95260</v>
      </c>
      <c r="D136" s="6">
        <v>1974</v>
      </c>
      <c r="E136" s="6">
        <v>3.69</v>
      </c>
      <c r="F136" s="6">
        <v>4194</v>
      </c>
      <c r="G136" s="6">
        <v>261</v>
      </c>
      <c r="H136" s="6">
        <v>0.51</v>
      </c>
      <c r="I136" s="6">
        <v>2</v>
      </c>
      <c r="J136" s="6">
        <v>3</v>
      </c>
      <c r="K136" s="6">
        <v>4</v>
      </c>
      <c r="L136" s="6">
        <v>1</v>
      </c>
      <c r="M136" s="6">
        <v>4</v>
      </c>
      <c r="N136" s="6">
        <v>3</v>
      </c>
      <c r="O136" s="6">
        <v>2</v>
      </c>
      <c r="P136" s="6">
        <v>1</v>
      </c>
      <c r="Q136" s="6">
        <v>2</v>
      </c>
      <c r="R136" s="6">
        <v>3</v>
      </c>
      <c r="S136" s="6">
        <v>2</v>
      </c>
      <c r="T136" s="6">
        <v>4</v>
      </c>
      <c r="U136" s="6">
        <v>1</v>
      </c>
      <c r="V136" s="6">
        <v>2</v>
      </c>
      <c r="W136" s="6">
        <v>4</v>
      </c>
      <c r="X136" s="6">
        <v>3</v>
      </c>
      <c r="AX136" s="150"/>
      <c r="AY136" s="150"/>
      <c r="AZ136" s="150"/>
      <c r="BA136" s="150"/>
      <c r="BB136" s="150"/>
      <c r="BC136" s="150"/>
      <c r="BD136" s="150"/>
      <c r="BE136" s="150"/>
      <c r="BF136" s="150"/>
      <c r="BG136" s="150"/>
      <c r="BH136" s="150"/>
      <c r="BI136" s="150"/>
      <c r="BJ136" s="150"/>
      <c r="BK136" s="150"/>
      <c r="BL136" s="150"/>
    </row>
    <row r="137" spans="1:64" ht="15.75" hidden="1" customHeight="1" x14ac:dyDescent="0.2">
      <c r="A137" s="6" t="s">
        <v>1022</v>
      </c>
      <c r="B137" s="6" t="s">
        <v>534</v>
      </c>
      <c r="C137" s="6">
        <v>69614</v>
      </c>
      <c r="D137" s="6">
        <v>1968</v>
      </c>
      <c r="E137" s="6">
        <v>4.01</v>
      </c>
      <c r="F137" s="6">
        <v>332183</v>
      </c>
      <c r="G137" s="6">
        <v>261</v>
      </c>
      <c r="H137" s="6">
        <v>0.51</v>
      </c>
      <c r="I137" s="6">
        <v>2</v>
      </c>
      <c r="J137" s="6">
        <v>3</v>
      </c>
      <c r="K137" s="6">
        <v>3</v>
      </c>
      <c r="L137" s="6">
        <v>2</v>
      </c>
      <c r="M137" s="6">
        <v>3</v>
      </c>
      <c r="N137" s="6">
        <v>4</v>
      </c>
      <c r="O137" s="6">
        <v>4</v>
      </c>
      <c r="P137" s="6">
        <v>0</v>
      </c>
      <c r="Q137" s="6">
        <v>1</v>
      </c>
      <c r="R137" s="6">
        <v>0</v>
      </c>
      <c r="S137" s="6">
        <v>1</v>
      </c>
      <c r="T137" s="6">
        <v>2</v>
      </c>
      <c r="U137" s="6">
        <v>1</v>
      </c>
      <c r="V137" s="6">
        <v>2</v>
      </c>
      <c r="W137" s="6">
        <v>3</v>
      </c>
      <c r="X137" s="6">
        <v>3</v>
      </c>
      <c r="AX137" s="150"/>
      <c r="AY137" s="150"/>
      <c r="AZ137" s="150"/>
      <c r="BA137" s="150"/>
      <c r="BB137" s="150"/>
      <c r="BC137" s="150"/>
      <c r="BD137" s="150"/>
      <c r="BE137" s="150"/>
      <c r="BF137" s="150"/>
      <c r="BG137" s="150"/>
      <c r="BH137" s="150"/>
      <c r="BI137" s="150"/>
      <c r="BJ137" s="150"/>
      <c r="BK137" s="150"/>
      <c r="BL137" s="150"/>
    </row>
    <row r="138" spans="1:64" ht="15.75" hidden="1" customHeight="1" x14ac:dyDescent="0.2">
      <c r="A138" s="6" t="s">
        <v>1023</v>
      </c>
      <c r="B138" s="6" t="s">
        <v>399</v>
      </c>
      <c r="C138" s="6">
        <v>76894</v>
      </c>
      <c r="D138" s="6">
        <v>1924</v>
      </c>
      <c r="E138" s="6">
        <v>3.63</v>
      </c>
      <c r="F138" s="6">
        <v>352</v>
      </c>
      <c r="G138" s="6">
        <v>251</v>
      </c>
      <c r="H138" s="6">
        <v>0.49</v>
      </c>
      <c r="I138" s="6">
        <v>2</v>
      </c>
      <c r="J138" s="6">
        <v>3</v>
      </c>
      <c r="K138" s="6">
        <v>4</v>
      </c>
      <c r="L138" s="6">
        <v>2</v>
      </c>
      <c r="M138" s="6">
        <v>3</v>
      </c>
      <c r="N138" s="6">
        <v>2</v>
      </c>
      <c r="O138" s="6">
        <v>4</v>
      </c>
      <c r="P138" s="6">
        <v>1</v>
      </c>
      <c r="Q138" s="6">
        <v>1</v>
      </c>
      <c r="R138" s="6">
        <v>2</v>
      </c>
      <c r="S138" s="6">
        <v>2</v>
      </c>
      <c r="T138" s="6">
        <v>3</v>
      </c>
      <c r="U138" s="6">
        <v>1</v>
      </c>
      <c r="V138" s="6">
        <v>2</v>
      </c>
      <c r="W138" s="6">
        <v>4</v>
      </c>
      <c r="X138" s="6">
        <v>3</v>
      </c>
      <c r="AX138" s="150"/>
      <c r="AY138" s="150"/>
      <c r="AZ138" s="150"/>
      <c r="BA138" s="150"/>
      <c r="BB138" s="150"/>
      <c r="BC138" s="150"/>
      <c r="BD138" s="150"/>
      <c r="BE138" s="150"/>
      <c r="BF138" s="150"/>
      <c r="BG138" s="150"/>
      <c r="BH138" s="150"/>
      <c r="BI138" s="150"/>
      <c r="BJ138" s="150"/>
      <c r="BK138" s="150"/>
      <c r="BL138" s="150"/>
    </row>
    <row r="139" spans="1:64" ht="15.75" hidden="1" customHeight="1" x14ac:dyDescent="0.2">
      <c r="A139" s="6" t="s">
        <v>1024</v>
      </c>
      <c r="B139" s="6" t="s">
        <v>540</v>
      </c>
      <c r="C139" s="6">
        <v>30018</v>
      </c>
      <c r="D139" s="6">
        <v>1941</v>
      </c>
      <c r="E139" s="6">
        <v>3.74</v>
      </c>
      <c r="F139" s="6">
        <v>7467</v>
      </c>
      <c r="G139" s="6">
        <v>248</v>
      </c>
      <c r="H139" s="6">
        <v>0.48</v>
      </c>
      <c r="I139" s="6">
        <v>2</v>
      </c>
      <c r="J139" s="6">
        <v>3</v>
      </c>
      <c r="K139" s="6">
        <v>4</v>
      </c>
      <c r="L139" s="6">
        <v>2</v>
      </c>
      <c r="M139" s="6">
        <v>4</v>
      </c>
      <c r="N139" s="6">
        <v>1</v>
      </c>
      <c r="O139" s="6">
        <v>3</v>
      </c>
      <c r="P139" s="6">
        <v>1</v>
      </c>
      <c r="Q139" s="6">
        <v>2</v>
      </c>
      <c r="R139" s="6">
        <v>3</v>
      </c>
      <c r="S139" s="6">
        <v>2</v>
      </c>
      <c r="T139" s="6">
        <v>2</v>
      </c>
      <c r="U139" s="6">
        <v>1</v>
      </c>
      <c r="V139" s="6">
        <v>2</v>
      </c>
      <c r="W139" s="6">
        <v>4</v>
      </c>
      <c r="X139" s="6">
        <v>3</v>
      </c>
      <c r="AX139" s="150"/>
      <c r="AY139" s="150"/>
      <c r="AZ139" s="150"/>
      <c r="BA139" s="150"/>
      <c r="BB139" s="150"/>
      <c r="BC139" s="150"/>
      <c r="BD139" s="150"/>
      <c r="BE139" s="150"/>
      <c r="BF139" s="150"/>
      <c r="BG139" s="150"/>
      <c r="BH139" s="150"/>
      <c r="BI139" s="150"/>
      <c r="BJ139" s="150"/>
      <c r="BK139" s="150"/>
      <c r="BL139" s="150"/>
    </row>
    <row r="140" spans="1:64" ht="15.75" hidden="1" customHeight="1" x14ac:dyDescent="0.2">
      <c r="A140" s="6" t="s">
        <v>1025</v>
      </c>
      <c r="B140" s="6" t="s">
        <v>500</v>
      </c>
      <c r="C140" s="6">
        <v>84127</v>
      </c>
      <c r="D140" s="6">
        <v>1979</v>
      </c>
      <c r="E140" s="6">
        <v>4.08</v>
      </c>
      <c r="F140" s="6">
        <v>201510</v>
      </c>
      <c r="G140" s="6">
        <v>244</v>
      </c>
      <c r="H140" s="6">
        <v>0.47</v>
      </c>
      <c r="I140" s="6">
        <v>3</v>
      </c>
      <c r="J140" s="6">
        <v>4</v>
      </c>
      <c r="K140" s="6">
        <v>4</v>
      </c>
      <c r="L140" s="6">
        <v>3</v>
      </c>
      <c r="M140" s="6">
        <v>4</v>
      </c>
      <c r="N140" s="6">
        <v>2</v>
      </c>
      <c r="O140" s="6">
        <v>3</v>
      </c>
      <c r="P140" s="6">
        <v>1</v>
      </c>
      <c r="Q140" s="6">
        <v>2</v>
      </c>
      <c r="R140" s="6">
        <v>1</v>
      </c>
      <c r="S140" s="6">
        <v>3</v>
      </c>
      <c r="T140" s="6">
        <v>4</v>
      </c>
      <c r="U140" s="6">
        <v>2</v>
      </c>
      <c r="V140" s="6">
        <v>3</v>
      </c>
      <c r="W140" s="6">
        <v>1</v>
      </c>
      <c r="X140" s="6">
        <v>4</v>
      </c>
      <c r="AX140" s="150"/>
      <c r="AY140" s="150"/>
      <c r="AZ140" s="150"/>
      <c r="BA140" s="150"/>
      <c r="BB140" s="150"/>
      <c r="BC140" s="150"/>
      <c r="BD140" s="150"/>
      <c r="BE140" s="150"/>
      <c r="BF140" s="150"/>
      <c r="BG140" s="150"/>
      <c r="BH140" s="150"/>
      <c r="BI140" s="150"/>
      <c r="BJ140" s="150"/>
      <c r="BK140" s="150"/>
      <c r="BL140" s="150"/>
    </row>
    <row r="141" spans="1:64" ht="15.75" hidden="1" customHeight="1" x14ac:dyDescent="0.2">
      <c r="A141" s="6" t="s">
        <v>1026</v>
      </c>
      <c r="B141" s="6" t="s">
        <v>493</v>
      </c>
      <c r="C141" s="6">
        <v>113858</v>
      </c>
      <c r="D141" s="6">
        <v>1985</v>
      </c>
      <c r="E141" s="6">
        <v>3.76</v>
      </c>
      <c r="F141" s="6">
        <v>21698</v>
      </c>
      <c r="G141" s="6">
        <v>243</v>
      </c>
      <c r="H141" s="6">
        <v>0.47</v>
      </c>
      <c r="I141" s="6">
        <v>2</v>
      </c>
      <c r="J141" s="6">
        <v>3</v>
      </c>
      <c r="K141" s="6">
        <v>4</v>
      </c>
      <c r="L141" s="6">
        <v>2</v>
      </c>
      <c r="M141" s="6">
        <v>4</v>
      </c>
      <c r="N141" s="6">
        <v>1</v>
      </c>
      <c r="O141" s="6">
        <v>3</v>
      </c>
      <c r="P141" s="6">
        <v>0</v>
      </c>
      <c r="Q141" s="6">
        <v>3</v>
      </c>
      <c r="R141" s="6">
        <v>1</v>
      </c>
      <c r="S141" s="6">
        <v>0</v>
      </c>
      <c r="T141" s="6">
        <v>4</v>
      </c>
      <c r="U141" s="6">
        <v>1</v>
      </c>
      <c r="V141" s="6">
        <v>2</v>
      </c>
      <c r="W141" s="6">
        <v>0</v>
      </c>
      <c r="X141" s="6">
        <v>3</v>
      </c>
      <c r="AX141" s="150"/>
      <c r="AY141" s="150"/>
      <c r="AZ141" s="150"/>
      <c r="BA141" s="150"/>
      <c r="BB141" s="150"/>
      <c r="BC141" s="150"/>
      <c r="BD141" s="150"/>
      <c r="BE141" s="150"/>
      <c r="BF141" s="150"/>
      <c r="BG141" s="150"/>
      <c r="BH141" s="150"/>
      <c r="BI141" s="150"/>
      <c r="BJ141" s="150"/>
      <c r="BK141" s="150"/>
      <c r="BL141" s="150"/>
    </row>
    <row r="142" spans="1:64" ht="15.75" hidden="1" customHeight="1" x14ac:dyDescent="0.2">
      <c r="A142" s="6" t="s">
        <v>1027</v>
      </c>
      <c r="B142" s="6" t="s">
        <v>466</v>
      </c>
      <c r="C142" s="6">
        <v>39996</v>
      </c>
      <c r="D142" s="6">
        <v>1974</v>
      </c>
      <c r="E142" s="6">
        <v>3.58</v>
      </c>
      <c r="F142" s="6">
        <v>885</v>
      </c>
      <c r="G142" s="6">
        <v>239</v>
      </c>
      <c r="H142" s="6">
        <v>0.46</v>
      </c>
      <c r="I142" s="6">
        <v>2</v>
      </c>
      <c r="J142" s="6">
        <v>3</v>
      </c>
      <c r="K142" s="6">
        <v>3</v>
      </c>
      <c r="L142" s="6">
        <v>1</v>
      </c>
      <c r="M142" s="6">
        <v>4</v>
      </c>
      <c r="N142" s="6">
        <v>2</v>
      </c>
      <c r="O142" s="6">
        <v>3</v>
      </c>
      <c r="P142" s="6">
        <v>1</v>
      </c>
      <c r="Q142" s="6">
        <v>2</v>
      </c>
      <c r="R142" s="6">
        <v>0</v>
      </c>
      <c r="S142" s="6">
        <v>3</v>
      </c>
      <c r="T142" s="6">
        <v>4</v>
      </c>
      <c r="U142" s="6">
        <v>1</v>
      </c>
      <c r="V142" s="6">
        <v>2</v>
      </c>
      <c r="W142" s="6">
        <v>2</v>
      </c>
      <c r="X142" s="6">
        <v>3</v>
      </c>
      <c r="AX142" s="150"/>
      <c r="AY142" s="150"/>
      <c r="AZ142" s="150"/>
      <c r="BA142" s="150"/>
      <c r="BB142" s="150"/>
      <c r="BC142" s="150"/>
      <c r="BD142" s="150"/>
      <c r="BE142" s="150"/>
      <c r="BF142" s="150"/>
      <c r="BG142" s="150"/>
      <c r="BH142" s="150"/>
      <c r="BI142" s="150"/>
      <c r="BJ142" s="150"/>
      <c r="BK142" s="150"/>
      <c r="BL142" s="150"/>
    </row>
    <row r="143" spans="1:64" ht="15.75" hidden="1" customHeight="1" x14ac:dyDescent="0.2">
      <c r="A143" s="6" t="s">
        <v>1028</v>
      </c>
      <c r="B143" s="6" t="s">
        <v>14</v>
      </c>
      <c r="C143" s="6">
        <v>54585</v>
      </c>
      <c r="D143" s="6">
        <v>1982</v>
      </c>
      <c r="E143" s="6">
        <v>4</v>
      </c>
      <c r="F143" s="6">
        <v>78</v>
      </c>
      <c r="G143" s="6">
        <v>237</v>
      </c>
      <c r="H143" s="6">
        <v>0.46</v>
      </c>
      <c r="I143" s="6">
        <v>2</v>
      </c>
      <c r="J143" s="6">
        <v>4</v>
      </c>
      <c r="K143" s="6">
        <v>3</v>
      </c>
      <c r="L143" s="6">
        <v>2</v>
      </c>
      <c r="M143" s="6">
        <v>4</v>
      </c>
      <c r="N143" s="6">
        <v>1</v>
      </c>
      <c r="O143" s="6">
        <v>3</v>
      </c>
      <c r="P143" s="6">
        <v>0</v>
      </c>
      <c r="Q143" s="6">
        <v>1</v>
      </c>
      <c r="R143" s="6">
        <v>1</v>
      </c>
      <c r="S143" s="6">
        <v>2</v>
      </c>
      <c r="T143" s="6">
        <v>4</v>
      </c>
      <c r="U143" s="6">
        <v>1</v>
      </c>
      <c r="V143" s="6">
        <v>2</v>
      </c>
      <c r="W143" s="6">
        <v>0</v>
      </c>
      <c r="X143" s="6">
        <v>3</v>
      </c>
      <c r="AX143" s="150"/>
      <c r="AY143" s="150"/>
      <c r="AZ143" s="150"/>
      <c r="BA143" s="150"/>
      <c r="BB143" s="150"/>
      <c r="BC143" s="150"/>
      <c r="BD143" s="150"/>
      <c r="BE143" s="150"/>
      <c r="BF143" s="150"/>
      <c r="BG143" s="150"/>
      <c r="BH143" s="150"/>
      <c r="BI143" s="150"/>
      <c r="BJ143" s="150"/>
      <c r="BK143" s="150"/>
      <c r="BL143" s="150"/>
    </row>
    <row r="144" spans="1:64" ht="15.75" hidden="1" customHeight="1" x14ac:dyDescent="0.2">
      <c r="A144" s="6" t="s">
        <v>1029</v>
      </c>
      <c r="B144" s="6" t="s">
        <v>357</v>
      </c>
      <c r="C144" s="6">
        <v>114218</v>
      </c>
      <c r="D144" s="6">
        <v>1996</v>
      </c>
      <c r="E144" s="6">
        <v>3.98</v>
      </c>
      <c r="F144" s="6">
        <v>90843</v>
      </c>
      <c r="G144" s="6">
        <v>233</v>
      </c>
      <c r="H144" s="6">
        <v>0.45</v>
      </c>
      <c r="I144" s="6">
        <v>3</v>
      </c>
      <c r="J144" s="6">
        <v>4</v>
      </c>
      <c r="K144" s="6">
        <v>4</v>
      </c>
      <c r="L144" s="6">
        <v>3</v>
      </c>
      <c r="M144" s="6">
        <v>4</v>
      </c>
      <c r="N144" s="6">
        <v>2</v>
      </c>
      <c r="O144" s="6">
        <v>3</v>
      </c>
      <c r="P144" s="6">
        <v>1</v>
      </c>
      <c r="Q144" s="6">
        <v>2</v>
      </c>
      <c r="R144" s="6">
        <v>1</v>
      </c>
      <c r="S144" s="6">
        <v>2</v>
      </c>
      <c r="T144" s="6">
        <v>4</v>
      </c>
      <c r="U144" s="6">
        <v>1</v>
      </c>
      <c r="V144" s="6">
        <v>3</v>
      </c>
      <c r="W144" s="6">
        <v>2</v>
      </c>
      <c r="X144" s="6">
        <v>4</v>
      </c>
      <c r="AX144" s="150"/>
      <c r="AY144" s="150"/>
      <c r="AZ144" s="150"/>
      <c r="BA144" s="150"/>
      <c r="BB144" s="150"/>
      <c r="BC144" s="150"/>
      <c r="BD144" s="150"/>
      <c r="BE144" s="150"/>
      <c r="BF144" s="150"/>
      <c r="BG144" s="150"/>
      <c r="BH144" s="150"/>
      <c r="BI144" s="150"/>
      <c r="BJ144" s="150"/>
      <c r="BK144" s="150"/>
      <c r="BL144" s="150"/>
    </row>
    <row r="145" spans="1:64" ht="15.75" hidden="1" customHeight="1" x14ac:dyDescent="0.2">
      <c r="A145" s="6" t="s">
        <v>1030</v>
      </c>
      <c r="B145" s="6" t="s">
        <v>402</v>
      </c>
      <c r="C145" s="6">
        <v>111830</v>
      </c>
      <c r="D145" s="6">
        <v>1853</v>
      </c>
      <c r="E145" s="6">
        <v>3.84</v>
      </c>
      <c r="F145" s="6">
        <v>45376</v>
      </c>
      <c r="G145" s="6">
        <v>225</v>
      </c>
      <c r="H145" s="6">
        <v>0.44</v>
      </c>
      <c r="I145" s="6">
        <v>1</v>
      </c>
      <c r="J145" s="6">
        <v>3</v>
      </c>
      <c r="K145" s="6">
        <v>3</v>
      </c>
      <c r="L145" s="6">
        <v>1</v>
      </c>
      <c r="M145" s="6">
        <v>4</v>
      </c>
      <c r="N145" s="6">
        <v>2</v>
      </c>
      <c r="O145" s="6">
        <v>3</v>
      </c>
      <c r="P145" s="6">
        <v>1</v>
      </c>
      <c r="Q145" s="6">
        <v>0</v>
      </c>
      <c r="R145" s="6">
        <v>3</v>
      </c>
      <c r="S145" s="6">
        <v>0</v>
      </c>
      <c r="T145" s="6">
        <v>2</v>
      </c>
      <c r="U145" s="6">
        <v>1</v>
      </c>
      <c r="V145" s="6">
        <v>2</v>
      </c>
      <c r="W145" s="6">
        <v>4</v>
      </c>
      <c r="X145" s="6">
        <v>3</v>
      </c>
      <c r="AX145" s="150"/>
      <c r="AY145" s="150"/>
      <c r="AZ145" s="150"/>
      <c r="BA145" s="150"/>
      <c r="BB145" s="150"/>
      <c r="BC145" s="150"/>
      <c r="BD145" s="150"/>
      <c r="BE145" s="150"/>
      <c r="BF145" s="150"/>
      <c r="BG145" s="150"/>
      <c r="BH145" s="150"/>
      <c r="BI145" s="150"/>
      <c r="BJ145" s="150"/>
      <c r="BK145" s="150"/>
      <c r="BL145" s="150"/>
    </row>
    <row r="146" spans="1:64" ht="15.75" hidden="1" customHeight="1" x14ac:dyDescent="0.2">
      <c r="A146" s="6" t="s">
        <v>1031</v>
      </c>
      <c r="B146" s="6" t="s">
        <v>369</v>
      </c>
      <c r="C146" s="6">
        <v>18013</v>
      </c>
      <c r="D146" s="6">
        <v>2012</v>
      </c>
      <c r="E146" s="6">
        <v>4.13</v>
      </c>
      <c r="F146" s="6">
        <v>42536</v>
      </c>
      <c r="G146" s="6">
        <v>216</v>
      </c>
      <c r="H146" s="6">
        <v>0.42</v>
      </c>
      <c r="I146" s="6">
        <v>2</v>
      </c>
      <c r="J146" s="6">
        <v>3</v>
      </c>
      <c r="K146" s="6">
        <v>4</v>
      </c>
      <c r="L146" s="6">
        <v>2</v>
      </c>
      <c r="M146" s="6">
        <v>4</v>
      </c>
      <c r="N146" s="6">
        <v>1</v>
      </c>
      <c r="O146" s="6">
        <v>3</v>
      </c>
      <c r="P146" s="6">
        <v>0</v>
      </c>
      <c r="Q146" s="6">
        <v>4</v>
      </c>
      <c r="R146" s="6">
        <v>1</v>
      </c>
      <c r="S146" s="6">
        <v>0</v>
      </c>
      <c r="T146" s="6">
        <v>2</v>
      </c>
      <c r="U146" s="6">
        <v>1</v>
      </c>
      <c r="V146" s="6">
        <v>2</v>
      </c>
      <c r="W146" s="6">
        <v>1</v>
      </c>
      <c r="X146" s="6">
        <v>3</v>
      </c>
      <c r="AX146" s="150"/>
      <c r="AY146" s="150"/>
      <c r="AZ146" s="150"/>
      <c r="BA146" s="150"/>
      <c r="BB146" s="150"/>
      <c r="BC146" s="150"/>
      <c r="BD146" s="150"/>
      <c r="BE146" s="150"/>
      <c r="BF146" s="150"/>
      <c r="BG146" s="150"/>
      <c r="BH146" s="150"/>
      <c r="BI146" s="150"/>
      <c r="BJ146" s="150"/>
      <c r="BK146" s="150"/>
      <c r="BL146" s="150"/>
    </row>
    <row r="147" spans="1:64" ht="15.75" hidden="1" customHeight="1" x14ac:dyDescent="0.2">
      <c r="A147" s="6" t="s">
        <v>1032</v>
      </c>
      <c r="B147" s="6" t="s">
        <v>425</v>
      </c>
      <c r="C147" s="6">
        <v>35743</v>
      </c>
      <c r="D147" s="6">
        <v>1981</v>
      </c>
      <c r="E147" s="6">
        <v>3.4</v>
      </c>
      <c r="F147" s="6">
        <v>19257</v>
      </c>
      <c r="G147" s="6">
        <v>213</v>
      </c>
      <c r="H147" s="6">
        <v>0.41</v>
      </c>
      <c r="I147" s="6">
        <v>2</v>
      </c>
      <c r="J147" s="6">
        <v>3</v>
      </c>
      <c r="K147" s="6">
        <v>4</v>
      </c>
      <c r="L147" s="6">
        <v>1</v>
      </c>
      <c r="M147" s="6">
        <v>4</v>
      </c>
      <c r="N147" s="6">
        <v>2</v>
      </c>
      <c r="O147" s="6">
        <v>3</v>
      </c>
      <c r="P147" s="6">
        <v>0</v>
      </c>
      <c r="Q147" s="6">
        <v>2</v>
      </c>
      <c r="R147" s="6">
        <v>1</v>
      </c>
      <c r="S147" s="6">
        <v>2</v>
      </c>
      <c r="T147" s="6">
        <v>4</v>
      </c>
      <c r="U147" s="6">
        <v>0</v>
      </c>
      <c r="V147" s="6">
        <v>1</v>
      </c>
      <c r="W147" s="6">
        <v>3</v>
      </c>
      <c r="X147" s="6">
        <v>3</v>
      </c>
      <c r="AX147" s="150"/>
      <c r="AY147" s="150"/>
      <c r="AZ147" s="150"/>
      <c r="BA147" s="150"/>
      <c r="BB147" s="150"/>
      <c r="BC147" s="150"/>
      <c r="BD147" s="150"/>
      <c r="BE147" s="150"/>
      <c r="BF147" s="150"/>
      <c r="BG147" s="150"/>
      <c r="BH147" s="150"/>
      <c r="BI147" s="150"/>
      <c r="BJ147" s="150"/>
      <c r="BK147" s="150"/>
      <c r="BL147" s="150"/>
    </row>
    <row r="148" spans="1:64" ht="15.75" hidden="1" customHeight="1" x14ac:dyDescent="0.2">
      <c r="A148" s="6" t="s">
        <v>1033</v>
      </c>
      <c r="B148" s="6" t="s">
        <v>455</v>
      </c>
      <c r="C148" s="6">
        <v>86050</v>
      </c>
      <c r="D148" s="6">
        <v>1934</v>
      </c>
      <c r="E148" s="6">
        <v>3.81</v>
      </c>
      <c r="F148" s="6">
        <v>15742</v>
      </c>
      <c r="G148" s="6">
        <v>209</v>
      </c>
      <c r="H148" s="6">
        <v>0.41</v>
      </c>
      <c r="I148" s="6">
        <v>2</v>
      </c>
      <c r="J148" s="6">
        <v>3</v>
      </c>
      <c r="K148" s="6">
        <v>4</v>
      </c>
      <c r="L148" s="6">
        <v>1</v>
      </c>
      <c r="M148" s="6">
        <v>4</v>
      </c>
      <c r="N148" s="6">
        <v>3</v>
      </c>
      <c r="O148" s="6">
        <v>2</v>
      </c>
      <c r="P148" s="6">
        <v>0</v>
      </c>
      <c r="Q148" s="6">
        <v>1</v>
      </c>
      <c r="R148" s="6">
        <v>1</v>
      </c>
      <c r="S148" s="6">
        <v>2</v>
      </c>
      <c r="T148" s="6">
        <v>4</v>
      </c>
      <c r="U148" s="6">
        <v>1</v>
      </c>
      <c r="V148" s="6">
        <v>2</v>
      </c>
      <c r="W148" s="6">
        <v>1</v>
      </c>
      <c r="X148" s="6">
        <v>2</v>
      </c>
      <c r="AX148" s="150"/>
      <c r="AY148" s="150"/>
      <c r="AZ148" s="150"/>
      <c r="BA148" s="150"/>
      <c r="BB148" s="150"/>
      <c r="BC148" s="150"/>
      <c r="BD148" s="150"/>
      <c r="BE148" s="150"/>
      <c r="BF148" s="150"/>
      <c r="BG148" s="150"/>
      <c r="BH148" s="150"/>
      <c r="BI148" s="150"/>
      <c r="BJ148" s="150"/>
      <c r="BK148" s="150"/>
      <c r="BL148" s="150"/>
    </row>
    <row r="149" spans="1:64" ht="15.75" customHeight="1" x14ac:dyDescent="0.2">
      <c r="A149" s="6" t="s">
        <v>1034</v>
      </c>
      <c r="B149" s="6" t="s">
        <v>25</v>
      </c>
      <c r="C149" s="6">
        <v>16840</v>
      </c>
      <c r="D149" s="6">
        <v>1949</v>
      </c>
      <c r="E149" s="6">
        <v>3.88</v>
      </c>
      <c r="F149" s="6">
        <v>11368</v>
      </c>
      <c r="G149" s="6">
        <v>209</v>
      </c>
      <c r="H149" s="6">
        <v>0.41</v>
      </c>
      <c r="I149" s="6">
        <v>3</v>
      </c>
      <c r="J149" s="6">
        <v>4</v>
      </c>
      <c r="K149" s="6">
        <v>4</v>
      </c>
      <c r="L149" s="6">
        <v>3</v>
      </c>
      <c r="M149" s="6">
        <v>2</v>
      </c>
      <c r="N149" s="6">
        <v>4</v>
      </c>
      <c r="O149" s="6">
        <v>3</v>
      </c>
      <c r="P149" s="6">
        <v>3</v>
      </c>
      <c r="Q149" s="6">
        <v>1</v>
      </c>
      <c r="R149" s="6">
        <v>0</v>
      </c>
      <c r="S149" s="6">
        <v>2</v>
      </c>
      <c r="T149" s="6">
        <v>0</v>
      </c>
      <c r="U149" s="6">
        <v>2</v>
      </c>
      <c r="V149" s="6">
        <v>3</v>
      </c>
      <c r="W149" s="6">
        <v>0</v>
      </c>
      <c r="X149" s="6">
        <v>4</v>
      </c>
      <c r="AX149" s="150"/>
      <c r="AY149" s="150"/>
      <c r="AZ149" s="150"/>
      <c r="BA149" s="150"/>
      <c r="BB149" s="150"/>
      <c r="BC149" s="150"/>
      <c r="BD149" s="150"/>
      <c r="BE149" s="150"/>
      <c r="BF149" s="150"/>
      <c r="BG149" s="150"/>
      <c r="BH149" s="150"/>
      <c r="BI149" s="150"/>
      <c r="BJ149" s="150"/>
      <c r="BK149" s="150"/>
      <c r="BL149" s="150"/>
    </row>
    <row r="150" spans="1:64" ht="15.75" hidden="1" customHeight="1" x14ac:dyDescent="0.2">
      <c r="A150" s="6" t="s">
        <v>1035</v>
      </c>
      <c r="B150" s="6" t="s">
        <v>10</v>
      </c>
      <c r="C150" s="6">
        <v>50086</v>
      </c>
      <c r="D150" s="6">
        <v>1961</v>
      </c>
      <c r="E150" s="6">
        <v>3.8</v>
      </c>
      <c r="F150" s="6">
        <v>45293</v>
      </c>
      <c r="G150" s="6">
        <v>208</v>
      </c>
      <c r="H150" s="6">
        <v>0.4</v>
      </c>
      <c r="I150" s="6">
        <v>2</v>
      </c>
      <c r="J150" s="6">
        <v>3</v>
      </c>
      <c r="K150" s="6">
        <v>3</v>
      </c>
      <c r="L150" s="6">
        <v>2</v>
      </c>
      <c r="M150" s="6">
        <v>4</v>
      </c>
      <c r="N150" s="6">
        <v>1</v>
      </c>
      <c r="O150" s="6">
        <v>3</v>
      </c>
      <c r="P150" s="6">
        <v>0</v>
      </c>
      <c r="Q150" s="6">
        <v>0</v>
      </c>
      <c r="R150" s="6">
        <v>1</v>
      </c>
      <c r="S150" s="6">
        <v>2</v>
      </c>
      <c r="T150" s="6">
        <v>4</v>
      </c>
      <c r="U150" s="6">
        <v>1</v>
      </c>
      <c r="V150" s="6">
        <v>2</v>
      </c>
      <c r="W150" s="6">
        <v>1</v>
      </c>
      <c r="X150" s="6">
        <v>3</v>
      </c>
      <c r="AX150" s="150"/>
      <c r="AY150" s="150"/>
      <c r="AZ150" s="150"/>
      <c r="BA150" s="150"/>
      <c r="BB150" s="150"/>
      <c r="BC150" s="150"/>
      <c r="BD150" s="150"/>
      <c r="BE150" s="150"/>
      <c r="BF150" s="150"/>
      <c r="BG150" s="150"/>
      <c r="BH150" s="150"/>
      <c r="BI150" s="150"/>
      <c r="BJ150" s="150"/>
      <c r="BK150" s="150"/>
      <c r="BL150" s="150"/>
    </row>
    <row r="151" spans="1:64" ht="15.75" hidden="1" customHeight="1" x14ac:dyDescent="0.2">
      <c r="A151" s="6" t="s">
        <v>1036</v>
      </c>
      <c r="B151" s="6" t="s">
        <v>418</v>
      </c>
      <c r="C151" s="6">
        <v>25683</v>
      </c>
      <c r="D151" s="6">
        <v>1936</v>
      </c>
      <c r="E151" s="6">
        <v>3.88</v>
      </c>
      <c r="F151" s="6">
        <v>5501</v>
      </c>
      <c r="G151" s="6">
        <v>202</v>
      </c>
      <c r="H151" s="6">
        <v>0.39</v>
      </c>
      <c r="I151" s="6">
        <v>3</v>
      </c>
      <c r="J151" s="6">
        <v>4</v>
      </c>
      <c r="K151" s="6">
        <v>4</v>
      </c>
      <c r="L151" s="6">
        <v>2</v>
      </c>
      <c r="M151" s="6">
        <v>3</v>
      </c>
      <c r="N151" s="6">
        <v>1</v>
      </c>
      <c r="O151" s="6">
        <v>4</v>
      </c>
      <c r="P151" s="6">
        <v>0</v>
      </c>
      <c r="Q151" s="6">
        <v>3</v>
      </c>
      <c r="R151" s="6">
        <v>0</v>
      </c>
      <c r="S151" s="6">
        <v>0</v>
      </c>
      <c r="T151" s="6">
        <v>2</v>
      </c>
      <c r="U151" s="6">
        <v>1</v>
      </c>
      <c r="V151" s="6">
        <v>3</v>
      </c>
      <c r="W151" s="6">
        <v>0</v>
      </c>
      <c r="X151" s="6">
        <v>3</v>
      </c>
      <c r="AX151" s="150"/>
      <c r="AY151" s="150"/>
      <c r="AZ151" s="150"/>
      <c r="BA151" s="150"/>
      <c r="BB151" s="150"/>
      <c r="BC151" s="150"/>
      <c r="BD151" s="150"/>
      <c r="BE151" s="150"/>
      <c r="BF151" s="150"/>
      <c r="BG151" s="150"/>
      <c r="BH151" s="150"/>
      <c r="BI151" s="150"/>
      <c r="BJ151" s="150"/>
      <c r="BK151" s="150"/>
      <c r="BL151" s="150"/>
    </row>
    <row r="152" spans="1:64" ht="15.75" hidden="1" customHeight="1" x14ac:dyDescent="0.2">
      <c r="A152" s="6" t="s">
        <v>1037</v>
      </c>
      <c r="B152" s="6" t="s">
        <v>519</v>
      </c>
      <c r="C152" s="6">
        <v>28680</v>
      </c>
      <c r="D152" s="6">
        <v>2014</v>
      </c>
      <c r="E152" s="6">
        <v>3.06</v>
      </c>
      <c r="F152" s="6">
        <v>156</v>
      </c>
      <c r="G152" s="6">
        <v>200</v>
      </c>
      <c r="H152" s="6">
        <v>0.39</v>
      </c>
      <c r="I152" s="6">
        <v>3</v>
      </c>
      <c r="J152" s="6">
        <v>4</v>
      </c>
      <c r="K152" s="6">
        <v>4</v>
      </c>
      <c r="L152" s="6">
        <v>2</v>
      </c>
      <c r="M152" s="6">
        <v>3</v>
      </c>
      <c r="N152" s="6">
        <v>3</v>
      </c>
      <c r="O152" s="6">
        <v>4</v>
      </c>
      <c r="P152" s="6">
        <v>0</v>
      </c>
      <c r="Q152" s="6">
        <v>2</v>
      </c>
      <c r="R152" s="6">
        <v>0</v>
      </c>
      <c r="S152" s="6">
        <v>1</v>
      </c>
      <c r="T152" s="6">
        <v>4</v>
      </c>
      <c r="U152" s="6">
        <v>1</v>
      </c>
      <c r="V152" s="6">
        <v>2</v>
      </c>
      <c r="W152" s="6">
        <v>0</v>
      </c>
      <c r="X152" s="6">
        <v>3</v>
      </c>
      <c r="AX152" s="150"/>
      <c r="AY152" s="150"/>
      <c r="AZ152" s="150"/>
      <c r="BA152" s="150"/>
      <c r="BB152" s="150"/>
      <c r="BC152" s="150"/>
      <c r="BD152" s="150"/>
      <c r="BE152" s="150"/>
      <c r="BF152" s="150"/>
      <c r="BG152" s="150"/>
      <c r="BH152" s="150"/>
      <c r="BI152" s="150"/>
      <c r="BJ152" s="150"/>
      <c r="BK152" s="150"/>
      <c r="BL152" s="150"/>
    </row>
    <row r="153" spans="1:64" ht="15.75" hidden="1" customHeight="1" x14ac:dyDescent="0.2">
      <c r="A153" s="6" t="s">
        <v>1038</v>
      </c>
      <c r="B153" s="6" t="s">
        <v>389</v>
      </c>
      <c r="C153" s="6">
        <v>77062</v>
      </c>
      <c r="D153" s="6">
        <v>2011</v>
      </c>
      <c r="E153" s="6">
        <v>3.9</v>
      </c>
      <c r="F153" s="6">
        <v>478</v>
      </c>
      <c r="G153" s="6">
        <v>199</v>
      </c>
      <c r="H153" s="6">
        <v>0.39</v>
      </c>
      <c r="I153" s="6">
        <v>3</v>
      </c>
      <c r="J153" s="6">
        <v>4</v>
      </c>
      <c r="K153" s="6">
        <v>3</v>
      </c>
      <c r="L153" s="6">
        <v>2</v>
      </c>
      <c r="M153" s="6">
        <v>4</v>
      </c>
      <c r="N153" s="6">
        <v>1</v>
      </c>
      <c r="O153" s="6">
        <v>3</v>
      </c>
      <c r="P153" s="6">
        <v>2</v>
      </c>
      <c r="Q153" s="6">
        <v>1</v>
      </c>
      <c r="R153" s="6">
        <v>1</v>
      </c>
      <c r="S153" s="6">
        <v>2</v>
      </c>
      <c r="T153" s="6">
        <v>1</v>
      </c>
      <c r="U153" s="6">
        <v>2</v>
      </c>
      <c r="V153" s="6">
        <v>3</v>
      </c>
      <c r="W153" s="6">
        <v>1</v>
      </c>
      <c r="X153" s="6">
        <v>4</v>
      </c>
      <c r="AX153" s="150"/>
      <c r="AY153" s="150"/>
      <c r="AZ153" s="150"/>
      <c r="BA153" s="150"/>
      <c r="BB153" s="150"/>
      <c r="BC153" s="150"/>
      <c r="BD153" s="150"/>
      <c r="BE153" s="150"/>
      <c r="BF153" s="150"/>
      <c r="BG153" s="150"/>
      <c r="BH153" s="150"/>
      <c r="BI153" s="150"/>
      <c r="BJ153" s="150"/>
      <c r="BK153" s="150"/>
      <c r="BL153" s="150"/>
    </row>
    <row r="154" spans="1:64" ht="15.75" hidden="1" customHeight="1" x14ac:dyDescent="0.2">
      <c r="A154" s="6" t="s">
        <v>1039</v>
      </c>
      <c r="B154" s="6" t="s">
        <v>449</v>
      </c>
      <c r="C154" s="6">
        <v>56865</v>
      </c>
      <c r="D154" s="6">
        <v>1978</v>
      </c>
      <c r="E154" s="6">
        <v>3.99</v>
      </c>
      <c r="F154" s="6">
        <v>31161</v>
      </c>
      <c r="G154" s="6">
        <v>198</v>
      </c>
      <c r="H154" s="6">
        <v>0.38</v>
      </c>
      <c r="I154" s="6">
        <v>2</v>
      </c>
      <c r="J154" s="6">
        <v>3</v>
      </c>
      <c r="K154" s="6">
        <v>4</v>
      </c>
      <c r="L154" s="6">
        <v>2</v>
      </c>
      <c r="M154" s="6">
        <v>4</v>
      </c>
      <c r="N154" s="6">
        <v>1</v>
      </c>
      <c r="O154" s="6">
        <v>3</v>
      </c>
      <c r="P154" s="6">
        <v>0</v>
      </c>
      <c r="Q154" s="6">
        <v>1</v>
      </c>
      <c r="R154" s="6">
        <v>0</v>
      </c>
      <c r="S154" s="6">
        <v>2</v>
      </c>
      <c r="T154" s="6">
        <v>3</v>
      </c>
      <c r="U154" s="6">
        <v>0</v>
      </c>
      <c r="V154" s="6">
        <v>2</v>
      </c>
      <c r="W154" s="6">
        <v>1</v>
      </c>
      <c r="X154" s="6">
        <v>3</v>
      </c>
      <c r="AX154" s="150"/>
      <c r="AY154" s="150"/>
      <c r="AZ154" s="150"/>
      <c r="BA154" s="150"/>
      <c r="BB154" s="150"/>
      <c r="BC154" s="150"/>
      <c r="BD154" s="150"/>
      <c r="BE154" s="150"/>
      <c r="BF154" s="150"/>
      <c r="BG154" s="150"/>
      <c r="BH154" s="150"/>
      <c r="BI154" s="150"/>
      <c r="BJ154" s="150"/>
      <c r="BK154" s="150"/>
      <c r="BL154" s="150"/>
    </row>
    <row r="155" spans="1:64" ht="15.75" hidden="1" customHeight="1" x14ac:dyDescent="0.2">
      <c r="A155" s="6" t="s">
        <v>1040</v>
      </c>
      <c r="B155" s="6" t="s">
        <v>395</v>
      </c>
      <c r="C155" s="6">
        <v>34246</v>
      </c>
      <c r="D155" s="6">
        <v>2000</v>
      </c>
      <c r="E155" s="6">
        <v>3.55</v>
      </c>
      <c r="F155" s="6">
        <v>2519</v>
      </c>
      <c r="G155" s="6">
        <v>198</v>
      </c>
      <c r="H155" s="6">
        <v>0.38</v>
      </c>
      <c r="I155" s="6">
        <v>2</v>
      </c>
      <c r="J155" s="6">
        <v>3</v>
      </c>
      <c r="K155" s="6">
        <v>4</v>
      </c>
      <c r="L155" s="6">
        <v>2</v>
      </c>
      <c r="M155" s="6">
        <v>3</v>
      </c>
      <c r="N155" s="6">
        <v>1</v>
      </c>
      <c r="O155" s="6">
        <v>4</v>
      </c>
      <c r="P155" s="6">
        <v>0</v>
      </c>
      <c r="Q155" s="6">
        <v>1</v>
      </c>
      <c r="R155" s="6">
        <v>2</v>
      </c>
      <c r="S155" s="6">
        <v>1</v>
      </c>
      <c r="T155" s="6">
        <v>3</v>
      </c>
      <c r="U155" s="6">
        <v>1</v>
      </c>
      <c r="V155" s="6">
        <v>3</v>
      </c>
      <c r="W155" s="6">
        <v>0</v>
      </c>
      <c r="X155" s="6">
        <v>4</v>
      </c>
      <c r="AX155" s="150"/>
      <c r="AY155" s="150"/>
      <c r="AZ155" s="150"/>
      <c r="BA155" s="150"/>
      <c r="BB155" s="150"/>
      <c r="BC155" s="150"/>
      <c r="BD155" s="150"/>
      <c r="BE155" s="150"/>
      <c r="BF155" s="150"/>
      <c r="BG155" s="150"/>
      <c r="BH155" s="150"/>
      <c r="BI155" s="150"/>
      <c r="BJ155" s="150"/>
      <c r="BK155" s="150"/>
      <c r="BL155" s="150"/>
    </row>
    <row r="156" spans="1:64" ht="15.75" hidden="1" customHeight="1" x14ac:dyDescent="0.2">
      <c r="A156" s="6" t="s">
        <v>1041</v>
      </c>
      <c r="B156" s="6" t="s">
        <v>518</v>
      </c>
      <c r="C156" s="6">
        <v>42190</v>
      </c>
      <c r="D156" s="6">
        <v>2008</v>
      </c>
      <c r="E156" s="6">
        <v>3.81</v>
      </c>
      <c r="F156" s="6">
        <v>225</v>
      </c>
      <c r="G156" s="6">
        <v>197</v>
      </c>
      <c r="H156" s="6">
        <v>0.38</v>
      </c>
      <c r="I156" s="6">
        <v>2</v>
      </c>
      <c r="J156" s="6">
        <v>3</v>
      </c>
      <c r="K156" s="6">
        <v>3</v>
      </c>
      <c r="L156" s="6">
        <v>2</v>
      </c>
      <c r="M156" s="6">
        <v>4</v>
      </c>
      <c r="N156" s="6">
        <v>1</v>
      </c>
      <c r="O156" s="6">
        <v>3</v>
      </c>
      <c r="P156" s="6">
        <v>0</v>
      </c>
      <c r="Q156" s="6">
        <v>2</v>
      </c>
      <c r="R156" s="6">
        <v>1</v>
      </c>
      <c r="S156" s="6">
        <v>2</v>
      </c>
      <c r="T156" s="6">
        <v>3</v>
      </c>
      <c r="U156" s="6">
        <v>1</v>
      </c>
      <c r="V156" s="6">
        <v>2</v>
      </c>
      <c r="W156" s="6">
        <v>1</v>
      </c>
      <c r="X156" s="6">
        <v>3</v>
      </c>
      <c r="AX156" s="150"/>
      <c r="AY156" s="150"/>
      <c r="AZ156" s="150"/>
      <c r="BA156" s="150"/>
      <c r="BB156" s="150"/>
      <c r="BC156" s="150"/>
      <c r="BD156" s="150"/>
      <c r="BE156" s="150"/>
      <c r="BF156" s="150"/>
      <c r="BG156" s="150"/>
      <c r="BH156" s="150"/>
      <c r="BI156" s="150"/>
      <c r="BJ156" s="150"/>
      <c r="BK156" s="150"/>
      <c r="BL156" s="150"/>
    </row>
    <row r="157" spans="1:64" ht="15.75" customHeight="1" x14ac:dyDescent="0.2">
      <c r="A157" s="6" t="s">
        <v>1042</v>
      </c>
      <c r="B157" s="6" t="s">
        <v>56</v>
      </c>
      <c r="C157" s="6">
        <v>56707</v>
      </c>
      <c r="D157" s="6">
        <v>1872</v>
      </c>
      <c r="E157" s="6">
        <v>3.65</v>
      </c>
      <c r="F157" s="6">
        <v>13857</v>
      </c>
      <c r="G157" s="6">
        <v>196</v>
      </c>
      <c r="H157" s="6">
        <v>0.38</v>
      </c>
      <c r="I157" s="6">
        <v>2</v>
      </c>
      <c r="J157" s="6">
        <v>3</v>
      </c>
      <c r="K157" s="6">
        <v>4</v>
      </c>
      <c r="L157" s="6">
        <v>2</v>
      </c>
      <c r="M157" s="6">
        <v>3</v>
      </c>
      <c r="N157" s="6">
        <v>3</v>
      </c>
      <c r="O157" s="6">
        <v>4</v>
      </c>
      <c r="P157" s="6">
        <v>3</v>
      </c>
      <c r="Q157" s="6">
        <v>1</v>
      </c>
      <c r="R157" s="6">
        <v>4</v>
      </c>
      <c r="S157" s="6">
        <v>2</v>
      </c>
      <c r="T157" s="6">
        <v>0</v>
      </c>
      <c r="U157" s="6">
        <v>2</v>
      </c>
      <c r="V157" s="6">
        <v>1</v>
      </c>
      <c r="W157" s="6">
        <v>3</v>
      </c>
      <c r="X157" s="6">
        <v>3</v>
      </c>
      <c r="AX157" s="150"/>
      <c r="AY157" s="150"/>
      <c r="AZ157" s="150"/>
      <c r="BA157" s="150"/>
      <c r="BB157" s="150"/>
      <c r="BC157" s="150"/>
      <c r="BD157" s="150"/>
      <c r="BE157" s="150"/>
      <c r="BF157" s="150"/>
      <c r="BG157" s="150"/>
      <c r="BH157" s="150"/>
      <c r="BI157" s="150"/>
      <c r="BJ157" s="150"/>
      <c r="BK157" s="150"/>
      <c r="BL157" s="150"/>
    </row>
    <row r="158" spans="1:64" ht="15.75" customHeight="1" x14ac:dyDescent="0.2">
      <c r="A158" s="6" t="s">
        <v>1043</v>
      </c>
      <c r="B158" s="6" t="s">
        <v>31</v>
      </c>
      <c r="C158" s="6">
        <v>32960</v>
      </c>
      <c r="D158" s="6">
        <v>2012</v>
      </c>
      <c r="E158" s="6">
        <v>3.85</v>
      </c>
      <c r="F158" s="6">
        <v>18531</v>
      </c>
      <c r="G158" s="6">
        <v>195</v>
      </c>
      <c r="H158" s="6">
        <v>0.38</v>
      </c>
      <c r="I158" s="6">
        <v>3</v>
      </c>
      <c r="J158" s="6">
        <v>4</v>
      </c>
      <c r="K158" s="6">
        <v>4</v>
      </c>
      <c r="L158" s="6">
        <v>3</v>
      </c>
      <c r="M158" s="6">
        <v>3</v>
      </c>
      <c r="N158" s="6">
        <v>2</v>
      </c>
      <c r="O158" s="6">
        <v>4</v>
      </c>
      <c r="P158" s="6">
        <v>2</v>
      </c>
      <c r="Q158" s="6">
        <v>1</v>
      </c>
      <c r="R158" s="6">
        <v>4</v>
      </c>
      <c r="S158" s="6">
        <v>1</v>
      </c>
      <c r="T158" s="6">
        <v>1</v>
      </c>
      <c r="U158" s="6">
        <v>2</v>
      </c>
      <c r="V158" s="6">
        <v>3</v>
      </c>
      <c r="W158" s="6">
        <v>4</v>
      </c>
      <c r="X158" s="6">
        <v>4</v>
      </c>
      <c r="AX158" s="150"/>
      <c r="AY158" s="150"/>
      <c r="AZ158" s="150"/>
      <c r="BA158" s="150"/>
      <c r="BB158" s="150"/>
      <c r="BC158" s="150"/>
      <c r="BD158" s="150"/>
      <c r="BE158" s="150"/>
      <c r="BF158" s="150"/>
      <c r="BG158" s="150"/>
      <c r="BH158" s="150"/>
      <c r="BI158" s="150"/>
      <c r="BJ158" s="150"/>
      <c r="BK158" s="150"/>
      <c r="BL158" s="150"/>
    </row>
    <row r="159" spans="1:64" ht="15.75" hidden="1" customHeight="1" x14ac:dyDescent="0.2">
      <c r="A159" s="6" t="s">
        <v>1044</v>
      </c>
      <c r="B159" s="6" t="s">
        <v>448</v>
      </c>
      <c r="C159" s="6">
        <v>30231</v>
      </c>
      <c r="D159" s="6">
        <v>2022</v>
      </c>
      <c r="E159" s="6">
        <v>3.72</v>
      </c>
      <c r="F159" s="6">
        <v>14198</v>
      </c>
      <c r="G159" s="6">
        <v>195</v>
      </c>
      <c r="H159" s="6">
        <v>0.38</v>
      </c>
      <c r="I159" s="6">
        <v>2</v>
      </c>
      <c r="J159" s="6">
        <v>3</v>
      </c>
      <c r="K159" s="6">
        <v>4</v>
      </c>
      <c r="L159" s="6">
        <v>2</v>
      </c>
      <c r="M159" s="6">
        <v>4</v>
      </c>
      <c r="N159" s="6">
        <v>3</v>
      </c>
      <c r="O159" s="6">
        <v>4</v>
      </c>
      <c r="P159" s="6">
        <v>1</v>
      </c>
      <c r="Q159" s="6">
        <v>2</v>
      </c>
      <c r="R159" s="6">
        <v>1</v>
      </c>
      <c r="S159" s="6">
        <v>0</v>
      </c>
      <c r="T159" s="6">
        <v>2</v>
      </c>
      <c r="U159" s="6">
        <v>1</v>
      </c>
      <c r="V159" s="6">
        <v>2</v>
      </c>
      <c r="W159" s="6">
        <v>4</v>
      </c>
      <c r="X159" s="6">
        <v>3</v>
      </c>
      <c r="AX159" s="150"/>
      <c r="AY159" s="150"/>
      <c r="AZ159" s="150"/>
      <c r="BA159" s="150"/>
      <c r="BB159" s="150"/>
      <c r="BC159" s="150"/>
      <c r="BD159" s="150"/>
      <c r="BE159" s="150"/>
      <c r="BF159" s="150"/>
      <c r="BG159" s="150"/>
      <c r="BH159" s="150"/>
      <c r="BI159" s="150"/>
      <c r="BJ159" s="150"/>
      <c r="BK159" s="150"/>
      <c r="BL159" s="150"/>
    </row>
    <row r="160" spans="1:64" ht="15.75" hidden="1" customHeight="1" x14ac:dyDescent="0.2">
      <c r="A160" s="6" t="s">
        <v>1045</v>
      </c>
      <c r="B160" s="6" t="s">
        <v>457</v>
      </c>
      <c r="C160" s="6">
        <v>16515</v>
      </c>
      <c r="D160" s="6">
        <v>1909</v>
      </c>
      <c r="E160" s="6">
        <v>3.62</v>
      </c>
      <c r="F160" s="6">
        <v>5581</v>
      </c>
      <c r="G160" s="6">
        <v>194</v>
      </c>
      <c r="H160" s="6">
        <v>0.38</v>
      </c>
      <c r="I160" s="6">
        <v>2</v>
      </c>
      <c r="J160" s="6">
        <v>3</v>
      </c>
      <c r="K160" s="6">
        <v>4</v>
      </c>
      <c r="L160" s="6">
        <v>2</v>
      </c>
      <c r="M160" s="6">
        <v>3</v>
      </c>
      <c r="N160" s="6">
        <v>3</v>
      </c>
      <c r="O160" s="6">
        <v>2</v>
      </c>
      <c r="P160" s="6">
        <v>0</v>
      </c>
      <c r="Q160" s="6">
        <v>1</v>
      </c>
      <c r="R160" s="6">
        <v>0</v>
      </c>
      <c r="S160" s="6">
        <v>0</v>
      </c>
      <c r="T160" s="6">
        <v>2</v>
      </c>
      <c r="U160" s="6">
        <v>1</v>
      </c>
      <c r="V160" s="6">
        <v>3</v>
      </c>
      <c r="W160" s="6">
        <v>0</v>
      </c>
      <c r="X160" s="6">
        <v>4</v>
      </c>
      <c r="AX160" s="150"/>
      <c r="AY160" s="150"/>
      <c r="AZ160" s="150"/>
      <c r="BA160" s="150"/>
      <c r="BB160" s="150"/>
      <c r="BC160" s="150"/>
      <c r="BD160" s="150"/>
      <c r="BE160" s="150"/>
      <c r="BF160" s="150"/>
      <c r="BG160" s="150"/>
      <c r="BH160" s="150"/>
      <c r="BI160" s="150"/>
      <c r="BJ160" s="150"/>
      <c r="BK160" s="150"/>
      <c r="BL160" s="150"/>
    </row>
    <row r="161" spans="1:64" ht="15.75" hidden="1" customHeight="1" x14ac:dyDescent="0.2">
      <c r="A161" s="6" t="s">
        <v>1046</v>
      </c>
      <c r="B161" s="6" t="s">
        <v>402</v>
      </c>
      <c r="C161" s="6">
        <v>40332</v>
      </c>
      <c r="D161" s="6">
        <v>1864</v>
      </c>
      <c r="E161" s="6">
        <v>3.49</v>
      </c>
      <c r="F161" s="6">
        <v>2735</v>
      </c>
      <c r="G161" s="6">
        <v>193</v>
      </c>
      <c r="H161" s="6">
        <v>0.37</v>
      </c>
      <c r="I161" s="6">
        <v>2</v>
      </c>
      <c r="J161" s="6">
        <v>3</v>
      </c>
      <c r="K161" s="6">
        <v>4</v>
      </c>
      <c r="L161" s="6">
        <v>1</v>
      </c>
      <c r="M161" s="6">
        <v>3</v>
      </c>
      <c r="N161" s="6">
        <v>2</v>
      </c>
      <c r="O161" s="6">
        <v>3</v>
      </c>
      <c r="P161" s="6">
        <v>1</v>
      </c>
      <c r="Q161" s="6">
        <v>0</v>
      </c>
      <c r="R161" s="6">
        <v>2</v>
      </c>
      <c r="S161" s="6">
        <v>0</v>
      </c>
      <c r="T161" s="6">
        <v>2</v>
      </c>
      <c r="U161" s="6">
        <v>1</v>
      </c>
      <c r="V161" s="6">
        <v>2</v>
      </c>
      <c r="W161" s="6">
        <v>4</v>
      </c>
      <c r="X161" s="6">
        <v>3</v>
      </c>
      <c r="AX161" s="150"/>
      <c r="AY161" s="150"/>
      <c r="AZ161" s="150"/>
      <c r="BA161" s="150"/>
      <c r="BB161" s="150"/>
      <c r="BC161" s="150"/>
      <c r="BD161" s="150"/>
      <c r="BE161" s="150"/>
      <c r="BF161" s="150"/>
      <c r="BG161" s="150"/>
      <c r="BH161" s="150"/>
      <c r="BI161" s="150"/>
      <c r="BJ161" s="150"/>
      <c r="BK161" s="150"/>
      <c r="BL161" s="150"/>
    </row>
    <row r="162" spans="1:64" ht="15.75" hidden="1" customHeight="1" x14ac:dyDescent="0.2">
      <c r="A162" s="6" t="s">
        <v>1047</v>
      </c>
      <c r="B162" s="6" t="s">
        <v>513</v>
      </c>
      <c r="C162" s="6">
        <v>41975</v>
      </c>
      <c r="D162" s="6">
        <v>1910</v>
      </c>
      <c r="E162" s="6">
        <v>3.78</v>
      </c>
      <c r="F162" s="6">
        <v>4154</v>
      </c>
      <c r="G162" s="6">
        <v>193</v>
      </c>
      <c r="H162" s="6">
        <v>0.37</v>
      </c>
      <c r="I162" s="6">
        <v>1</v>
      </c>
      <c r="J162" s="6">
        <v>2</v>
      </c>
      <c r="K162" s="6">
        <v>3</v>
      </c>
      <c r="L162" s="6">
        <v>1</v>
      </c>
      <c r="M162" s="6">
        <v>4</v>
      </c>
      <c r="N162" s="6">
        <v>2</v>
      </c>
      <c r="O162" s="6">
        <v>3</v>
      </c>
      <c r="P162" s="6">
        <v>1</v>
      </c>
      <c r="Q162" s="6">
        <v>0</v>
      </c>
      <c r="R162" s="6">
        <v>1</v>
      </c>
      <c r="S162" s="6">
        <v>0</v>
      </c>
      <c r="T162" s="6">
        <v>2</v>
      </c>
      <c r="U162" s="6">
        <v>0</v>
      </c>
      <c r="V162" s="6">
        <v>1</v>
      </c>
      <c r="W162" s="6">
        <v>3</v>
      </c>
      <c r="X162" s="6">
        <v>3</v>
      </c>
      <c r="AX162" s="150"/>
      <c r="AY162" s="150"/>
      <c r="AZ162" s="150"/>
      <c r="BA162" s="150"/>
      <c r="BB162" s="150"/>
      <c r="BC162" s="150"/>
      <c r="BD162" s="150"/>
      <c r="BE162" s="150"/>
      <c r="BF162" s="150"/>
      <c r="BG162" s="150"/>
      <c r="BH162" s="150"/>
      <c r="BI162" s="150"/>
      <c r="BJ162" s="150"/>
      <c r="BK162" s="150"/>
      <c r="BL162" s="150"/>
    </row>
    <row r="163" spans="1:64" ht="15.75" hidden="1" customHeight="1" x14ac:dyDescent="0.2">
      <c r="A163" s="6" t="s">
        <v>1048</v>
      </c>
      <c r="B163" s="6" t="s">
        <v>444</v>
      </c>
      <c r="C163" s="6">
        <v>63288</v>
      </c>
      <c r="D163" s="6">
        <v>1989</v>
      </c>
      <c r="E163" s="6">
        <v>3.86</v>
      </c>
      <c r="F163" s="6">
        <v>1628</v>
      </c>
      <c r="G163" s="6">
        <v>188</v>
      </c>
      <c r="H163" s="6">
        <v>0.36</v>
      </c>
      <c r="I163" s="6">
        <v>2</v>
      </c>
      <c r="J163" s="6">
        <v>3</v>
      </c>
      <c r="K163" s="6">
        <v>3</v>
      </c>
      <c r="L163" s="6">
        <v>1</v>
      </c>
      <c r="M163" s="6">
        <v>4</v>
      </c>
      <c r="N163" s="6">
        <v>2</v>
      </c>
      <c r="O163" s="6">
        <v>3</v>
      </c>
      <c r="P163" s="6">
        <v>0</v>
      </c>
      <c r="Q163" s="6">
        <v>1</v>
      </c>
      <c r="R163" s="6">
        <v>0</v>
      </c>
      <c r="S163" s="6">
        <v>1</v>
      </c>
      <c r="T163" s="6">
        <v>3</v>
      </c>
      <c r="U163" s="6">
        <v>1</v>
      </c>
      <c r="V163" s="6">
        <v>2</v>
      </c>
      <c r="W163" s="6">
        <v>0</v>
      </c>
      <c r="X163" s="6">
        <v>3</v>
      </c>
      <c r="AX163" s="150"/>
      <c r="AY163" s="150"/>
      <c r="AZ163" s="150"/>
      <c r="BA163" s="150"/>
      <c r="BB163" s="150"/>
      <c r="BC163" s="150"/>
      <c r="BD163" s="150"/>
      <c r="BE163" s="150"/>
      <c r="BF163" s="150"/>
      <c r="BG163" s="150"/>
      <c r="BH163" s="150"/>
      <c r="BI163" s="150"/>
      <c r="BJ163" s="150"/>
      <c r="BK163" s="150"/>
      <c r="BL163" s="150"/>
    </row>
    <row r="164" spans="1:64" ht="15.75" hidden="1" customHeight="1" x14ac:dyDescent="0.2">
      <c r="A164" s="6" t="s">
        <v>1049</v>
      </c>
      <c r="B164" s="6" t="s">
        <v>359</v>
      </c>
      <c r="C164" s="6">
        <v>35703</v>
      </c>
      <c r="D164" s="6">
        <v>2019</v>
      </c>
      <c r="E164" s="6">
        <v>3.87</v>
      </c>
      <c r="F164" s="6">
        <v>256351</v>
      </c>
      <c r="G164" s="6">
        <v>186</v>
      </c>
      <c r="H164" s="6">
        <v>0.36</v>
      </c>
      <c r="I164" s="6">
        <v>3</v>
      </c>
      <c r="J164" s="6">
        <v>4</v>
      </c>
      <c r="K164" s="6">
        <v>4</v>
      </c>
      <c r="L164" s="6">
        <v>3</v>
      </c>
      <c r="M164" s="6">
        <v>4</v>
      </c>
      <c r="N164" s="6">
        <v>1</v>
      </c>
      <c r="O164" s="6">
        <v>3</v>
      </c>
      <c r="P164" s="6">
        <v>2</v>
      </c>
      <c r="Q164" s="6">
        <v>3</v>
      </c>
      <c r="R164" s="6">
        <v>4</v>
      </c>
      <c r="S164" s="6">
        <v>1</v>
      </c>
      <c r="T164" s="6">
        <v>2</v>
      </c>
      <c r="U164" s="6">
        <v>2</v>
      </c>
      <c r="V164" s="6">
        <v>3</v>
      </c>
      <c r="W164" s="6">
        <v>4</v>
      </c>
      <c r="X164" s="6">
        <v>4</v>
      </c>
      <c r="AX164" s="150"/>
      <c r="AY164" s="150"/>
      <c r="AZ164" s="150"/>
      <c r="BA164" s="150"/>
      <c r="BB164" s="150"/>
      <c r="BC164" s="150"/>
      <c r="BD164" s="150"/>
      <c r="BE164" s="150"/>
      <c r="BF164" s="150"/>
      <c r="BG164" s="150"/>
      <c r="BH164" s="150"/>
      <c r="BI164" s="150"/>
      <c r="BJ164" s="150"/>
      <c r="BK164" s="150"/>
      <c r="BL164" s="150"/>
    </row>
    <row r="165" spans="1:64" ht="15.75" hidden="1" customHeight="1" x14ac:dyDescent="0.2">
      <c r="A165" s="6" t="s">
        <v>1050</v>
      </c>
      <c r="B165" s="6" t="s">
        <v>470</v>
      </c>
      <c r="C165" s="6">
        <v>22233</v>
      </c>
      <c r="D165" s="6">
        <v>1982</v>
      </c>
      <c r="E165" s="6">
        <v>3.82</v>
      </c>
      <c r="F165" s="6">
        <v>276</v>
      </c>
      <c r="G165" s="6">
        <v>185</v>
      </c>
      <c r="H165" s="6">
        <v>0.36</v>
      </c>
      <c r="I165" s="6">
        <v>2</v>
      </c>
      <c r="J165" s="6">
        <v>3</v>
      </c>
      <c r="K165" s="6">
        <v>4</v>
      </c>
      <c r="L165" s="6">
        <v>2</v>
      </c>
      <c r="M165" s="6">
        <v>4</v>
      </c>
      <c r="N165" s="6">
        <v>1</v>
      </c>
      <c r="O165" s="6">
        <v>3</v>
      </c>
      <c r="P165" s="6">
        <v>0</v>
      </c>
      <c r="Q165" s="6">
        <v>2</v>
      </c>
      <c r="R165" s="6">
        <v>0</v>
      </c>
      <c r="S165" s="6">
        <v>1</v>
      </c>
      <c r="T165" s="6">
        <v>4</v>
      </c>
      <c r="U165" s="6">
        <v>1</v>
      </c>
      <c r="V165" s="6">
        <v>3</v>
      </c>
      <c r="W165" s="6">
        <v>2</v>
      </c>
      <c r="X165" s="6">
        <v>3</v>
      </c>
      <c r="AX165" s="150"/>
      <c r="AY165" s="150"/>
      <c r="AZ165" s="150"/>
      <c r="BA165" s="150"/>
      <c r="BB165" s="150"/>
      <c r="BC165" s="150"/>
      <c r="BD165" s="150"/>
      <c r="BE165" s="150"/>
      <c r="BF165" s="150"/>
      <c r="BG165" s="150"/>
      <c r="BH165" s="150"/>
      <c r="BI165" s="150"/>
      <c r="BJ165" s="150"/>
      <c r="BK165" s="150"/>
      <c r="BL165" s="150"/>
    </row>
    <row r="166" spans="1:64" ht="15.75" hidden="1" customHeight="1" x14ac:dyDescent="0.2">
      <c r="A166" s="6" t="s">
        <v>1051</v>
      </c>
      <c r="B166" s="6" t="s">
        <v>473</v>
      </c>
      <c r="C166" s="6">
        <v>110630</v>
      </c>
      <c r="D166" s="6">
        <v>1898</v>
      </c>
      <c r="E166" s="6">
        <v>3.81</v>
      </c>
      <c r="F166" s="6">
        <v>2839</v>
      </c>
      <c r="G166" s="6">
        <v>184</v>
      </c>
      <c r="H166" s="6">
        <v>0.36</v>
      </c>
      <c r="I166" s="6">
        <v>1</v>
      </c>
      <c r="J166" s="6">
        <v>2</v>
      </c>
      <c r="K166" s="6">
        <v>3</v>
      </c>
      <c r="L166" s="6">
        <v>1</v>
      </c>
      <c r="M166" s="6">
        <v>2</v>
      </c>
      <c r="N166" s="6">
        <v>4</v>
      </c>
      <c r="O166" s="6">
        <v>3</v>
      </c>
      <c r="P166" s="6">
        <v>0</v>
      </c>
      <c r="Q166" s="6">
        <v>0</v>
      </c>
      <c r="R166" s="6">
        <v>0</v>
      </c>
      <c r="S166" s="6">
        <v>2</v>
      </c>
      <c r="T166" s="6">
        <v>2</v>
      </c>
      <c r="U166" s="6">
        <v>1</v>
      </c>
      <c r="V166" s="6">
        <v>1</v>
      </c>
      <c r="W166" s="6">
        <v>0</v>
      </c>
      <c r="X166" s="6">
        <v>2</v>
      </c>
      <c r="AX166" s="150"/>
      <c r="AY166" s="150"/>
      <c r="AZ166" s="150"/>
      <c r="BA166" s="150"/>
      <c r="BB166" s="150"/>
      <c r="BC166" s="150"/>
      <c r="BD166" s="150"/>
      <c r="BE166" s="150"/>
      <c r="BF166" s="150"/>
      <c r="BG166" s="150"/>
      <c r="BH166" s="150"/>
      <c r="BI166" s="150"/>
      <c r="BJ166" s="150"/>
      <c r="BK166" s="150"/>
      <c r="BL166" s="150"/>
    </row>
    <row r="167" spans="1:64" ht="15.75" hidden="1" customHeight="1" x14ac:dyDescent="0.2">
      <c r="A167" s="6" t="s">
        <v>1052</v>
      </c>
      <c r="B167" s="6" t="s">
        <v>512</v>
      </c>
      <c r="C167" s="6">
        <v>36091</v>
      </c>
      <c r="D167" s="6">
        <v>2017</v>
      </c>
      <c r="E167" s="6">
        <v>3.52</v>
      </c>
      <c r="F167" s="6">
        <v>11063</v>
      </c>
      <c r="G167" s="6">
        <v>184</v>
      </c>
      <c r="H167" s="6">
        <v>0.36</v>
      </c>
      <c r="I167" s="6">
        <v>3</v>
      </c>
      <c r="J167" s="6">
        <v>4</v>
      </c>
      <c r="K167" s="6">
        <v>4</v>
      </c>
      <c r="L167" s="6">
        <v>2</v>
      </c>
      <c r="M167" s="6">
        <v>4</v>
      </c>
      <c r="N167" s="6">
        <v>1</v>
      </c>
      <c r="O167" s="6">
        <v>3</v>
      </c>
      <c r="P167" s="6">
        <v>0</v>
      </c>
      <c r="Q167" s="6">
        <v>2</v>
      </c>
      <c r="R167" s="6">
        <v>1</v>
      </c>
      <c r="S167" s="6">
        <v>0</v>
      </c>
      <c r="T167" s="6">
        <v>2</v>
      </c>
      <c r="U167" s="6">
        <v>1</v>
      </c>
      <c r="V167" s="6">
        <v>3</v>
      </c>
      <c r="W167" s="6">
        <v>2</v>
      </c>
      <c r="X167" s="6">
        <v>4</v>
      </c>
      <c r="AX167" s="150"/>
      <c r="AY167" s="150"/>
      <c r="AZ167" s="150"/>
      <c r="BA167" s="150"/>
      <c r="BB167" s="150"/>
      <c r="BC167" s="150"/>
      <c r="BD167" s="150"/>
      <c r="BE167" s="150"/>
      <c r="BF167" s="150"/>
      <c r="BG167" s="150"/>
      <c r="BH167" s="150"/>
      <c r="BI167" s="150"/>
      <c r="BJ167" s="150"/>
      <c r="BK167" s="150"/>
      <c r="BL167" s="150"/>
    </row>
    <row r="168" spans="1:64" ht="15.75" hidden="1" customHeight="1" x14ac:dyDescent="0.2">
      <c r="A168" s="6" t="s">
        <v>1053</v>
      </c>
      <c r="B168" s="6" t="s">
        <v>409</v>
      </c>
      <c r="C168" s="6">
        <v>30781</v>
      </c>
      <c r="D168" s="6">
        <v>1954</v>
      </c>
      <c r="E168" s="6">
        <v>4.18</v>
      </c>
      <c r="F168" s="6">
        <v>343</v>
      </c>
      <c r="G168" s="6">
        <v>181</v>
      </c>
      <c r="H168" s="6">
        <v>0.35</v>
      </c>
      <c r="I168" s="6">
        <v>2</v>
      </c>
      <c r="J168" s="6">
        <v>3</v>
      </c>
      <c r="K168" s="6">
        <v>4</v>
      </c>
      <c r="L168" s="6">
        <v>3</v>
      </c>
      <c r="M168" s="6">
        <v>4</v>
      </c>
      <c r="N168" s="6">
        <v>2</v>
      </c>
      <c r="O168" s="6">
        <v>4</v>
      </c>
      <c r="P168" s="6">
        <v>0</v>
      </c>
      <c r="Q168" s="6">
        <v>1</v>
      </c>
      <c r="R168" s="6">
        <v>2</v>
      </c>
      <c r="S168" s="6">
        <v>0</v>
      </c>
      <c r="T168" s="6">
        <v>4</v>
      </c>
      <c r="U168" s="6">
        <v>1</v>
      </c>
      <c r="V168" s="6">
        <v>2</v>
      </c>
      <c r="W168" s="6">
        <v>2</v>
      </c>
      <c r="X168" s="6">
        <v>3</v>
      </c>
      <c r="AX168" s="150"/>
      <c r="AY168" s="150"/>
      <c r="AZ168" s="150"/>
      <c r="BA168" s="150"/>
      <c r="BB168" s="150"/>
      <c r="BC168" s="150"/>
      <c r="BD168" s="150"/>
      <c r="BE168" s="150"/>
      <c r="BF168" s="150"/>
      <c r="BG168" s="150"/>
      <c r="BH168" s="150"/>
      <c r="BI168" s="150"/>
      <c r="BJ168" s="150"/>
      <c r="BK168" s="150"/>
      <c r="BL168" s="150"/>
    </row>
    <row r="169" spans="1:64" ht="15.75" hidden="1" customHeight="1" x14ac:dyDescent="0.2">
      <c r="A169" s="6" t="s">
        <v>1054</v>
      </c>
      <c r="B169" s="6" t="s">
        <v>521</v>
      </c>
      <c r="C169" s="6">
        <v>22573</v>
      </c>
      <c r="D169" s="6">
        <v>2005</v>
      </c>
      <c r="E169" s="6">
        <v>3.31</v>
      </c>
      <c r="F169" s="6">
        <v>9098</v>
      </c>
      <c r="G169" s="6">
        <v>180</v>
      </c>
      <c r="H169" s="6">
        <v>0.35</v>
      </c>
      <c r="I169" s="6">
        <v>3</v>
      </c>
      <c r="J169" s="6">
        <v>4</v>
      </c>
      <c r="K169" s="6">
        <v>4</v>
      </c>
      <c r="L169" s="6">
        <v>2</v>
      </c>
      <c r="M169" s="6">
        <v>3</v>
      </c>
      <c r="N169" s="6">
        <v>1</v>
      </c>
      <c r="O169" s="6">
        <v>3</v>
      </c>
      <c r="P169" s="6">
        <v>0</v>
      </c>
      <c r="Q169" s="6">
        <v>1</v>
      </c>
      <c r="R169" s="6">
        <v>2</v>
      </c>
      <c r="S169" s="6">
        <v>4</v>
      </c>
      <c r="T169" s="6">
        <v>4</v>
      </c>
      <c r="U169" s="6">
        <v>0</v>
      </c>
      <c r="V169" s="6">
        <v>1</v>
      </c>
      <c r="W169" s="6">
        <v>3</v>
      </c>
      <c r="X169" s="6">
        <v>2</v>
      </c>
      <c r="AX169" s="150"/>
      <c r="AY169" s="150"/>
      <c r="AZ169" s="150"/>
      <c r="BA169" s="150"/>
      <c r="BB169" s="150"/>
      <c r="BC169" s="150"/>
      <c r="BD169" s="150"/>
      <c r="BE169" s="150"/>
      <c r="BF169" s="150"/>
      <c r="BG169" s="150"/>
      <c r="BH169" s="150"/>
      <c r="BI169" s="150"/>
      <c r="BJ169" s="150"/>
      <c r="BK169" s="150"/>
      <c r="BL169" s="150"/>
    </row>
    <row r="170" spans="1:64" ht="15.75" hidden="1" customHeight="1" x14ac:dyDescent="0.2">
      <c r="A170" s="6" t="s">
        <v>1055</v>
      </c>
      <c r="B170" s="6" t="s">
        <v>447</v>
      </c>
      <c r="C170" s="6">
        <v>24545</v>
      </c>
      <c r="D170" s="6">
        <v>2014</v>
      </c>
      <c r="E170" s="6">
        <v>3.76</v>
      </c>
      <c r="F170" s="6">
        <v>56418</v>
      </c>
      <c r="G170" s="6">
        <v>171</v>
      </c>
      <c r="H170" s="6">
        <v>0.33</v>
      </c>
      <c r="I170" s="6">
        <v>1</v>
      </c>
      <c r="J170" s="6">
        <v>2</v>
      </c>
      <c r="K170" s="6">
        <v>3</v>
      </c>
      <c r="L170" s="6">
        <v>1</v>
      </c>
      <c r="M170" s="6">
        <v>4</v>
      </c>
      <c r="N170" s="6">
        <v>1</v>
      </c>
      <c r="O170" s="6">
        <v>3</v>
      </c>
      <c r="P170" s="6">
        <v>1</v>
      </c>
      <c r="Q170" s="6">
        <v>2</v>
      </c>
      <c r="R170" s="6">
        <v>2</v>
      </c>
      <c r="S170" s="6">
        <v>1</v>
      </c>
      <c r="T170" s="6">
        <v>2</v>
      </c>
      <c r="U170" s="6">
        <v>1</v>
      </c>
      <c r="V170" s="6">
        <v>2</v>
      </c>
      <c r="W170" s="6">
        <v>4</v>
      </c>
      <c r="X170" s="6">
        <v>3</v>
      </c>
      <c r="AX170" s="150"/>
      <c r="AY170" s="150"/>
      <c r="AZ170" s="150"/>
      <c r="BA170" s="150"/>
      <c r="BB170" s="150"/>
      <c r="BC170" s="150"/>
      <c r="BD170" s="150"/>
      <c r="BE170" s="150"/>
      <c r="BF170" s="150"/>
      <c r="BG170" s="150"/>
      <c r="BH170" s="150"/>
      <c r="BI170" s="150"/>
      <c r="BJ170" s="150"/>
      <c r="BK170" s="150"/>
      <c r="BL170" s="150"/>
    </row>
    <row r="171" spans="1:64" ht="15.75" hidden="1" customHeight="1" x14ac:dyDescent="0.2">
      <c r="A171" s="6" t="s">
        <v>1056</v>
      </c>
      <c r="B171" s="6" t="s">
        <v>496</v>
      </c>
      <c r="C171" s="6">
        <v>36988</v>
      </c>
      <c r="D171" s="6">
        <v>1959</v>
      </c>
      <c r="E171" s="6">
        <v>3.86</v>
      </c>
      <c r="F171" s="6">
        <v>20739</v>
      </c>
      <c r="G171" s="6">
        <v>169</v>
      </c>
      <c r="H171" s="6">
        <v>0.33</v>
      </c>
      <c r="I171" s="6">
        <v>2</v>
      </c>
      <c r="J171" s="6">
        <v>3</v>
      </c>
      <c r="K171" s="6">
        <v>3</v>
      </c>
      <c r="L171" s="6">
        <v>1</v>
      </c>
      <c r="M171" s="6">
        <v>3</v>
      </c>
      <c r="N171" s="6">
        <v>4</v>
      </c>
      <c r="O171" s="6">
        <v>3</v>
      </c>
      <c r="P171" s="6">
        <v>1</v>
      </c>
      <c r="Q171" s="6">
        <v>0</v>
      </c>
      <c r="R171" s="6">
        <v>3</v>
      </c>
      <c r="S171" s="6">
        <v>2</v>
      </c>
      <c r="T171" s="6">
        <v>2</v>
      </c>
      <c r="U171" s="6">
        <v>1</v>
      </c>
      <c r="V171" s="6">
        <v>1</v>
      </c>
      <c r="W171" s="6">
        <v>2</v>
      </c>
      <c r="X171" s="6">
        <v>3</v>
      </c>
      <c r="AX171" s="150"/>
      <c r="AY171" s="150"/>
      <c r="AZ171" s="150"/>
      <c r="BA171" s="150"/>
      <c r="BB171" s="150"/>
      <c r="BC171" s="150"/>
      <c r="BD171" s="150"/>
      <c r="BE171" s="150"/>
      <c r="BF171" s="150"/>
      <c r="BG171" s="150"/>
      <c r="BH171" s="150"/>
      <c r="BI171" s="150"/>
      <c r="BJ171" s="150"/>
      <c r="BK171" s="150"/>
      <c r="BL171" s="150"/>
    </row>
    <row r="172" spans="1:64" ht="15.75" hidden="1" customHeight="1" x14ac:dyDescent="0.2">
      <c r="A172" s="6" t="s">
        <v>1057</v>
      </c>
      <c r="B172" s="6" t="s">
        <v>25</v>
      </c>
      <c r="C172" s="6">
        <v>10141</v>
      </c>
      <c r="D172" s="6">
        <v>1967</v>
      </c>
      <c r="E172" s="6">
        <v>3.9</v>
      </c>
      <c r="F172" s="6">
        <v>5632</v>
      </c>
      <c r="G172" s="6">
        <v>168</v>
      </c>
      <c r="H172" s="6">
        <v>0.33</v>
      </c>
      <c r="I172" s="6">
        <v>3</v>
      </c>
      <c r="J172" s="6">
        <v>4</v>
      </c>
      <c r="K172" s="6">
        <v>4</v>
      </c>
      <c r="L172" s="6">
        <v>3</v>
      </c>
      <c r="M172" s="6">
        <v>4</v>
      </c>
      <c r="N172" s="6">
        <v>2</v>
      </c>
      <c r="O172" s="6">
        <v>4</v>
      </c>
      <c r="P172" s="6">
        <v>1</v>
      </c>
      <c r="Q172" s="6">
        <v>2</v>
      </c>
      <c r="R172" s="6">
        <v>0</v>
      </c>
      <c r="S172" s="6">
        <v>1</v>
      </c>
      <c r="T172" s="6">
        <v>0</v>
      </c>
      <c r="U172" s="6">
        <v>1</v>
      </c>
      <c r="V172" s="6">
        <v>3</v>
      </c>
      <c r="W172" s="6">
        <v>1</v>
      </c>
      <c r="X172" s="6">
        <v>4</v>
      </c>
      <c r="AX172" s="150"/>
      <c r="AY172" s="150"/>
      <c r="AZ172" s="150"/>
      <c r="BA172" s="150"/>
      <c r="BB172" s="150"/>
      <c r="BC172" s="150"/>
      <c r="BD172" s="150"/>
      <c r="BE172" s="150"/>
      <c r="BF172" s="150"/>
      <c r="BG172" s="150"/>
      <c r="BH172" s="150"/>
      <c r="BI172" s="150"/>
      <c r="BJ172" s="150"/>
      <c r="BK172" s="150"/>
      <c r="BL172" s="150"/>
    </row>
    <row r="173" spans="1:64" ht="15.75" customHeight="1" x14ac:dyDescent="0.2">
      <c r="A173" s="6" t="s">
        <v>1058</v>
      </c>
      <c r="B173" s="6" t="s">
        <v>408</v>
      </c>
      <c r="C173" s="6">
        <v>48447</v>
      </c>
      <c r="D173" s="6">
        <v>1925</v>
      </c>
      <c r="E173" s="6">
        <v>3.93</v>
      </c>
      <c r="F173" s="6">
        <v>5452210</v>
      </c>
      <c r="G173" s="6">
        <v>168</v>
      </c>
      <c r="H173" s="6">
        <v>0.33</v>
      </c>
      <c r="I173" s="6">
        <v>3</v>
      </c>
      <c r="J173" s="6">
        <v>4</v>
      </c>
      <c r="K173" s="6">
        <v>4</v>
      </c>
      <c r="L173" s="6">
        <v>2</v>
      </c>
      <c r="M173" s="6">
        <v>3</v>
      </c>
      <c r="N173" s="6">
        <v>1</v>
      </c>
      <c r="O173" s="6">
        <v>3</v>
      </c>
      <c r="P173" s="6">
        <v>0</v>
      </c>
      <c r="Q173" s="6">
        <v>2</v>
      </c>
      <c r="R173" s="6">
        <v>3</v>
      </c>
      <c r="S173" s="6">
        <v>2</v>
      </c>
      <c r="T173" s="6">
        <v>4</v>
      </c>
      <c r="U173" s="6">
        <v>1</v>
      </c>
      <c r="V173" s="6">
        <v>3</v>
      </c>
      <c r="W173" s="6">
        <v>1</v>
      </c>
      <c r="X173" s="6">
        <v>2</v>
      </c>
      <c r="AX173" s="150"/>
      <c r="AY173" s="150"/>
      <c r="AZ173" s="150"/>
      <c r="BA173" s="150"/>
      <c r="BB173" s="150"/>
      <c r="BC173" s="150"/>
      <c r="BD173" s="150"/>
      <c r="BE173" s="150"/>
      <c r="BF173" s="150"/>
      <c r="BG173" s="150"/>
      <c r="BH173" s="150"/>
      <c r="BI173" s="150"/>
      <c r="BJ173" s="150"/>
      <c r="BK173" s="150"/>
      <c r="BL173" s="150"/>
    </row>
    <row r="174" spans="1:64" ht="15.75" hidden="1" customHeight="1" x14ac:dyDescent="0.2">
      <c r="A174" s="6" t="s">
        <v>1059</v>
      </c>
      <c r="B174" s="6" t="s">
        <v>418</v>
      </c>
      <c r="C174" s="6">
        <v>42183</v>
      </c>
      <c r="D174" s="6">
        <v>1943</v>
      </c>
      <c r="E174" s="6">
        <v>3.89</v>
      </c>
      <c r="F174" s="6">
        <v>8465</v>
      </c>
      <c r="G174" s="6">
        <v>167</v>
      </c>
      <c r="H174" s="6">
        <v>0.32</v>
      </c>
      <c r="I174" s="6">
        <v>3</v>
      </c>
      <c r="J174" s="6">
        <v>4</v>
      </c>
      <c r="K174" s="6">
        <v>4</v>
      </c>
      <c r="L174" s="6">
        <v>3</v>
      </c>
      <c r="M174" s="6">
        <v>2</v>
      </c>
      <c r="N174" s="6">
        <v>1</v>
      </c>
      <c r="O174" s="6">
        <v>3</v>
      </c>
      <c r="P174" s="6">
        <v>0</v>
      </c>
      <c r="Q174" s="6">
        <v>2</v>
      </c>
      <c r="R174" s="6">
        <v>0</v>
      </c>
      <c r="S174" s="6">
        <v>1</v>
      </c>
      <c r="T174" s="6">
        <v>2</v>
      </c>
      <c r="U174" s="6">
        <v>1</v>
      </c>
      <c r="V174" s="6">
        <v>3</v>
      </c>
      <c r="W174" s="6">
        <v>0</v>
      </c>
      <c r="X174" s="6">
        <v>4</v>
      </c>
      <c r="AX174" s="150"/>
      <c r="AY174" s="150"/>
      <c r="AZ174" s="150"/>
      <c r="BA174" s="150"/>
      <c r="BB174" s="150"/>
      <c r="BC174" s="150"/>
      <c r="BD174" s="150"/>
      <c r="BE174" s="150"/>
      <c r="BF174" s="150"/>
      <c r="BG174" s="150"/>
      <c r="BH174" s="150"/>
      <c r="BI174" s="150"/>
      <c r="BJ174" s="150"/>
      <c r="BK174" s="150"/>
      <c r="BL174" s="150"/>
    </row>
    <row r="175" spans="1:64" ht="15.75" hidden="1" customHeight="1" x14ac:dyDescent="0.2">
      <c r="A175" s="6" t="s">
        <v>1060</v>
      </c>
      <c r="B175" s="6" t="s">
        <v>399</v>
      </c>
      <c r="C175" s="6">
        <v>18931</v>
      </c>
      <c r="D175" s="6">
        <v>2014</v>
      </c>
      <c r="E175" s="6">
        <v>3.45</v>
      </c>
      <c r="F175" s="6">
        <v>1189</v>
      </c>
      <c r="G175" s="6">
        <v>165</v>
      </c>
      <c r="H175" s="6">
        <v>0.32</v>
      </c>
      <c r="I175" s="6">
        <v>2</v>
      </c>
      <c r="J175" s="6">
        <v>3</v>
      </c>
      <c r="K175" s="6">
        <v>3</v>
      </c>
      <c r="L175" s="6">
        <v>1</v>
      </c>
      <c r="M175" s="6">
        <v>4</v>
      </c>
      <c r="N175" s="6">
        <v>2</v>
      </c>
      <c r="O175" s="6">
        <v>3</v>
      </c>
      <c r="P175" s="6">
        <v>0</v>
      </c>
      <c r="Q175" s="6">
        <v>2</v>
      </c>
      <c r="R175" s="6">
        <v>3</v>
      </c>
      <c r="S175" s="6">
        <v>1</v>
      </c>
      <c r="T175" s="6">
        <v>2</v>
      </c>
      <c r="U175" s="6">
        <v>1</v>
      </c>
      <c r="V175" s="6">
        <v>2</v>
      </c>
      <c r="W175" s="6">
        <v>1</v>
      </c>
      <c r="X175" s="6">
        <v>3</v>
      </c>
      <c r="AX175" s="150"/>
      <c r="AY175" s="150"/>
      <c r="AZ175" s="150"/>
      <c r="BA175" s="150"/>
      <c r="BB175" s="150"/>
      <c r="BC175" s="150"/>
      <c r="BD175" s="150"/>
      <c r="BE175" s="150"/>
      <c r="BF175" s="150"/>
      <c r="BG175" s="150"/>
      <c r="BH175" s="150"/>
      <c r="BI175" s="150"/>
      <c r="BJ175" s="150"/>
      <c r="BK175" s="150"/>
      <c r="BL175" s="150"/>
    </row>
    <row r="176" spans="1:64" ht="15.75" hidden="1" customHeight="1" x14ac:dyDescent="0.2">
      <c r="A176" s="6" t="s">
        <v>1061</v>
      </c>
      <c r="B176" s="6" t="s">
        <v>473</v>
      </c>
      <c r="C176" s="6">
        <v>95271</v>
      </c>
      <c r="D176" s="6">
        <v>1962</v>
      </c>
      <c r="E176" s="6">
        <v>4.18</v>
      </c>
      <c r="F176" s="6">
        <v>9480</v>
      </c>
      <c r="G176" s="6">
        <v>160</v>
      </c>
      <c r="H176" s="6">
        <v>0.31</v>
      </c>
      <c r="I176" s="6">
        <v>2</v>
      </c>
      <c r="J176" s="6">
        <v>3</v>
      </c>
      <c r="K176" s="6">
        <v>4</v>
      </c>
      <c r="L176" s="6">
        <v>1</v>
      </c>
      <c r="M176" s="6">
        <v>3</v>
      </c>
      <c r="N176" s="6">
        <v>2</v>
      </c>
      <c r="O176" s="6">
        <v>3</v>
      </c>
      <c r="P176" s="6">
        <v>0</v>
      </c>
      <c r="Q176" s="6">
        <v>2</v>
      </c>
      <c r="R176" s="6">
        <v>1</v>
      </c>
      <c r="S176" s="6">
        <v>2</v>
      </c>
      <c r="T176" s="6">
        <v>4</v>
      </c>
      <c r="U176" s="6">
        <v>0</v>
      </c>
      <c r="V176" s="6">
        <v>1</v>
      </c>
      <c r="W176" s="6">
        <v>2</v>
      </c>
      <c r="X176" s="6">
        <v>3</v>
      </c>
      <c r="AX176" s="150"/>
      <c r="AY176" s="150"/>
      <c r="AZ176" s="150"/>
      <c r="BA176" s="150"/>
      <c r="BB176" s="150"/>
      <c r="BC176" s="150"/>
      <c r="BD176" s="150"/>
      <c r="BE176" s="150"/>
      <c r="BF176" s="150"/>
      <c r="BG176" s="150"/>
      <c r="BH176" s="150"/>
      <c r="BI176" s="150"/>
      <c r="BJ176" s="150"/>
      <c r="BK176" s="150"/>
      <c r="BL176" s="150"/>
    </row>
    <row r="177" spans="1:64" ht="15.75" hidden="1" customHeight="1" x14ac:dyDescent="0.2">
      <c r="A177" s="6" t="s">
        <v>1062</v>
      </c>
      <c r="B177" s="6" t="s">
        <v>538</v>
      </c>
      <c r="C177" s="6">
        <v>64544</v>
      </c>
      <c r="D177" s="6">
        <v>1925</v>
      </c>
      <c r="E177" s="6">
        <v>3.79</v>
      </c>
      <c r="F177" s="6">
        <v>322006</v>
      </c>
      <c r="G177" s="6">
        <v>159</v>
      </c>
      <c r="H177" s="6">
        <v>0.31</v>
      </c>
      <c r="I177" s="6">
        <v>1</v>
      </c>
      <c r="J177" s="6">
        <v>2</v>
      </c>
      <c r="K177" s="6">
        <v>3</v>
      </c>
      <c r="L177" s="6">
        <v>1</v>
      </c>
      <c r="M177" s="6">
        <v>4</v>
      </c>
      <c r="N177" s="6">
        <v>2</v>
      </c>
      <c r="O177" s="6">
        <v>3</v>
      </c>
      <c r="P177" s="6">
        <v>1</v>
      </c>
      <c r="Q177" s="6">
        <v>1</v>
      </c>
      <c r="R177" s="6">
        <v>2</v>
      </c>
      <c r="S177" s="6">
        <v>3</v>
      </c>
      <c r="T177" s="6">
        <v>3</v>
      </c>
      <c r="U177" s="6">
        <v>1</v>
      </c>
      <c r="V177" s="6">
        <v>2</v>
      </c>
      <c r="W177" s="6">
        <v>4</v>
      </c>
      <c r="X177" s="6">
        <v>3</v>
      </c>
      <c r="AX177" s="150"/>
      <c r="AY177" s="150"/>
      <c r="AZ177" s="150"/>
      <c r="BA177" s="150"/>
      <c r="BB177" s="150"/>
      <c r="BC177" s="150"/>
      <c r="BD177" s="150"/>
      <c r="BE177" s="150"/>
      <c r="BF177" s="150"/>
      <c r="BG177" s="150"/>
      <c r="BH177" s="150"/>
      <c r="BI177" s="150"/>
      <c r="BJ177" s="150"/>
      <c r="BK177" s="150"/>
      <c r="BL177" s="150"/>
    </row>
    <row r="178" spans="1:64" ht="15.75" hidden="1" customHeight="1" x14ac:dyDescent="0.2">
      <c r="A178" s="6" t="s">
        <v>1063</v>
      </c>
      <c r="B178" s="6" t="s">
        <v>537</v>
      </c>
      <c r="C178" s="6">
        <v>27016</v>
      </c>
      <c r="D178" s="6">
        <v>2016</v>
      </c>
      <c r="E178" s="6">
        <v>3.85</v>
      </c>
      <c r="F178" s="6">
        <v>30483</v>
      </c>
      <c r="G178" s="6">
        <v>157</v>
      </c>
      <c r="H178" s="6">
        <v>0.3</v>
      </c>
      <c r="I178" s="6">
        <v>3</v>
      </c>
      <c r="J178" s="6">
        <v>4</v>
      </c>
      <c r="K178" s="6">
        <v>4</v>
      </c>
      <c r="L178" s="6">
        <v>2</v>
      </c>
      <c r="M178" s="6">
        <v>3</v>
      </c>
      <c r="N178" s="6">
        <v>1</v>
      </c>
      <c r="O178" s="6">
        <v>3</v>
      </c>
      <c r="P178" s="6">
        <v>0</v>
      </c>
      <c r="Q178" s="6">
        <v>2</v>
      </c>
      <c r="R178" s="6">
        <v>0</v>
      </c>
      <c r="S178" s="6">
        <v>1</v>
      </c>
      <c r="T178" s="6">
        <v>3</v>
      </c>
      <c r="U178" s="6">
        <v>0</v>
      </c>
      <c r="V178" s="6">
        <v>2</v>
      </c>
      <c r="W178" s="6">
        <v>0</v>
      </c>
      <c r="X178" s="6">
        <v>3</v>
      </c>
      <c r="AX178" s="150"/>
      <c r="AY178" s="150"/>
      <c r="AZ178" s="150"/>
      <c r="BA178" s="150"/>
      <c r="BB178" s="150"/>
      <c r="BC178" s="150"/>
      <c r="BD178" s="150"/>
      <c r="BE178" s="150"/>
      <c r="BF178" s="150"/>
      <c r="BG178" s="150"/>
      <c r="BH178" s="150"/>
      <c r="BI178" s="150"/>
      <c r="BJ178" s="150"/>
      <c r="BK178" s="150"/>
      <c r="BL178" s="150"/>
    </row>
    <row r="179" spans="1:64" ht="15.75" hidden="1" customHeight="1" x14ac:dyDescent="0.2">
      <c r="A179" s="6" t="s">
        <v>1064</v>
      </c>
      <c r="B179" s="6" t="s">
        <v>526</v>
      </c>
      <c r="C179" s="6">
        <v>30665</v>
      </c>
      <c r="D179" s="6">
        <v>2010</v>
      </c>
      <c r="E179" s="6">
        <v>3.92</v>
      </c>
      <c r="F179" s="6">
        <v>6977</v>
      </c>
      <c r="G179" s="6">
        <v>156</v>
      </c>
      <c r="H179" s="6">
        <v>0.3</v>
      </c>
      <c r="I179" s="6">
        <v>2</v>
      </c>
      <c r="J179" s="6">
        <v>3</v>
      </c>
      <c r="K179" s="6">
        <v>4</v>
      </c>
      <c r="L179" s="6">
        <v>2</v>
      </c>
      <c r="M179" s="6">
        <v>4</v>
      </c>
      <c r="N179" s="6">
        <v>1</v>
      </c>
      <c r="O179" s="6">
        <v>3</v>
      </c>
      <c r="P179" s="6">
        <v>1</v>
      </c>
      <c r="Q179" s="6">
        <v>0</v>
      </c>
      <c r="R179" s="6">
        <v>2</v>
      </c>
      <c r="S179" s="6">
        <v>1</v>
      </c>
      <c r="T179" s="6">
        <v>2</v>
      </c>
      <c r="U179" s="6">
        <v>1</v>
      </c>
      <c r="V179" s="6">
        <v>2</v>
      </c>
      <c r="W179" s="6">
        <v>4</v>
      </c>
      <c r="X179" s="6">
        <v>4</v>
      </c>
      <c r="AX179" s="150"/>
      <c r="AY179" s="150"/>
      <c r="AZ179" s="150"/>
      <c r="BA179" s="150"/>
      <c r="BB179" s="150"/>
      <c r="BC179" s="150"/>
      <c r="BD179" s="150"/>
      <c r="BE179" s="150"/>
      <c r="BF179" s="150"/>
      <c r="BG179" s="150"/>
      <c r="BH179" s="150"/>
      <c r="BI179" s="150"/>
      <c r="BJ179" s="150"/>
      <c r="BK179" s="150"/>
      <c r="BL179" s="150"/>
    </row>
    <row r="180" spans="1:64" ht="15.75" hidden="1" customHeight="1" x14ac:dyDescent="0.2">
      <c r="A180" s="6" t="s">
        <v>1065</v>
      </c>
      <c r="B180" s="6" t="s">
        <v>60</v>
      </c>
      <c r="C180" s="6">
        <v>15791</v>
      </c>
      <c r="D180" s="6">
        <v>2003</v>
      </c>
      <c r="E180" s="6">
        <v>3.8</v>
      </c>
      <c r="F180" s="6">
        <v>13279</v>
      </c>
      <c r="G180" s="6">
        <v>154</v>
      </c>
      <c r="H180" s="6">
        <v>0.3</v>
      </c>
      <c r="I180" s="6">
        <v>3</v>
      </c>
      <c r="J180" s="6">
        <v>4</v>
      </c>
      <c r="K180" s="6">
        <v>4</v>
      </c>
      <c r="L180" s="6">
        <v>2</v>
      </c>
      <c r="M180" s="6">
        <v>4</v>
      </c>
      <c r="N180" s="6">
        <v>1</v>
      </c>
      <c r="O180" s="6">
        <v>3</v>
      </c>
      <c r="P180" s="6">
        <v>2</v>
      </c>
      <c r="Q180" s="6">
        <v>1</v>
      </c>
      <c r="R180" s="6">
        <v>4</v>
      </c>
      <c r="S180" s="6">
        <v>3</v>
      </c>
      <c r="T180" s="6">
        <v>1</v>
      </c>
      <c r="U180" s="6">
        <v>2</v>
      </c>
      <c r="V180" s="6">
        <v>3</v>
      </c>
      <c r="W180" s="6">
        <v>2</v>
      </c>
      <c r="X180" s="6">
        <v>4</v>
      </c>
      <c r="AX180" s="150"/>
      <c r="AY180" s="150"/>
      <c r="AZ180" s="150"/>
      <c r="BA180" s="150"/>
      <c r="BB180" s="150"/>
      <c r="BC180" s="150"/>
      <c r="BD180" s="150"/>
      <c r="BE180" s="150"/>
      <c r="BF180" s="150"/>
      <c r="BG180" s="150"/>
      <c r="BH180" s="150"/>
      <c r="BI180" s="150"/>
      <c r="BJ180" s="150"/>
      <c r="BK180" s="150"/>
      <c r="BL180" s="150"/>
    </row>
    <row r="181" spans="1:64" ht="15.75" customHeight="1" x14ac:dyDescent="0.2">
      <c r="A181" s="6" t="s">
        <v>1066</v>
      </c>
      <c r="B181" s="6" t="s">
        <v>14</v>
      </c>
      <c r="C181" s="6">
        <v>11373</v>
      </c>
      <c r="D181" s="6">
        <v>1887</v>
      </c>
      <c r="E181" s="6">
        <v>3.88</v>
      </c>
      <c r="F181" s="6">
        <v>65078</v>
      </c>
      <c r="G181" s="6">
        <v>154</v>
      </c>
      <c r="H181" s="6">
        <v>0.3</v>
      </c>
      <c r="I181" s="6">
        <v>2</v>
      </c>
      <c r="J181" s="6">
        <v>3</v>
      </c>
      <c r="K181" s="6">
        <v>3</v>
      </c>
      <c r="L181" s="6">
        <v>2</v>
      </c>
      <c r="M181" s="6">
        <v>3</v>
      </c>
      <c r="N181" s="6">
        <v>2</v>
      </c>
      <c r="O181" s="6">
        <v>3</v>
      </c>
      <c r="P181" s="6">
        <v>2</v>
      </c>
      <c r="Q181" s="6">
        <v>1</v>
      </c>
      <c r="R181" s="6">
        <v>2</v>
      </c>
      <c r="S181" s="6">
        <v>3</v>
      </c>
      <c r="T181" s="6">
        <v>2</v>
      </c>
      <c r="U181" s="6">
        <v>1</v>
      </c>
      <c r="V181" s="6">
        <v>3</v>
      </c>
      <c r="W181" s="6">
        <v>3</v>
      </c>
      <c r="X181" s="6">
        <v>2</v>
      </c>
      <c r="AX181" s="150"/>
      <c r="AY181" s="150"/>
      <c r="AZ181" s="150"/>
      <c r="BA181" s="150"/>
      <c r="BB181" s="150"/>
      <c r="BC181" s="150"/>
      <c r="BD181" s="150"/>
      <c r="BE181" s="150"/>
      <c r="BF181" s="150"/>
      <c r="BG181" s="150"/>
      <c r="BH181" s="150"/>
      <c r="BI181" s="150"/>
      <c r="BJ181" s="150"/>
      <c r="BK181" s="150"/>
      <c r="BL181" s="150"/>
    </row>
    <row r="182" spans="1:64" ht="15.75" customHeight="1" x14ac:dyDescent="0.2">
      <c r="A182" s="6" t="s">
        <v>1067</v>
      </c>
      <c r="B182" s="6" t="s">
        <v>23</v>
      </c>
      <c r="C182" s="6">
        <v>10757</v>
      </c>
      <c r="D182" s="6">
        <v>1957</v>
      </c>
      <c r="E182" s="6">
        <v>3.87</v>
      </c>
      <c r="F182" s="6">
        <v>1544</v>
      </c>
      <c r="G182" s="6">
        <v>152</v>
      </c>
      <c r="H182" s="6">
        <v>0.28999999999999998</v>
      </c>
      <c r="I182" s="6">
        <v>3</v>
      </c>
      <c r="J182" s="6">
        <v>4</v>
      </c>
      <c r="K182" s="6">
        <v>4</v>
      </c>
      <c r="L182" s="6">
        <v>2</v>
      </c>
      <c r="M182" s="6">
        <v>3</v>
      </c>
      <c r="N182" s="6">
        <v>1</v>
      </c>
      <c r="O182" s="6">
        <v>2</v>
      </c>
      <c r="P182" s="6">
        <v>4</v>
      </c>
      <c r="Q182" s="6">
        <v>2</v>
      </c>
      <c r="R182" s="6">
        <v>1</v>
      </c>
      <c r="S182" s="6">
        <v>4</v>
      </c>
      <c r="T182" s="6">
        <v>1</v>
      </c>
      <c r="U182" s="6">
        <v>2</v>
      </c>
      <c r="V182" s="6">
        <v>3</v>
      </c>
      <c r="W182" s="6">
        <v>3</v>
      </c>
      <c r="X182" s="6">
        <v>3</v>
      </c>
      <c r="AX182" s="150"/>
      <c r="AY182" s="150"/>
      <c r="AZ182" s="150"/>
      <c r="BA182" s="150"/>
      <c r="BB182" s="150"/>
      <c r="BC182" s="150"/>
      <c r="BD182" s="150"/>
      <c r="BE182" s="150"/>
      <c r="BF182" s="150"/>
      <c r="BG182" s="150"/>
      <c r="BH182" s="150"/>
      <c r="BI182" s="150"/>
      <c r="BJ182" s="150"/>
      <c r="BK182" s="150"/>
      <c r="BL182" s="150"/>
    </row>
    <row r="183" spans="1:64" ht="15.75" hidden="1" customHeight="1" x14ac:dyDescent="0.2">
      <c r="A183" s="6" t="s">
        <v>1068</v>
      </c>
      <c r="B183" s="6" t="s">
        <v>531</v>
      </c>
      <c r="C183" s="6">
        <v>56679</v>
      </c>
      <c r="D183" s="6">
        <v>2008</v>
      </c>
      <c r="E183" s="6">
        <v>3.9</v>
      </c>
      <c r="F183" s="6">
        <v>23417</v>
      </c>
      <c r="G183" s="6">
        <v>151</v>
      </c>
      <c r="H183" s="6">
        <v>0.28999999999999998</v>
      </c>
      <c r="I183" s="6">
        <v>2</v>
      </c>
      <c r="J183" s="6">
        <v>3</v>
      </c>
      <c r="K183" s="6">
        <v>4</v>
      </c>
      <c r="L183" s="6">
        <v>2</v>
      </c>
      <c r="M183" s="6">
        <v>3</v>
      </c>
      <c r="N183" s="6">
        <v>1</v>
      </c>
      <c r="O183" s="6">
        <v>4</v>
      </c>
      <c r="P183" s="6">
        <v>0</v>
      </c>
      <c r="Q183" s="6">
        <v>1</v>
      </c>
      <c r="R183" s="6">
        <v>2</v>
      </c>
      <c r="S183" s="6">
        <v>0</v>
      </c>
      <c r="T183" s="6">
        <v>3</v>
      </c>
      <c r="U183" s="6">
        <v>1</v>
      </c>
      <c r="V183" s="6">
        <v>2</v>
      </c>
      <c r="W183" s="6">
        <v>0</v>
      </c>
      <c r="X183" s="6">
        <v>3</v>
      </c>
      <c r="AX183" s="150"/>
      <c r="AY183" s="150"/>
      <c r="AZ183" s="150"/>
      <c r="BA183" s="150"/>
      <c r="BB183" s="150"/>
      <c r="BC183" s="150"/>
      <c r="BD183" s="150"/>
      <c r="BE183" s="150"/>
      <c r="BF183" s="150"/>
      <c r="BG183" s="150"/>
      <c r="BH183" s="150"/>
      <c r="BI183" s="150"/>
      <c r="BJ183" s="150"/>
      <c r="BK183" s="150"/>
      <c r="BL183" s="150"/>
    </row>
    <row r="184" spans="1:64" ht="15.75" hidden="1" customHeight="1" x14ac:dyDescent="0.2">
      <c r="A184" s="6" t="s">
        <v>1069</v>
      </c>
      <c r="B184" s="6" t="s">
        <v>496</v>
      </c>
      <c r="C184" s="6">
        <v>36877</v>
      </c>
      <c r="D184" s="6">
        <v>2001</v>
      </c>
      <c r="E184" s="6">
        <v>3.62</v>
      </c>
      <c r="F184" s="6">
        <v>12487</v>
      </c>
      <c r="G184" s="6">
        <v>151</v>
      </c>
      <c r="H184" s="6">
        <v>0.28999999999999998</v>
      </c>
      <c r="I184" s="6">
        <v>2</v>
      </c>
      <c r="J184" s="6">
        <v>3</v>
      </c>
      <c r="K184" s="6">
        <v>3</v>
      </c>
      <c r="L184" s="6">
        <v>1</v>
      </c>
      <c r="M184" s="6">
        <v>4</v>
      </c>
      <c r="N184" s="6">
        <v>2</v>
      </c>
      <c r="O184" s="6">
        <v>3</v>
      </c>
      <c r="P184" s="6">
        <v>0</v>
      </c>
      <c r="Q184" s="6">
        <v>0</v>
      </c>
      <c r="R184" s="6">
        <v>2</v>
      </c>
      <c r="S184" s="6">
        <v>1</v>
      </c>
      <c r="T184" s="6">
        <v>4</v>
      </c>
      <c r="U184" s="6">
        <v>0</v>
      </c>
      <c r="V184" s="6">
        <v>2</v>
      </c>
      <c r="W184" s="6">
        <v>3</v>
      </c>
      <c r="X184" s="6">
        <v>3</v>
      </c>
      <c r="AX184" s="150"/>
      <c r="AY184" s="150"/>
      <c r="AZ184" s="150"/>
      <c r="BA184" s="150"/>
      <c r="BB184" s="150"/>
      <c r="BC184" s="150"/>
      <c r="BD184" s="150"/>
      <c r="BE184" s="150"/>
      <c r="BF184" s="150"/>
      <c r="BG184" s="150"/>
      <c r="BH184" s="150"/>
      <c r="BI184" s="150"/>
      <c r="BJ184" s="150"/>
      <c r="BK184" s="150"/>
      <c r="BL184" s="150"/>
    </row>
    <row r="185" spans="1:64" ht="15.75" hidden="1" customHeight="1" x14ac:dyDescent="0.2">
      <c r="A185" s="6" t="s">
        <v>1070</v>
      </c>
      <c r="B185" s="6" t="s">
        <v>545</v>
      </c>
      <c r="C185" s="6">
        <v>23040</v>
      </c>
      <c r="D185" s="6">
        <v>1850</v>
      </c>
      <c r="E185" s="6">
        <v>3.35</v>
      </c>
      <c r="F185" s="6">
        <v>104</v>
      </c>
      <c r="G185" s="6">
        <v>149</v>
      </c>
      <c r="H185" s="6">
        <v>0.28999999999999998</v>
      </c>
      <c r="I185" s="6">
        <v>3</v>
      </c>
      <c r="J185" s="6">
        <v>4</v>
      </c>
      <c r="K185" s="6">
        <v>4</v>
      </c>
      <c r="L185" s="6">
        <v>3</v>
      </c>
      <c r="M185" s="6">
        <v>4</v>
      </c>
      <c r="N185" s="6">
        <v>2</v>
      </c>
      <c r="O185" s="6">
        <v>4</v>
      </c>
      <c r="P185" s="6">
        <v>1</v>
      </c>
      <c r="Q185" s="6">
        <v>0</v>
      </c>
      <c r="R185" s="6">
        <v>3</v>
      </c>
      <c r="S185" s="6">
        <v>2</v>
      </c>
      <c r="T185" s="6">
        <v>1</v>
      </c>
      <c r="U185" s="6">
        <v>1</v>
      </c>
      <c r="V185" s="6">
        <v>3</v>
      </c>
      <c r="W185" s="6">
        <v>4</v>
      </c>
      <c r="X185" s="6">
        <v>4</v>
      </c>
      <c r="AX185" s="150"/>
      <c r="AY185" s="150"/>
      <c r="AZ185" s="150"/>
      <c r="BA185" s="150"/>
      <c r="BB185" s="150"/>
      <c r="BC185" s="150"/>
      <c r="BD185" s="150"/>
      <c r="BE185" s="150"/>
      <c r="BF185" s="150"/>
      <c r="BG185" s="150"/>
      <c r="BH185" s="150"/>
      <c r="BI185" s="150"/>
      <c r="BJ185" s="150"/>
      <c r="BK185" s="150"/>
      <c r="BL185" s="150"/>
    </row>
    <row r="186" spans="1:64" ht="15.75" hidden="1" customHeight="1" x14ac:dyDescent="0.2">
      <c r="A186" s="6" t="s">
        <v>1071</v>
      </c>
      <c r="B186" s="6" t="s">
        <v>406</v>
      </c>
      <c r="C186" s="6">
        <v>39694</v>
      </c>
      <c r="D186" s="6">
        <v>1972</v>
      </c>
      <c r="E186" s="6">
        <v>3.52</v>
      </c>
      <c r="F186" s="6">
        <v>14520</v>
      </c>
      <c r="G186" s="6">
        <v>146</v>
      </c>
      <c r="H186" s="6">
        <v>0.28000000000000003</v>
      </c>
      <c r="I186" s="6">
        <v>2</v>
      </c>
      <c r="J186" s="6">
        <v>3</v>
      </c>
      <c r="K186" s="6">
        <v>4</v>
      </c>
      <c r="L186" s="6">
        <v>2</v>
      </c>
      <c r="M186" s="6">
        <v>4</v>
      </c>
      <c r="N186" s="6">
        <v>3</v>
      </c>
      <c r="O186" s="6">
        <v>4</v>
      </c>
      <c r="P186" s="6">
        <v>1</v>
      </c>
      <c r="Q186" s="6">
        <v>2</v>
      </c>
      <c r="R186" s="6">
        <v>1</v>
      </c>
      <c r="S186" s="6">
        <v>0</v>
      </c>
      <c r="T186" s="6">
        <v>3</v>
      </c>
      <c r="U186" s="6">
        <v>1</v>
      </c>
      <c r="V186" s="6">
        <v>2</v>
      </c>
      <c r="W186" s="6">
        <v>4</v>
      </c>
      <c r="X186" s="6">
        <v>4</v>
      </c>
      <c r="AX186" s="150"/>
      <c r="AY186" s="150"/>
      <c r="AZ186" s="150"/>
      <c r="BA186" s="150"/>
      <c r="BB186" s="150"/>
      <c r="BC186" s="150"/>
      <c r="BD186" s="150"/>
      <c r="BE186" s="150"/>
      <c r="BF186" s="150"/>
      <c r="BG186" s="150"/>
      <c r="BH186" s="150"/>
      <c r="BI186" s="150"/>
      <c r="BJ186" s="150"/>
      <c r="BK186" s="150"/>
      <c r="BL186" s="150"/>
    </row>
    <row r="187" spans="1:64" ht="15.75" hidden="1" customHeight="1" x14ac:dyDescent="0.2">
      <c r="A187" s="6" t="s">
        <v>1072</v>
      </c>
      <c r="B187" s="6" t="s">
        <v>396</v>
      </c>
      <c r="C187" s="6">
        <v>19207</v>
      </c>
      <c r="D187" s="6">
        <v>2001</v>
      </c>
      <c r="E187" s="6">
        <v>4.13</v>
      </c>
      <c r="F187" s="6">
        <v>1324</v>
      </c>
      <c r="G187" s="6">
        <v>145</v>
      </c>
      <c r="H187" s="6">
        <v>0.28000000000000003</v>
      </c>
      <c r="I187" s="6">
        <v>2</v>
      </c>
      <c r="J187" s="6">
        <v>3</v>
      </c>
      <c r="K187" s="6">
        <v>4</v>
      </c>
      <c r="L187" s="6">
        <v>2</v>
      </c>
      <c r="M187" s="6">
        <v>4</v>
      </c>
      <c r="N187" s="6">
        <v>3</v>
      </c>
      <c r="O187" s="6">
        <v>2</v>
      </c>
      <c r="P187" s="6">
        <v>1</v>
      </c>
      <c r="Q187" s="6">
        <v>0</v>
      </c>
      <c r="R187" s="6">
        <v>0</v>
      </c>
      <c r="S187" s="6">
        <v>2</v>
      </c>
      <c r="T187" s="6">
        <v>1</v>
      </c>
      <c r="U187" s="6">
        <v>1</v>
      </c>
      <c r="V187" s="6">
        <v>2</v>
      </c>
      <c r="W187" s="6">
        <v>0</v>
      </c>
      <c r="X187" s="6">
        <v>3</v>
      </c>
      <c r="AX187" s="150"/>
      <c r="AY187" s="150"/>
      <c r="AZ187" s="150"/>
      <c r="BA187" s="150"/>
      <c r="BB187" s="150"/>
      <c r="BC187" s="150"/>
      <c r="BD187" s="150"/>
      <c r="BE187" s="150"/>
      <c r="BF187" s="150"/>
      <c r="BG187" s="150"/>
      <c r="BH187" s="150"/>
      <c r="BI187" s="150"/>
      <c r="BJ187" s="150"/>
      <c r="BK187" s="150"/>
      <c r="BL187" s="150"/>
    </row>
    <row r="188" spans="1:64" ht="15.75" hidden="1" customHeight="1" x14ac:dyDescent="0.2">
      <c r="A188" s="6" t="s">
        <v>1073</v>
      </c>
      <c r="B188" s="6" t="s">
        <v>476</v>
      </c>
      <c r="C188" s="6">
        <v>13153</v>
      </c>
      <c r="D188" s="6">
        <v>2015</v>
      </c>
      <c r="E188" s="6">
        <v>3.83</v>
      </c>
      <c r="F188" s="6">
        <v>45082</v>
      </c>
      <c r="G188" s="6">
        <v>144</v>
      </c>
      <c r="H188" s="6">
        <v>0.28000000000000003</v>
      </c>
      <c r="I188" s="6">
        <v>3</v>
      </c>
      <c r="J188" s="6">
        <v>2</v>
      </c>
      <c r="K188" s="6">
        <v>3</v>
      </c>
      <c r="L188" s="6">
        <v>2</v>
      </c>
      <c r="M188" s="6">
        <v>4</v>
      </c>
      <c r="N188" s="6">
        <v>1</v>
      </c>
      <c r="O188" s="6">
        <v>3</v>
      </c>
      <c r="P188" s="6">
        <v>0</v>
      </c>
      <c r="Q188" s="6">
        <v>1</v>
      </c>
      <c r="R188" s="6">
        <v>0</v>
      </c>
      <c r="S188" s="6">
        <v>1</v>
      </c>
      <c r="T188" s="6">
        <v>4</v>
      </c>
      <c r="U188" s="6">
        <v>1</v>
      </c>
      <c r="V188" s="6">
        <v>2</v>
      </c>
      <c r="W188" s="6">
        <v>1</v>
      </c>
      <c r="X188" s="6">
        <v>3</v>
      </c>
      <c r="AX188" s="150"/>
      <c r="AY188" s="150"/>
      <c r="AZ188" s="150"/>
      <c r="BA188" s="150"/>
      <c r="BB188" s="150"/>
      <c r="BC188" s="150"/>
      <c r="BD188" s="150"/>
      <c r="BE188" s="150"/>
      <c r="BF188" s="150"/>
      <c r="BG188" s="150"/>
      <c r="BH188" s="150"/>
      <c r="BI188" s="150"/>
      <c r="BJ188" s="150"/>
      <c r="BK188" s="150"/>
      <c r="BL188" s="150"/>
    </row>
    <row r="189" spans="1:64" ht="15.75" hidden="1" customHeight="1" x14ac:dyDescent="0.2">
      <c r="A189" s="6" t="s">
        <v>1074</v>
      </c>
      <c r="B189" s="6" t="s">
        <v>402</v>
      </c>
      <c r="C189" s="6">
        <v>92399</v>
      </c>
      <c r="D189" s="6">
        <v>1861</v>
      </c>
      <c r="E189" s="6">
        <v>3.66</v>
      </c>
      <c r="F189" s="6">
        <v>1474</v>
      </c>
      <c r="G189" s="6">
        <v>142</v>
      </c>
      <c r="H189" s="6">
        <v>0.28000000000000003</v>
      </c>
      <c r="I189" s="6">
        <v>2</v>
      </c>
      <c r="J189" s="6">
        <v>3</v>
      </c>
      <c r="K189" s="6">
        <v>3</v>
      </c>
      <c r="L189" s="6">
        <v>1</v>
      </c>
      <c r="M189" s="6">
        <v>3</v>
      </c>
      <c r="N189" s="6">
        <v>4</v>
      </c>
      <c r="O189" s="6">
        <v>3</v>
      </c>
      <c r="P189" s="6">
        <v>0</v>
      </c>
      <c r="Q189" s="6">
        <v>2</v>
      </c>
      <c r="R189" s="6">
        <v>1</v>
      </c>
      <c r="S189" s="6">
        <v>0</v>
      </c>
      <c r="T189" s="6">
        <v>4</v>
      </c>
      <c r="U189" s="6">
        <v>1</v>
      </c>
      <c r="V189" s="6">
        <v>2</v>
      </c>
      <c r="W189" s="6">
        <v>3</v>
      </c>
      <c r="X189" s="6">
        <v>2</v>
      </c>
      <c r="AX189" s="150"/>
      <c r="AY189" s="150"/>
      <c r="AZ189" s="150"/>
      <c r="BA189" s="150"/>
      <c r="BB189" s="150"/>
      <c r="BC189" s="150"/>
      <c r="BD189" s="150"/>
      <c r="BE189" s="150"/>
      <c r="BF189" s="150"/>
      <c r="BG189" s="150"/>
      <c r="BH189" s="150"/>
      <c r="BI189" s="150"/>
      <c r="BJ189" s="150"/>
      <c r="BK189" s="150"/>
      <c r="BL189" s="150"/>
    </row>
    <row r="190" spans="1:64" ht="15.75" hidden="1" customHeight="1" x14ac:dyDescent="0.2">
      <c r="A190" s="6" t="s">
        <v>1075</v>
      </c>
      <c r="B190" s="6" t="s">
        <v>479</v>
      </c>
      <c r="C190" s="6">
        <v>38033</v>
      </c>
      <c r="D190" s="6">
        <v>1860</v>
      </c>
      <c r="E190" s="6">
        <v>3.45</v>
      </c>
      <c r="F190" s="6">
        <v>2563</v>
      </c>
      <c r="G190" s="6">
        <v>141</v>
      </c>
      <c r="H190" s="6">
        <v>0.27</v>
      </c>
      <c r="I190" s="6">
        <v>2</v>
      </c>
      <c r="J190" s="6">
        <v>3</v>
      </c>
      <c r="K190" s="6">
        <v>4</v>
      </c>
      <c r="L190" s="6">
        <v>2</v>
      </c>
      <c r="M190" s="6">
        <v>4</v>
      </c>
      <c r="N190" s="6">
        <v>1</v>
      </c>
      <c r="O190" s="6">
        <v>3</v>
      </c>
      <c r="P190" s="6">
        <v>2</v>
      </c>
      <c r="Q190" s="6">
        <v>3</v>
      </c>
      <c r="R190" s="6">
        <v>2</v>
      </c>
      <c r="S190" s="6">
        <v>4</v>
      </c>
      <c r="T190" s="6">
        <v>3</v>
      </c>
      <c r="U190" s="6">
        <v>1</v>
      </c>
      <c r="V190" s="6">
        <v>2</v>
      </c>
      <c r="W190" s="6">
        <v>1</v>
      </c>
      <c r="X190" s="6">
        <v>3</v>
      </c>
      <c r="AX190" s="150"/>
      <c r="AY190" s="150"/>
      <c r="AZ190" s="150"/>
      <c r="BA190" s="150"/>
      <c r="BB190" s="150"/>
      <c r="BC190" s="150"/>
      <c r="BD190" s="150"/>
      <c r="BE190" s="150"/>
      <c r="BF190" s="150"/>
      <c r="BG190" s="150"/>
      <c r="BH190" s="150"/>
      <c r="BI190" s="150"/>
      <c r="BJ190" s="150"/>
      <c r="BK190" s="150"/>
      <c r="BL190" s="150"/>
    </row>
    <row r="191" spans="1:64" ht="15.75" hidden="1" customHeight="1" x14ac:dyDescent="0.2">
      <c r="A191" s="6" t="s">
        <v>1076</v>
      </c>
      <c r="B191" s="6" t="s">
        <v>435</v>
      </c>
      <c r="C191" s="6">
        <v>31374</v>
      </c>
      <c r="D191" s="6">
        <v>1962</v>
      </c>
      <c r="E191" s="6">
        <v>3.8</v>
      </c>
      <c r="F191" s="6">
        <v>1559</v>
      </c>
      <c r="G191" s="6">
        <v>140</v>
      </c>
      <c r="H191" s="6">
        <v>0.27</v>
      </c>
      <c r="I191" s="6">
        <v>3</v>
      </c>
      <c r="J191" s="6">
        <v>4</v>
      </c>
      <c r="K191" s="6">
        <v>4</v>
      </c>
      <c r="L191" s="6">
        <v>2</v>
      </c>
      <c r="M191" s="6">
        <v>3</v>
      </c>
      <c r="N191" s="6">
        <v>3</v>
      </c>
      <c r="O191" s="6">
        <v>2</v>
      </c>
      <c r="P191" s="6">
        <v>0</v>
      </c>
      <c r="Q191" s="6">
        <v>1</v>
      </c>
      <c r="R191" s="6">
        <v>0</v>
      </c>
      <c r="S191" s="6">
        <v>1</v>
      </c>
      <c r="T191" s="6">
        <v>2</v>
      </c>
      <c r="U191" s="6">
        <v>1</v>
      </c>
      <c r="V191" s="6">
        <v>2</v>
      </c>
      <c r="W191" s="6">
        <v>1</v>
      </c>
      <c r="X191" s="6">
        <v>3</v>
      </c>
      <c r="AX191" s="150"/>
      <c r="AY191" s="150"/>
      <c r="AZ191" s="150"/>
      <c r="BA191" s="150"/>
      <c r="BB191" s="150"/>
      <c r="BC191" s="150"/>
      <c r="BD191" s="150"/>
      <c r="BE191" s="150"/>
      <c r="BF191" s="150"/>
      <c r="BG191" s="150"/>
      <c r="BH191" s="150"/>
      <c r="BI191" s="150"/>
      <c r="BJ191" s="150"/>
      <c r="BK191" s="150"/>
      <c r="BL191" s="150"/>
    </row>
    <row r="192" spans="1:64" ht="15.75" hidden="1" customHeight="1" x14ac:dyDescent="0.2">
      <c r="A192" s="6" t="s">
        <v>1077</v>
      </c>
      <c r="B192" s="6" t="s">
        <v>384</v>
      </c>
      <c r="C192" s="6">
        <v>30444</v>
      </c>
      <c r="D192" s="6">
        <v>2000</v>
      </c>
      <c r="E192" s="6">
        <v>3.96</v>
      </c>
      <c r="F192" s="6">
        <v>1148</v>
      </c>
      <c r="G192" s="6">
        <v>138</v>
      </c>
      <c r="H192" s="6">
        <v>0.27</v>
      </c>
      <c r="I192" s="6">
        <v>2</v>
      </c>
      <c r="J192" s="6">
        <v>3</v>
      </c>
      <c r="K192" s="6">
        <v>4</v>
      </c>
      <c r="L192" s="6">
        <v>2</v>
      </c>
      <c r="M192" s="6">
        <v>4</v>
      </c>
      <c r="N192" s="6">
        <v>1</v>
      </c>
      <c r="O192" s="6">
        <v>3</v>
      </c>
      <c r="P192" s="6">
        <v>0</v>
      </c>
      <c r="Q192" s="6">
        <v>1</v>
      </c>
      <c r="R192" s="6">
        <v>0</v>
      </c>
      <c r="S192" s="6">
        <v>1</v>
      </c>
      <c r="T192" s="6">
        <v>4</v>
      </c>
      <c r="U192" s="6">
        <v>1</v>
      </c>
      <c r="V192" s="6">
        <v>2</v>
      </c>
      <c r="W192" s="6">
        <v>0</v>
      </c>
      <c r="X192" s="6">
        <v>3</v>
      </c>
      <c r="AX192" s="150"/>
      <c r="AY192" s="150"/>
      <c r="AZ192" s="150"/>
      <c r="BA192" s="150"/>
      <c r="BB192" s="150"/>
      <c r="BC192" s="150"/>
      <c r="BD192" s="150"/>
      <c r="BE192" s="150"/>
      <c r="BF192" s="150"/>
      <c r="BG192" s="150"/>
      <c r="BH192" s="150"/>
      <c r="BI192" s="150"/>
      <c r="BJ192" s="150"/>
      <c r="BK192" s="150"/>
      <c r="BL192" s="150"/>
    </row>
    <row r="193" spans="1:64" ht="15.75" hidden="1" customHeight="1" x14ac:dyDescent="0.2">
      <c r="A193" s="6" t="s">
        <v>1078</v>
      </c>
      <c r="B193" s="6" t="s">
        <v>522</v>
      </c>
      <c r="C193" s="6">
        <v>27911</v>
      </c>
      <c r="D193" s="6">
        <v>1996</v>
      </c>
      <c r="E193" s="6">
        <v>4.59</v>
      </c>
      <c r="F193" s="6">
        <v>17591</v>
      </c>
      <c r="G193" s="6">
        <v>138</v>
      </c>
      <c r="H193" s="6">
        <v>0.27</v>
      </c>
      <c r="I193" s="6">
        <v>3</v>
      </c>
      <c r="J193" s="6">
        <v>4</v>
      </c>
      <c r="K193" s="6">
        <v>4</v>
      </c>
      <c r="L193" s="6">
        <v>3</v>
      </c>
      <c r="M193" s="6">
        <v>4</v>
      </c>
      <c r="N193" s="6">
        <v>2</v>
      </c>
      <c r="O193" s="6">
        <v>4</v>
      </c>
      <c r="P193" s="6">
        <v>0</v>
      </c>
      <c r="Q193" s="6">
        <v>2</v>
      </c>
      <c r="R193" s="6">
        <v>1</v>
      </c>
      <c r="S193" s="6">
        <v>0</v>
      </c>
      <c r="T193" s="6">
        <v>4</v>
      </c>
      <c r="U193" s="6">
        <v>1</v>
      </c>
      <c r="V193" s="6">
        <v>3</v>
      </c>
      <c r="W193" s="6">
        <v>1</v>
      </c>
      <c r="X193" s="6">
        <v>4</v>
      </c>
      <c r="AX193" s="150"/>
      <c r="AY193" s="150"/>
      <c r="AZ193" s="150"/>
      <c r="BA193" s="150"/>
      <c r="BB193" s="150"/>
      <c r="BC193" s="150"/>
      <c r="BD193" s="150"/>
      <c r="BE193" s="150"/>
      <c r="BF193" s="150"/>
      <c r="BG193" s="150"/>
      <c r="BH193" s="150"/>
      <c r="BI193" s="150"/>
      <c r="BJ193" s="150"/>
      <c r="BK193" s="150"/>
      <c r="BL193" s="150"/>
    </row>
    <row r="194" spans="1:64" ht="15.75" customHeight="1" x14ac:dyDescent="0.2">
      <c r="A194" s="6" t="s">
        <v>1079</v>
      </c>
      <c r="B194" s="6" t="s">
        <v>46</v>
      </c>
      <c r="C194" s="6">
        <v>18403</v>
      </c>
      <c r="D194" s="6">
        <v>1896</v>
      </c>
      <c r="E194" s="6">
        <v>3.71</v>
      </c>
      <c r="F194" s="6">
        <v>510</v>
      </c>
      <c r="G194" s="6">
        <v>137</v>
      </c>
      <c r="H194" s="6">
        <v>0.27</v>
      </c>
      <c r="I194" s="6">
        <v>2</v>
      </c>
      <c r="J194" s="6">
        <v>3</v>
      </c>
      <c r="K194" s="6">
        <v>4</v>
      </c>
      <c r="L194" s="6">
        <v>2</v>
      </c>
      <c r="M194" s="6">
        <v>3</v>
      </c>
      <c r="N194" s="6">
        <v>1</v>
      </c>
      <c r="O194" s="6">
        <v>3</v>
      </c>
      <c r="P194" s="6">
        <v>0</v>
      </c>
      <c r="Q194" s="6">
        <v>4</v>
      </c>
      <c r="R194" s="6">
        <v>1</v>
      </c>
      <c r="S194" s="6">
        <v>0</v>
      </c>
      <c r="T194" s="6">
        <v>2</v>
      </c>
      <c r="U194" s="6">
        <v>1</v>
      </c>
      <c r="V194" s="6">
        <v>3</v>
      </c>
      <c r="W194" s="6">
        <v>4</v>
      </c>
      <c r="X194" s="6">
        <v>3</v>
      </c>
      <c r="AX194" s="150"/>
      <c r="AY194" s="150"/>
      <c r="AZ194" s="150"/>
      <c r="BA194" s="150"/>
      <c r="BB194" s="150"/>
      <c r="BC194" s="150"/>
      <c r="BD194" s="150"/>
      <c r="BE194" s="150"/>
      <c r="BF194" s="150"/>
      <c r="BG194" s="150"/>
      <c r="BH194" s="150"/>
      <c r="BI194" s="150"/>
      <c r="BJ194" s="150"/>
      <c r="BK194" s="150"/>
      <c r="BL194" s="150"/>
    </row>
    <row r="195" spans="1:64" ht="15.75" hidden="1" customHeight="1" x14ac:dyDescent="0.2">
      <c r="A195" s="6" t="s">
        <v>1080</v>
      </c>
      <c r="B195" s="6" t="s">
        <v>390</v>
      </c>
      <c r="C195" s="6">
        <v>28833</v>
      </c>
      <c r="D195" s="6">
        <v>1719</v>
      </c>
      <c r="E195" s="6">
        <v>3.29</v>
      </c>
      <c r="F195" s="6">
        <v>181</v>
      </c>
      <c r="G195" s="6">
        <v>136</v>
      </c>
      <c r="H195" s="6">
        <v>0.26</v>
      </c>
      <c r="I195" s="6">
        <v>2</v>
      </c>
      <c r="J195" s="6">
        <v>3</v>
      </c>
      <c r="K195" s="6">
        <v>4</v>
      </c>
      <c r="L195" s="6">
        <v>2</v>
      </c>
      <c r="M195" s="6">
        <v>3</v>
      </c>
      <c r="N195" s="6">
        <v>3</v>
      </c>
      <c r="O195" s="6">
        <v>4</v>
      </c>
      <c r="P195" s="6">
        <v>1</v>
      </c>
      <c r="Q195" s="6">
        <v>2</v>
      </c>
      <c r="R195" s="6">
        <v>0</v>
      </c>
      <c r="S195" s="6">
        <v>1</v>
      </c>
      <c r="T195" s="6">
        <v>2</v>
      </c>
      <c r="U195" s="6">
        <v>1</v>
      </c>
      <c r="V195" s="6">
        <v>2</v>
      </c>
      <c r="W195" s="6">
        <v>0</v>
      </c>
      <c r="X195" s="6">
        <v>3</v>
      </c>
      <c r="AX195" s="150"/>
      <c r="AY195" s="150"/>
      <c r="AZ195" s="150"/>
      <c r="BA195" s="150"/>
      <c r="BB195" s="150"/>
      <c r="BC195" s="150"/>
      <c r="BD195" s="150"/>
      <c r="BE195" s="150"/>
      <c r="BF195" s="150"/>
      <c r="BG195" s="150"/>
      <c r="BH195" s="150"/>
      <c r="BI195" s="150"/>
      <c r="BJ195" s="150"/>
      <c r="BK195" s="150"/>
      <c r="BL195" s="150"/>
    </row>
    <row r="196" spans="1:64" ht="15.75" hidden="1" customHeight="1" x14ac:dyDescent="0.2">
      <c r="A196" s="6" t="s">
        <v>1081</v>
      </c>
      <c r="B196" s="6" t="s">
        <v>534</v>
      </c>
      <c r="C196" s="6">
        <v>66241</v>
      </c>
      <c r="D196" s="6">
        <v>1972</v>
      </c>
      <c r="E196" s="6">
        <v>4.13</v>
      </c>
      <c r="F196" s="6">
        <v>118473</v>
      </c>
      <c r="G196" s="6">
        <v>135</v>
      </c>
      <c r="H196" s="6">
        <v>0.26</v>
      </c>
      <c r="I196" s="6">
        <v>3</v>
      </c>
      <c r="J196" s="6">
        <v>4</v>
      </c>
      <c r="K196" s="6">
        <v>4</v>
      </c>
      <c r="L196" s="6">
        <v>3</v>
      </c>
      <c r="M196" s="6">
        <v>4</v>
      </c>
      <c r="N196" s="6">
        <v>2</v>
      </c>
      <c r="O196" s="6">
        <v>3</v>
      </c>
      <c r="P196" s="6">
        <v>1</v>
      </c>
      <c r="Q196" s="6">
        <v>2</v>
      </c>
      <c r="R196" s="6">
        <v>1</v>
      </c>
      <c r="S196" s="6">
        <v>0</v>
      </c>
      <c r="T196" s="6">
        <v>2</v>
      </c>
      <c r="U196" s="6">
        <v>1</v>
      </c>
      <c r="V196" s="6">
        <v>4</v>
      </c>
      <c r="W196" s="6">
        <v>2</v>
      </c>
      <c r="X196" s="6">
        <v>4</v>
      </c>
      <c r="AX196" s="150"/>
      <c r="AY196" s="150"/>
      <c r="AZ196" s="150"/>
      <c r="BA196" s="150"/>
      <c r="BB196" s="150"/>
      <c r="BC196" s="150"/>
      <c r="BD196" s="150"/>
      <c r="BE196" s="150"/>
      <c r="BF196" s="150"/>
      <c r="BG196" s="150"/>
      <c r="BH196" s="150"/>
      <c r="BI196" s="150"/>
      <c r="BJ196" s="150"/>
      <c r="BK196" s="150"/>
      <c r="BL196" s="150"/>
    </row>
    <row r="197" spans="1:64" ht="15.75" hidden="1" customHeight="1" x14ac:dyDescent="0.2">
      <c r="A197" s="6" t="s">
        <v>1082</v>
      </c>
      <c r="B197" s="6" t="s">
        <v>423</v>
      </c>
      <c r="C197" s="6">
        <v>52087</v>
      </c>
      <c r="D197" s="6">
        <v>1972</v>
      </c>
      <c r="E197" s="6">
        <v>4.07</v>
      </c>
      <c r="F197" s="6">
        <v>359381</v>
      </c>
      <c r="G197" s="6">
        <v>134</v>
      </c>
      <c r="H197" s="6">
        <v>0.26</v>
      </c>
      <c r="I197" s="6">
        <v>2</v>
      </c>
      <c r="J197" s="6">
        <v>1</v>
      </c>
      <c r="K197" s="6">
        <v>3</v>
      </c>
      <c r="L197" s="6">
        <v>1</v>
      </c>
      <c r="M197" s="6">
        <v>4</v>
      </c>
      <c r="N197" s="6">
        <v>1</v>
      </c>
      <c r="O197" s="6">
        <v>3</v>
      </c>
      <c r="P197" s="6">
        <v>1</v>
      </c>
      <c r="Q197" s="6">
        <v>0</v>
      </c>
      <c r="R197" s="6">
        <v>0</v>
      </c>
      <c r="S197" s="6">
        <v>4</v>
      </c>
      <c r="T197" s="6">
        <v>2</v>
      </c>
      <c r="U197" s="6">
        <v>0</v>
      </c>
      <c r="V197" s="6">
        <v>1</v>
      </c>
      <c r="W197" s="6">
        <v>0</v>
      </c>
      <c r="X197" s="6">
        <v>2</v>
      </c>
      <c r="AX197" s="150"/>
      <c r="AY197" s="150"/>
      <c r="AZ197" s="150"/>
      <c r="BA197" s="150"/>
      <c r="BB197" s="150"/>
      <c r="BC197" s="150"/>
      <c r="BD197" s="150"/>
      <c r="BE197" s="150"/>
      <c r="BF197" s="150"/>
      <c r="BG197" s="150"/>
      <c r="BH197" s="150"/>
      <c r="BI197" s="150"/>
      <c r="BJ197" s="150"/>
      <c r="BK197" s="150"/>
      <c r="BL197" s="150"/>
    </row>
    <row r="198" spans="1:64" ht="15.75" hidden="1" customHeight="1" x14ac:dyDescent="0.2">
      <c r="A198" s="6" t="s">
        <v>1083</v>
      </c>
      <c r="B198" s="6" t="s">
        <v>522</v>
      </c>
      <c r="C198" s="6">
        <v>20667</v>
      </c>
      <c r="D198" s="6">
        <v>1996</v>
      </c>
      <c r="E198" s="6">
        <v>4.47</v>
      </c>
      <c r="F198" s="6">
        <v>17699</v>
      </c>
      <c r="G198" s="6">
        <v>133</v>
      </c>
      <c r="H198" s="6">
        <v>0.26</v>
      </c>
      <c r="I198" s="6">
        <v>2</v>
      </c>
      <c r="J198" s="6">
        <v>3</v>
      </c>
      <c r="K198" s="6">
        <v>4</v>
      </c>
      <c r="L198" s="6">
        <v>1</v>
      </c>
      <c r="M198" s="6">
        <v>3</v>
      </c>
      <c r="N198" s="6">
        <v>2</v>
      </c>
      <c r="O198" s="6">
        <v>3</v>
      </c>
      <c r="P198" s="6">
        <v>0</v>
      </c>
      <c r="Q198" s="6">
        <v>1</v>
      </c>
      <c r="R198" s="6">
        <v>0</v>
      </c>
      <c r="S198" s="6">
        <v>1</v>
      </c>
      <c r="T198" s="6">
        <v>3</v>
      </c>
      <c r="U198" s="6">
        <v>0</v>
      </c>
      <c r="V198" s="6">
        <v>2</v>
      </c>
      <c r="W198" s="6">
        <v>0</v>
      </c>
      <c r="X198" s="6">
        <v>2</v>
      </c>
      <c r="AX198" s="150"/>
      <c r="AY198" s="150"/>
      <c r="AZ198" s="150"/>
      <c r="BA198" s="150"/>
      <c r="BB198" s="150"/>
      <c r="BC198" s="150"/>
      <c r="BD198" s="150"/>
      <c r="BE198" s="150"/>
      <c r="BF198" s="150"/>
      <c r="BG198" s="150"/>
      <c r="BH198" s="150"/>
      <c r="BI198" s="150"/>
      <c r="BJ198" s="150"/>
      <c r="BK198" s="150"/>
      <c r="BL198" s="150"/>
    </row>
    <row r="199" spans="1:64" ht="15.75" customHeight="1" x14ac:dyDescent="0.2">
      <c r="A199" s="6" t="s">
        <v>1084</v>
      </c>
      <c r="B199" s="6" t="s">
        <v>48</v>
      </c>
      <c r="C199" s="6">
        <v>7354</v>
      </c>
      <c r="D199" s="6">
        <v>2003</v>
      </c>
      <c r="E199" s="6">
        <v>3.62</v>
      </c>
      <c r="F199" s="6">
        <v>28863</v>
      </c>
      <c r="G199" s="6">
        <v>132</v>
      </c>
      <c r="H199" s="6">
        <v>0.26</v>
      </c>
      <c r="I199" s="6">
        <v>2</v>
      </c>
      <c r="J199" s="6">
        <v>3</v>
      </c>
      <c r="K199" s="6">
        <v>4</v>
      </c>
      <c r="L199" s="6">
        <v>2</v>
      </c>
      <c r="M199" s="6">
        <v>3</v>
      </c>
      <c r="N199" s="6">
        <v>3</v>
      </c>
      <c r="O199" s="6">
        <v>2</v>
      </c>
      <c r="P199" s="6">
        <v>1</v>
      </c>
      <c r="Q199" s="6">
        <v>4</v>
      </c>
      <c r="R199" s="6">
        <v>0</v>
      </c>
      <c r="S199" s="6">
        <v>1</v>
      </c>
      <c r="T199" s="6">
        <v>2</v>
      </c>
      <c r="U199" s="6">
        <v>2</v>
      </c>
      <c r="V199" s="6">
        <v>3</v>
      </c>
      <c r="W199" s="6">
        <v>4</v>
      </c>
      <c r="X199" s="6">
        <v>4</v>
      </c>
      <c r="AX199" s="150"/>
      <c r="AY199" s="150"/>
      <c r="AZ199" s="150"/>
      <c r="BA199" s="150"/>
      <c r="BB199" s="150"/>
      <c r="BC199" s="150"/>
      <c r="BD199" s="150"/>
      <c r="BE199" s="150"/>
      <c r="BF199" s="150"/>
      <c r="BG199" s="150"/>
      <c r="BH199" s="150"/>
      <c r="BI199" s="150"/>
      <c r="BJ199" s="150"/>
      <c r="BK199" s="150"/>
      <c r="BL199" s="150"/>
    </row>
    <row r="200" spans="1:64" ht="15.75" hidden="1" customHeight="1" x14ac:dyDescent="0.2">
      <c r="A200" s="6" t="s">
        <v>1085</v>
      </c>
      <c r="B200" s="6" t="s">
        <v>543</v>
      </c>
      <c r="C200" s="6">
        <v>22929</v>
      </c>
      <c r="D200" s="6">
        <v>1926</v>
      </c>
      <c r="E200" s="6">
        <v>3.61</v>
      </c>
      <c r="F200" s="6">
        <v>3255</v>
      </c>
      <c r="G200" s="6">
        <v>132</v>
      </c>
      <c r="H200" s="6">
        <v>0.26</v>
      </c>
      <c r="I200" s="6">
        <v>2</v>
      </c>
      <c r="J200" s="6">
        <v>3</v>
      </c>
      <c r="K200" s="6">
        <v>3</v>
      </c>
      <c r="L200" s="6">
        <v>1</v>
      </c>
      <c r="M200" s="6">
        <v>4</v>
      </c>
      <c r="N200" s="6">
        <v>2</v>
      </c>
      <c r="O200" s="6">
        <v>4</v>
      </c>
      <c r="P200" s="6">
        <v>0</v>
      </c>
      <c r="Q200" s="6">
        <v>0</v>
      </c>
      <c r="R200" s="6">
        <v>2</v>
      </c>
      <c r="S200" s="6">
        <v>0</v>
      </c>
      <c r="T200" s="6">
        <v>4</v>
      </c>
      <c r="U200" s="6">
        <v>0</v>
      </c>
      <c r="V200" s="6">
        <v>1</v>
      </c>
      <c r="W200" s="6">
        <v>3</v>
      </c>
      <c r="X200" s="6">
        <v>2</v>
      </c>
      <c r="AX200" s="150"/>
      <c r="AY200" s="150"/>
      <c r="AZ200" s="150"/>
      <c r="BA200" s="150"/>
      <c r="BB200" s="150"/>
      <c r="BC200" s="150"/>
      <c r="BD200" s="150"/>
      <c r="BE200" s="150"/>
      <c r="BF200" s="150"/>
      <c r="BG200" s="150"/>
      <c r="BH200" s="150"/>
      <c r="BI200" s="150"/>
      <c r="BJ200" s="150"/>
      <c r="BK200" s="150"/>
      <c r="BL200" s="150"/>
    </row>
    <row r="201" spans="1:64" ht="15.75" hidden="1" customHeight="1" x14ac:dyDescent="0.2">
      <c r="A201" s="6" t="s">
        <v>1086</v>
      </c>
      <c r="B201" s="6" t="s">
        <v>435</v>
      </c>
      <c r="C201" s="6">
        <v>12324</v>
      </c>
      <c r="D201" s="6">
        <v>2012</v>
      </c>
      <c r="E201" s="6">
        <v>4.21</v>
      </c>
      <c r="F201" s="6">
        <v>174</v>
      </c>
      <c r="G201" s="6">
        <v>131</v>
      </c>
      <c r="H201" s="6">
        <v>0.25</v>
      </c>
      <c r="I201" s="6">
        <v>3</v>
      </c>
      <c r="J201" s="6">
        <v>4</v>
      </c>
      <c r="K201" s="6">
        <v>4</v>
      </c>
      <c r="L201" s="6">
        <v>3</v>
      </c>
      <c r="M201" s="6">
        <v>4</v>
      </c>
      <c r="N201" s="6">
        <v>2</v>
      </c>
      <c r="O201" s="6">
        <v>3</v>
      </c>
      <c r="P201" s="6">
        <v>2</v>
      </c>
      <c r="Q201" s="6">
        <v>4</v>
      </c>
      <c r="R201" s="6">
        <v>0</v>
      </c>
      <c r="S201" s="6">
        <v>3</v>
      </c>
      <c r="T201" s="6">
        <v>1</v>
      </c>
      <c r="U201" s="6">
        <v>2</v>
      </c>
      <c r="V201" s="6">
        <v>3</v>
      </c>
      <c r="W201" s="6">
        <v>1</v>
      </c>
      <c r="X201" s="6">
        <v>4</v>
      </c>
    </row>
    <row r="202" spans="1:64" ht="15.75" hidden="1" customHeight="1" x14ac:dyDescent="0.2">
      <c r="A202" s="6" t="s">
        <v>1087</v>
      </c>
      <c r="B202" s="6" t="s">
        <v>522</v>
      </c>
      <c r="C202" s="6">
        <v>22006</v>
      </c>
      <c r="D202" s="6">
        <v>1996</v>
      </c>
      <c r="E202" s="6">
        <v>4.53</v>
      </c>
      <c r="F202" s="6">
        <v>16433</v>
      </c>
      <c r="G202" s="6">
        <v>131</v>
      </c>
      <c r="H202" s="6">
        <v>0.25</v>
      </c>
      <c r="I202" s="6">
        <v>2</v>
      </c>
      <c r="J202" s="6">
        <v>3</v>
      </c>
      <c r="K202" s="6">
        <v>4</v>
      </c>
      <c r="L202" s="6">
        <v>2</v>
      </c>
      <c r="M202" s="6">
        <v>3</v>
      </c>
      <c r="N202" s="6">
        <v>4</v>
      </c>
      <c r="O202" s="6">
        <v>3</v>
      </c>
      <c r="P202" s="6">
        <v>0</v>
      </c>
      <c r="Q202" s="6">
        <v>1</v>
      </c>
      <c r="R202" s="6">
        <v>0</v>
      </c>
      <c r="S202" s="6">
        <v>0</v>
      </c>
      <c r="T202" s="6">
        <v>3</v>
      </c>
      <c r="U202" s="6">
        <v>1</v>
      </c>
      <c r="V202" s="6">
        <v>2</v>
      </c>
      <c r="W202" s="6">
        <v>0</v>
      </c>
      <c r="X202" s="6">
        <v>3</v>
      </c>
    </row>
    <row r="203" spans="1:64" ht="15.75" hidden="1" customHeight="1" x14ac:dyDescent="0.2">
      <c r="A203" s="6" t="s">
        <v>1088</v>
      </c>
      <c r="B203" s="6" t="s">
        <v>464</v>
      </c>
      <c r="C203" s="6">
        <v>30160</v>
      </c>
      <c r="D203" s="6">
        <v>2015</v>
      </c>
      <c r="E203" s="6">
        <v>3.92</v>
      </c>
      <c r="F203" s="6">
        <v>79027</v>
      </c>
      <c r="G203" s="6">
        <v>131</v>
      </c>
      <c r="H203" s="6">
        <v>0.25</v>
      </c>
      <c r="I203" s="6">
        <v>2</v>
      </c>
      <c r="J203" s="6">
        <v>3</v>
      </c>
      <c r="K203" s="6">
        <v>4</v>
      </c>
      <c r="L203" s="6">
        <v>1</v>
      </c>
      <c r="M203" s="6">
        <v>4</v>
      </c>
      <c r="N203" s="6">
        <v>3</v>
      </c>
      <c r="O203" s="6">
        <v>4</v>
      </c>
      <c r="P203" s="6">
        <v>1</v>
      </c>
      <c r="Q203" s="6">
        <v>0</v>
      </c>
      <c r="R203" s="6">
        <v>3</v>
      </c>
      <c r="S203" s="6">
        <v>0</v>
      </c>
      <c r="T203" s="6">
        <v>1</v>
      </c>
      <c r="U203" s="6">
        <v>1</v>
      </c>
      <c r="V203" s="6">
        <v>2</v>
      </c>
      <c r="W203" s="6">
        <v>4</v>
      </c>
      <c r="X203" s="6">
        <v>4</v>
      </c>
    </row>
    <row r="204" spans="1:64" ht="15.75" hidden="1" customHeight="1" x14ac:dyDescent="0.2">
      <c r="A204" s="6" t="s">
        <v>1089</v>
      </c>
      <c r="B204" s="6" t="s">
        <v>446</v>
      </c>
      <c r="C204" s="6">
        <v>32548</v>
      </c>
      <c r="D204" s="6">
        <v>2012</v>
      </c>
      <c r="E204" s="6">
        <v>3.4</v>
      </c>
      <c r="F204" s="6">
        <v>6539</v>
      </c>
      <c r="G204" s="6">
        <v>126</v>
      </c>
      <c r="H204" s="6">
        <v>0.24</v>
      </c>
      <c r="I204" s="6">
        <v>3</v>
      </c>
      <c r="J204" s="6">
        <v>4</v>
      </c>
      <c r="K204" s="6">
        <v>4</v>
      </c>
      <c r="L204" s="6">
        <v>2</v>
      </c>
      <c r="M204" s="6">
        <v>4</v>
      </c>
      <c r="N204" s="6">
        <v>3</v>
      </c>
      <c r="O204" s="6">
        <v>4</v>
      </c>
      <c r="P204" s="6">
        <v>0</v>
      </c>
      <c r="Q204" s="6">
        <v>3</v>
      </c>
      <c r="R204" s="6">
        <v>2</v>
      </c>
      <c r="S204" s="6">
        <v>1</v>
      </c>
      <c r="T204" s="6">
        <v>4</v>
      </c>
      <c r="U204" s="6">
        <v>1</v>
      </c>
      <c r="V204" s="6">
        <v>3</v>
      </c>
      <c r="W204" s="6">
        <v>4</v>
      </c>
      <c r="X204" s="6">
        <v>4</v>
      </c>
    </row>
    <row r="205" spans="1:64" ht="15.75" hidden="1" customHeight="1" x14ac:dyDescent="0.2">
      <c r="A205" s="6" t="s">
        <v>1090</v>
      </c>
      <c r="B205" s="6" t="s">
        <v>358</v>
      </c>
      <c r="C205" s="6">
        <v>26002</v>
      </c>
      <c r="D205" s="6">
        <v>1912</v>
      </c>
      <c r="E205" s="6">
        <v>3.67</v>
      </c>
      <c r="F205" s="6">
        <v>882</v>
      </c>
      <c r="G205" s="6">
        <v>123</v>
      </c>
      <c r="H205" s="6">
        <v>0.24</v>
      </c>
      <c r="I205" s="6">
        <v>2</v>
      </c>
      <c r="J205" s="6">
        <v>3</v>
      </c>
      <c r="K205" s="6">
        <v>4</v>
      </c>
      <c r="L205" s="6">
        <v>1</v>
      </c>
      <c r="M205" s="6">
        <v>4</v>
      </c>
      <c r="N205" s="6">
        <v>2</v>
      </c>
      <c r="O205" s="6">
        <v>3</v>
      </c>
      <c r="P205" s="6">
        <v>0</v>
      </c>
      <c r="Q205" s="6">
        <v>1</v>
      </c>
      <c r="R205" s="6">
        <v>1</v>
      </c>
      <c r="S205" s="6">
        <v>0</v>
      </c>
      <c r="T205" s="6">
        <v>4</v>
      </c>
      <c r="U205" s="6">
        <v>0</v>
      </c>
      <c r="V205" s="6">
        <v>2</v>
      </c>
      <c r="W205" s="6">
        <v>3</v>
      </c>
      <c r="X205" s="6">
        <v>3</v>
      </c>
    </row>
    <row r="206" spans="1:64" ht="15.75" hidden="1" customHeight="1" x14ac:dyDescent="0.2">
      <c r="A206" s="6" t="s">
        <v>1091</v>
      </c>
      <c r="B206" s="6" t="s">
        <v>522</v>
      </c>
      <c r="C206" s="6">
        <v>20905</v>
      </c>
      <c r="D206" s="6">
        <v>1996</v>
      </c>
      <c r="E206" s="6">
        <v>4.5199999999999996</v>
      </c>
      <c r="F206" s="6">
        <v>18104</v>
      </c>
      <c r="G206" s="6">
        <v>120</v>
      </c>
      <c r="H206" s="6">
        <v>0.23</v>
      </c>
      <c r="I206" s="6">
        <v>2</v>
      </c>
      <c r="J206" s="6">
        <v>3</v>
      </c>
      <c r="K206" s="6">
        <v>4</v>
      </c>
      <c r="L206" s="6">
        <v>1</v>
      </c>
      <c r="M206" s="6">
        <v>4</v>
      </c>
      <c r="N206" s="6">
        <v>2</v>
      </c>
      <c r="O206" s="6">
        <v>3</v>
      </c>
      <c r="P206" s="6">
        <v>0</v>
      </c>
      <c r="Q206" s="6">
        <v>2</v>
      </c>
      <c r="R206" s="6">
        <v>1</v>
      </c>
      <c r="S206" s="6">
        <v>0</v>
      </c>
      <c r="T206" s="6">
        <v>4</v>
      </c>
      <c r="U206" s="6">
        <v>1</v>
      </c>
      <c r="V206" s="6">
        <v>2</v>
      </c>
      <c r="W206" s="6">
        <v>0</v>
      </c>
      <c r="X206" s="6">
        <v>3</v>
      </c>
    </row>
    <row r="207" spans="1:64" ht="15.75" hidden="1" customHeight="1" x14ac:dyDescent="0.2">
      <c r="A207" s="6" t="s">
        <v>1092</v>
      </c>
      <c r="B207" s="6" t="s">
        <v>525</v>
      </c>
      <c r="C207" s="6">
        <v>38546</v>
      </c>
      <c r="D207" s="6">
        <v>1977</v>
      </c>
      <c r="E207" s="6">
        <v>3.9</v>
      </c>
      <c r="F207" s="6">
        <v>9747</v>
      </c>
      <c r="G207" s="6">
        <v>118</v>
      </c>
      <c r="H207" s="6">
        <v>0.23</v>
      </c>
      <c r="I207" s="6">
        <v>3</v>
      </c>
      <c r="J207" s="6">
        <v>4</v>
      </c>
      <c r="K207" s="6">
        <v>4</v>
      </c>
      <c r="L207" s="6">
        <v>3</v>
      </c>
      <c r="M207" s="6">
        <v>2</v>
      </c>
      <c r="N207" s="6">
        <v>1</v>
      </c>
      <c r="O207" s="6">
        <v>4</v>
      </c>
      <c r="P207" s="6">
        <v>1</v>
      </c>
      <c r="Q207" s="6">
        <v>0</v>
      </c>
      <c r="R207" s="6">
        <v>2</v>
      </c>
      <c r="S207" s="6">
        <v>3</v>
      </c>
      <c r="T207" s="6">
        <v>4</v>
      </c>
      <c r="U207" s="6">
        <v>1</v>
      </c>
      <c r="V207" s="6">
        <v>3</v>
      </c>
      <c r="W207" s="6">
        <v>0</v>
      </c>
      <c r="X207" s="6">
        <v>4</v>
      </c>
    </row>
    <row r="208" spans="1:64" ht="15.75" hidden="1" customHeight="1" x14ac:dyDescent="0.2">
      <c r="A208" s="6" t="s">
        <v>1093</v>
      </c>
      <c r="B208" s="6" t="s">
        <v>527</v>
      </c>
      <c r="C208" s="6">
        <v>32807</v>
      </c>
      <c r="D208" s="6">
        <v>2007</v>
      </c>
      <c r="E208" s="6">
        <v>3.69</v>
      </c>
      <c r="F208" s="6">
        <v>7624</v>
      </c>
      <c r="G208" s="6">
        <v>114</v>
      </c>
      <c r="H208" s="6">
        <v>0.22</v>
      </c>
      <c r="I208" s="6">
        <v>2</v>
      </c>
      <c r="J208" s="6">
        <v>3</v>
      </c>
      <c r="K208" s="6">
        <v>4</v>
      </c>
      <c r="L208" s="6">
        <v>2</v>
      </c>
      <c r="M208" s="6">
        <v>4</v>
      </c>
      <c r="N208" s="6">
        <v>3</v>
      </c>
      <c r="O208" s="6">
        <v>4</v>
      </c>
      <c r="P208" s="6">
        <v>1</v>
      </c>
      <c r="Q208" s="6">
        <v>2</v>
      </c>
      <c r="R208" s="6">
        <v>1</v>
      </c>
      <c r="S208" s="6">
        <v>3</v>
      </c>
      <c r="T208" s="6">
        <v>2</v>
      </c>
      <c r="U208" s="6">
        <v>1</v>
      </c>
      <c r="V208" s="6">
        <v>2</v>
      </c>
      <c r="W208" s="6">
        <v>3</v>
      </c>
      <c r="X208" s="6">
        <v>4</v>
      </c>
    </row>
    <row r="209" spans="1:24" ht="15.75" hidden="1" customHeight="1" x14ac:dyDescent="0.2">
      <c r="A209" s="6" t="s">
        <v>1094</v>
      </c>
      <c r="B209" s="6" t="s">
        <v>458</v>
      </c>
      <c r="C209" s="6">
        <v>44592</v>
      </c>
      <c r="D209" s="6">
        <v>1991</v>
      </c>
      <c r="E209" s="6">
        <v>3.59</v>
      </c>
      <c r="F209" s="6">
        <v>6818</v>
      </c>
      <c r="G209" s="6">
        <v>113</v>
      </c>
      <c r="H209" s="6">
        <v>0.22</v>
      </c>
      <c r="I209" s="6">
        <v>2</v>
      </c>
      <c r="J209" s="6">
        <v>3</v>
      </c>
      <c r="K209" s="6">
        <v>4</v>
      </c>
      <c r="L209" s="6">
        <v>1</v>
      </c>
      <c r="M209" s="6">
        <v>4</v>
      </c>
      <c r="N209" s="6">
        <v>2</v>
      </c>
      <c r="O209" s="6">
        <v>3</v>
      </c>
      <c r="P209" s="6">
        <v>0</v>
      </c>
      <c r="Q209" s="6">
        <v>1</v>
      </c>
      <c r="R209" s="6">
        <v>2</v>
      </c>
      <c r="S209" s="6">
        <v>0</v>
      </c>
      <c r="T209" s="6">
        <v>4</v>
      </c>
      <c r="U209" s="6">
        <v>0</v>
      </c>
      <c r="V209" s="6">
        <v>2</v>
      </c>
      <c r="W209" s="6">
        <v>1</v>
      </c>
      <c r="X209" s="6">
        <v>3</v>
      </c>
    </row>
    <row r="210" spans="1:24" ht="15.75" hidden="1" customHeight="1" x14ac:dyDescent="0.2">
      <c r="A210" s="6" t="s">
        <v>1095</v>
      </c>
      <c r="B210" s="6" t="s">
        <v>459</v>
      </c>
      <c r="C210" s="6">
        <v>26266</v>
      </c>
      <c r="D210" s="6">
        <v>1991</v>
      </c>
      <c r="E210" s="6">
        <v>3.63</v>
      </c>
      <c r="F210" s="6">
        <v>482</v>
      </c>
      <c r="G210" s="6">
        <v>111</v>
      </c>
      <c r="H210" s="6">
        <v>0.21</v>
      </c>
      <c r="I210" s="6">
        <v>2</v>
      </c>
      <c r="J210" s="6">
        <v>3</v>
      </c>
      <c r="K210" s="6">
        <v>4</v>
      </c>
      <c r="L210" s="6">
        <v>2</v>
      </c>
      <c r="M210" s="6">
        <v>3</v>
      </c>
      <c r="N210" s="6">
        <v>3</v>
      </c>
      <c r="O210" s="6">
        <v>4</v>
      </c>
      <c r="P210" s="6">
        <v>0</v>
      </c>
      <c r="Q210" s="6">
        <v>1</v>
      </c>
      <c r="R210" s="6">
        <v>1</v>
      </c>
      <c r="S210" s="6">
        <v>2</v>
      </c>
      <c r="T210" s="6">
        <v>4</v>
      </c>
      <c r="U210" s="6">
        <v>0</v>
      </c>
      <c r="V210" s="6">
        <v>2</v>
      </c>
      <c r="W210" s="6">
        <v>4</v>
      </c>
      <c r="X210" s="6">
        <v>3</v>
      </c>
    </row>
    <row r="211" spans="1:24" ht="15.75" hidden="1" customHeight="1" x14ac:dyDescent="0.2">
      <c r="A211" s="6" t="s">
        <v>1096</v>
      </c>
      <c r="B211" s="6" t="s">
        <v>469</v>
      </c>
      <c r="C211" s="6">
        <v>40844</v>
      </c>
      <c r="D211" s="6">
        <v>2005</v>
      </c>
      <c r="E211" s="6">
        <v>3.84</v>
      </c>
      <c r="F211" s="6">
        <v>2391</v>
      </c>
      <c r="G211" s="6">
        <v>110</v>
      </c>
      <c r="H211" s="6">
        <v>0.21</v>
      </c>
      <c r="I211" s="6">
        <v>2</v>
      </c>
      <c r="J211" s="6">
        <v>3</v>
      </c>
      <c r="K211" s="6">
        <v>3</v>
      </c>
      <c r="L211" s="6">
        <v>1</v>
      </c>
      <c r="M211" s="6">
        <v>4</v>
      </c>
      <c r="N211" s="6">
        <v>2</v>
      </c>
      <c r="O211" s="6">
        <v>3</v>
      </c>
      <c r="P211" s="6">
        <v>1</v>
      </c>
      <c r="Q211" s="6">
        <v>3</v>
      </c>
      <c r="R211" s="6">
        <v>2</v>
      </c>
      <c r="S211" s="6">
        <v>3</v>
      </c>
      <c r="T211" s="6">
        <v>2</v>
      </c>
      <c r="U211" s="6">
        <v>1</v>
      </c>
      <c r="V211" s="6">
        <v>2</v>
      </c>
      <c r="W211" s="6">
        <v>4</v>
      </c>
      <c r="X211" s="6">
        <v>3</v>
      </c>
    </row>
    <row r="212" spans="1:24" ht="15.75" hidden="1" customHeight="1" x14ac:dyDescent="0.2">
      <c r="A212" s="6" t="s">
        <v>1097</v>
      </c>
      <c r="B212" s="6" t="s">
        <v>426</v>
      </c>
      <c r="C212" s="6">
        <v>15865</v>
      </c>
      <c r="D212" s="6">
        <v>1998</v>
      </c>
      <c r="E212" s="6">
        <v>3.75</v>
      </c>
      <c r="F212" s="6">
        <v>1244</v>
      </c>
      <c r="G212" s="6">
        <v>109</v>
      </c>
      <c r="H212" s="6">
        <v>0.21</v>
      </c>
      <c r="I212" s="6">
        <v>2</v>
      </c>
      <c r="J212" s="6">
        <v>3</v>
      </c>
      <c r="K212" s="6">
        <v>4</v>
      </c>
      <c r="L212" s="6">
        <v>1</v>
      </c>
      <c r="M212" s="6">
        <v>3</v>
      </c>
      <c r="N212" s="6">
        <v>2</v>
      </c>
      <c r="O212" s="6">
        <v>3</v>
      </c>
      <c r="P212" s="6">
        <v>0</v>
      </c>
      <c r="Q212" s="6">
        <v>4</v>
      </c>
      <c r="R212" s="6">
        <v>0</v>
      </c>
      <c r="S212" s="6">
        <v>1</v>
      </c>
      <c r="T212" s="6">
        <v>2</v>
      </c>
      <c r="U212" s="6">
        <v>1</v>
      </c>
      <c r="V212" s="6">
        <v>2</v>
      </c>
      <c r="W212" s="6">
        <v>0</v>
      </c>
      <c r="X212" s="6">
        <v>3</v>
      </c>
    </row>
    <row r="213" spans="1:24" ht="15.75" hidden="1" customHeight="1" x14ac:dyDescent="0.2">
      <c r="A213" s="6" t="s">
        <v>1098</v>
      </c>
      <c r="B213" s="6" t="s">
        <v>368</v>
      </c>
      <c r="C213" s="6">
        <v>24893</v>
      </c>
      <c r="D213" s="6">
        <v>1995</v>
      </c>
      <c r="E213" s="6">
        <v>3.55</v>
      </c>
      <c r="F213" s="6">
        <v>1404</v>
      </c>
      <c r="G213" s="6">
        <v>108</v>
      </c>
      <c r="H213" s="6">
        <v>0.21</v>
      </c>
      <c r="I213" s="6">
        <v>3</v>
      </c>
      <c r="J213" s="6">
        <v>4</v>
      </c>
      <c r="K213" s="6">
        <v>4</v>
      </c>
      <c r="L213" s="6">
        <v>4</v>
      </c>
      <c r="M213" s="6">
        <v>3</v>
      </c>
      <c r="N213" s="6">
        <v>2</v>
      </c>
      <c r="O213" s="6">
        <v>4</v>
      </c>
      <c r="P213" s="6">
        <v>1</v>
      </c>
      <c r="Q213" s="6">
        <v>2</v>
      </c>
      <c r="R213" s="6">
        <v>1</v>
      </c>
      <c r="S213" s="6">
        <v>0</v>
      </c>
      <c r="T213" s="6">
        <v>1</v>
      </c>
      <c r="U213" s="6">
        <v>2</v>
      </c>
      <c r="V213" s="6">
        <v>3</v>
      </c>
      <c r="W213" s="6">
        <v>2</v>
      </c>
      <c r="X213" s="6">
        <v>4</v>
      </c>
    </row>
    <row r="214" spans="1:24" ht="15.75" hidden="1" customHeight="1" x14ac:dyDescent="0.2">
      <c r="A214" s="6" t="s">
        <v>1099</v>
      </c>
      <c r="B214" s="6" t="s">
        <v>398</v>
      </c>
      <c r="C214" s="6">
        <v>13648</v>
      </c>
      <c r="D214" s="6">
        <v>1843</v>
      </c>
      <c r="E214" s="6">
        <v>3.57</v>
      </c>
      <c r="F214" s="6">
        <v>5385</v>
      </c>
      <c r="G214" s="6">
        <v>107</v>
      </c>
      <c r="H214" s="6">
        <v>0.21</v>
      </c>
      <c r="I214" s="6">
        <v>2</v>
      </c>
      <c r="J214" s="6">
        <v>3</v>
      </c>
      <c r="K214" s="6">
        <v>3</v>
      </c>
      <c r="L214" s="6">
        <v>2</v>
      </c>
      <c r="M214" s="6">
        <v>3</v>
      </c>
      <c r="N214" s="6">
        <v>4</v>
      </c>
      <c r="O214" s="6">
        <v>3</v>
      </c>
      <c r="P214" s="6">
        <v>1</v>
      </c>
      <c r="Q214" s="6">
        <v>4</v>
      </c>
      <c r="R214" s="6">
        <v>0</v>
      </c>
      <c r="S214" s="6">
        <v>1</v>
      </c>
      <c r="T214" s="6">
        <v>1</v>
      </c>
      <c r="U214" s="6">
        <v>2</v>
      </c>
      <c r="V214" s="6">
        <v>2</v>
      </c>
      <c r="W214" s="6">
        <v>0</v>
      </c>
      <c r="X214" s="6">
        <v>3</v>
      </c>
    </row>
    <row r="215" spans="1:24" ht="15.75" hidden="1" customHeight="1" x14ac:dyDescent="0.2">
      <c r="A215" s="6" t="s">
        <v>1100</v>
      </c>
      <c r="B215" s="6" t="s">
        <v>410</v>
      </c>
      <c r="C215" s="6">
        <v>27466</v>
      </c>
      <c r="D215" s="6">
        <v>1859</v>
      </c>
      <c r="E215" s="6">
        <v>3.4</v>
      </c>
      <c r="F215" s="6">
        <v>4841</v>
      </c>
      <c r="G215" s="6">
        <v>102</v>
      </c>
      <c r="H215" s="6">
        <v>0.2</v>
      </c>
      <c r="I215" s="6">
        <v>2</v>
      </c>
      <c r="J215" s="6">
        <v>3</v>
      </c>
      <c r="K215" s="6">
        <v>3</v>
      </c>
      <c r="L215" s="6">
        <v>1</v>
      </c>
      <c r="M215" s="6">
        <v>4</v>
      </c>
      <c r="N215" s="6">
        <v>2</v>
      </c>
      <c r="O215" s="6">
        <v>3</v>
      </c>
      <c r="P215" s="6">
        <v>0</v>
      </c>
      <c r="Q215" s="6">
        <v>1</v>
      </c>
      <c r="R215" s="6">
        <v>2</v>
      </c>
      <c r="S215" s="6">
        <v>0</v>
      </c>
      <c r="T215" s="6">
        <v>3</v>
      </c>
      <c r="U215" s="6">
        <v>0</v>
      </c>
      <c r="V215" s="6">
        <v>1</v>
      </c>
      <c r="W215" s="6">
        <v>0</v>
      </c>
      <c r="X215" s="6">
        <v>2</v>
      </c>
    </row>
    <row r="216" spans="1:24" ht="15.75" hidden="1" customHeight="1" x14ac:dyDescent="0.2">
      <c r="A216" s="6" t="s">
        <v>1101</v>
      </c>
      <c r="B216" s="6" t="s">
        <v>506</v>
      </c>
      <c r="C216" s="6">
        <v>49440</v>
      </c>
      <c r="D216" s="6">
        <v>2009</v>
      </c>
      <c r="E216" s="6">
        <v>3.4</v>
      </c>
      <c r="F216" s="6">
        <v>857</v>
      </c>
      <c r="G216" s="6">
        <v>100</v>
      </c>
      <c r="H216" s="6">
        <v>0.19</v>
      </c>
      <c r="I216" s="6">
        <v>3</v>
      </c>
      <c r="J216" s="6">
        <v>4</v>
      </c>
      <c r="K216" s="6">
        <v>4</v>
      </c>
      <c r="L216" s="6">
        <v>3</v>
      </c>
      <c r="M216" s="6">
        <v>4</v>
      </c>
      <c r="N216" s="6">
        <v>2</v>
      </c>
      <c r="O216" s="6">
        <v>3</v>
      </c>
      <c r="P216" s="6">
        <v>1</v>
      </c>
      <c r="Q216" s="6">
        <v>3</v>
      </c>
      <c r="R216" s="6">
        <v>2</v>
      </c>
      <c r="S216" s="6">
        <v>0</v>
      </c>
      <c r="T216" s="6">
        <v>2</v>
      </c>
      <c r="U216" s="6">
        <v>1</v>
      </c>
      <c r="V216" s="6">
        <v>3</v>
      </c>
      <c r="W216" s="6">
        <v>2</v>
      </c>
      <c r="X216" s="6">
        <v>4</v>
      </c>
    </row>
    <row r="217" spans="1:24" ht="15.75" hidden="1" customHeight="1" x14ac:dyDescent="0.2">
      <c r="A217" s="6" t="s">
        <v>1102</v>
      </c>
      <c r="B217" s="6" t="s">
        <v>417</v>
      </c>
      <c r="C217" s="6">
        <v>12006</v>
      </c>
      <c r="D217" s="6">
        <v>2012</v>
      </c>
      <c r="E217" s="6">
        <v>3.48</v>
      </c>
      <c r="F217" s="6">
        <v>239</v>
      </c>
      <c r="G217" s="6">
        <v>100</v>
      </c>
      <c r="H217" s="6">
        <v>0.19</v>
      </c>
      <c r="I217" s="6">
        <v>3</v>
      </c>
      <c r="J217" s="6">
        <v>4</v>
      </c>
      <c r="K217" s="6">
        <v>4</v>
      </c>
      <c r="L217" s="6">
        <v>2</v>
      </c>
      <c r="M217" s="6">
        <v>3</v>
      </c>
      <c r="N217" s="6">
        <v>1</v>
      </c>
      <c r="O217" s="6">
        <v>4</v>
      </c>
      <c r="P217" s="6">
        <v>0</v>
      </c>
      <c r="Q217" s="6">
        <v>2</v>
      </c>
      <c r="R217" s="6">
        <v>3</v>
      </c>
      <c r="S217" s="6">
        <v>0</v>
      </c>
      <c r="T217" s="6">
        <v>4</v>
      </c>
      <c r="U217" s="6">
        <v>1</v>
      </c>
      <c r="V217" s="6">
        <v>2</v>
      </c>
      <c r="W217" s="6">
        <v>3</v>
      </c>
      <c r="X217" s="6">
        <v>3</v>
      </c>
    </row>
    <row r="218" spans="1:24" ht="15.75" hidden="1" customHeight="1" x14ac:dyDescent="0.2">
      <c r="A218" s="6" t="s">
        <v>1103</v>
      </c>
      <c r="B218" s="6" t="s">
        <v>494</v>
      </c>
      <c r="C218" s="6">
        <v>13167</v>
      </c>
      <c r="D218" s="6">
        <v>1997</v>
      </c>
      <c r="E218" s="6">
        <v>3.85</v>
      </c>
      <c r="F218" s="6">
        <v>181</v>
      </c>
      <c r="G218" s="6">
        <v>100</v>
      </c>
      <c r="H218" s="6">
        <v>0.19</v>
      </c>
      <c r="I218" s="6">
        <v>3</v>
      </c>
      <c r="J218" s="6">
        <v>4</v>
      </c>
      <c r="K218" s="6">
        <v>4</v>
      </c>
      <c r="L218" s="6">
        <v>3</v>
      </c>
      <c r="M218" s="6">
        <v>4</v>
      </c>
      <c r="N218" s="6">
        <v>2</v>
      </c>
      <c r="O218" s="6">
        <v>3</v>
      </c>
      <c r="P218" s="6">
        <v>4</v>
      </c>
      <c r="Q218" s="6">
        <v>2</v>
      </c>
      <c r="R218" s="6">
        <v>3</v>
      </c>
      <c r="S218" s="6">
        <v>2</v>
      </c>
      <c r="T218" s="6">
        <v>1</v>
      </c>
      <c r="U218" s="6">
        <v>2</v>
      </c>
      <c r="V218" s="6">
        <v>3</v>
      </c>
      <c r="W218" s="6">
        <v>3</v>
      </c>
      <c r="X218" s="6">
        <v>4</v>
      </c>
    </row>
    <row r="219" spans="1:24" ht="15.75" customHeight="1" x14ac:dyDescent="0.2">
      <c r="A219" s="6" t="s">
        <v>1104</v>
      </c>
      <c r="B219" s="6" t="s">
        <v>33</v>
      </c>
      <c r="C219" s="6">
        <v>56920</v>
      </c>
      <c r="D219" s="6">
        <v>2012</v>
      </c>
      <c r="E219" s="6">
        <v>4.04</v>
      </c>
      <c r="F219" s="6">
        <v>1070</v>
      </c>
      <c r="G219" s="6">
        <v>100</v>
      </c>
      <c r="H219" s="6">
        <v>0.19</v>
      </c>
      <c r="I219" s="6">
        <v>2</v>
      </c>
      <c r="J219" s="6">
        <v>3</v>
      </c>
      <c r="K219" s="6">
        <v>4</v>
      </c>
      <c r="L219" s="6">
        <v>2</v>
      </c>
      <c r="M219" s="6">
        <v>3</v>
      </c>
      <c r="N219" s="6">
        <v>1</v>
      </c>
      <c r="O219" s="6">
        <v>3</v>
      </c>
      <c r="P219" s="6">
        <v>2</v>
      </c>
      <c r="Q219" s="6">
        <v>1</v>
      </c>
      <c r="R219" s="6">
        <v>4</v>
      </c>
      <c r="S219" s="6">
        <v>0</v>
      </c>
      <c r="T219" s="6">
        <v>1</v>
      </c>
      <c r="U219" s="6">
        <v>2</v>
      </c>
      <c r="V219" s="6">
        <v>3</v>
      </c>
      <c r="W219" s="6">
        <v>4</v>
      </c>
      <c r="X219" s="6">
        <v>3</v>
      </c>
    </row>
    <row r="220" spans="1:24" ht="15.75" hidden="1" customHeight="1" x14ac:dyDescent="0.2">
      <c r="A220" s="6" t="s">
        <v>1105</v>
      </c>
      <c r="B220" s="6" t="s">
        <v>383</v>
      </c>
      <c r="C220" s="6">
        <v>58536</v>
      </c>
      <c r="D220" s="6">
        <v>2013</v>
      </c>
      <c r="E220" s="6">
        <v>4.2699999999999996</v>
      </c>
      <c r="F220" s="6">
        <v>45</v>
      </c>
      <c r="G220" s="6">
        <v>100</v>
      </c>
      <c r="H220" s="6">
        <v>0.19</v>
      </c>
      <c r="I220" s="6">
        <v>2</v>
      </c>
      <c r="J220" s="6">
        <v>3</v>
      </c>
      <c r="K220" s="6">
        <v>4</v>
      </c>
      <c r="L220" s="6">
        <v>2</v>
      </c>
      <c r="M220" s="6">
        <v>4</v>
      </c>
      <c r="N220" s="6">
        <v>1</v>
      </c>
      <c r="O220" s="6">
        <v>3</v>
      </c>
      <c r="P220" s="6">
        <v>1</v>
      </c>
      <c r="Q220" s="6">
        <v>2</v>
      </c>
      <c r="R220" s="6">
        <v>2</v>
      </c>
      <c r="S220" s="6">
        <v>3</v>
      </c>
      <c r="T220" s="6">
        <v>4</v>
      </c>
      <c r="U220" s="6">
        <v>1</v>
      </c>
      <c r="V220" s="6">
        <v>2</v>
      </c>
      <c r="W220" s="6">
        <v>3</v>
      </c>
      <c r="X220" s="6">
        <v>3</v>
      </c>
    </row>
    <row r="221" spans="1:24" ht="15.75" hidden="1" customHeight="1" x14ac:dyDescent="0.2">
      <c r="A221" s="6" t="s">
        <v>1106</v>
      </c>
      <c r="B221" s="6" t="s">
        <v>530</v>
      </c>
      <c r="C221" s="6">
        <v>24085</v>
      </c>
      <c r="D221" s="6">
        <v>2011</v>
      </c>
      <c r="E221" s="6">
        <v>3.69</v>
      </c>
      <c r="F221" s="6">
        <v>393</v>
      </c>
      <c r="G221" s="6">
        <v>100</v>
      </c>
      <c r="H221" s="6">
        <v>0.19</v>
      </c>
      <c r="I221" s="6">
        <v>3</v>
      </c>
      <c r="J221" s="6">
        <v>4</v>
      </c>
      <c r="K221" s="6">
        <v>4</v>
      </c>
      <c r="L221" s="6">
        <v>2</v>
      </c>
      <c r="M221" s="6">
        <v>4</v>
      </c>
      <c r="N221" s="6">
        <v>1</v>
      </c>
      <c r="O221" s="6">
        <v>3</v>
      </c>
      <c r="P221" s="6">
        <v>0</v>
      </c>
      <c r="Q221" s="6">
        <v>2</v>
      </c>
      <c r="R221" s="6">
        <v>0</v>
      </c>
      <c r="S221" s="6">
        <v>1</v>
      </c>
      <c r="T221" s="6">
        <v>3</v>
      </c>
      <c r="U221" s="6">
        <v>1</v>
      </c>
      <c r="V221" s="6">
        <v>2</v>
      </c>
      <c r="W221" s="6">
        <v>0</v>
      </c>
      <c r="X221" s="6">
        <v>3</v>
      </c>
    </row>
    <row r="222" spans="1:24" ht="15.75" hidden="1" customHeight="1" x14ac:dyDescent="0.2">
      <c r="A222" s="6" t="s">
        <v>1107</v>
      </c>
      <c r="B222" s="6" t="s">
        <v>497</v>
      </c>
      <c r="C222" s="6">
        <v>41710</v>
      </c>
      <c r="D222" s="6">
        <v>2016</v>
      </c>
      <c r="E222" s="6">
        <v>3.83</v>
      </c>
      <c r="F222" s="6">
        <v>75</v>
      </c>
      <c r="G222" s="6">
        <v>100</v>
      </c>
      <c r="H222" s="6">
        <v>0.19</v>
      </c>
      <c r="I222" s="6">
        <v>3</v>
      </c>
      <c r="J222" s="6">
        <v>4</v>
      </c>
      <c r="K222" s="6">
        <v>4</v>
      </c>
      <c r="L222" s="6">
        <v>2</v>
      </c>
      <c r="M222" s="6">
        <v>3</v>
      </c>
      <c r="N222" s="6">
        <v>1</v>
      </c>
      <c r="O222" s="6">
        <v>3</v>
      </c>
      <c r="P222" s="6">
        <v>0</v>
      </c>
      <c r="Q222" s="6">
        <v>2</v>
      </c>
      <c r="R222" s="6">
        <v>3</v>
      </c>
      <c r="S222" s="6">
        <v>0</v>
      </c>
      <c r="T222" s="6">
        <v>1</v>
      </c>
      <c r="U222" s="6">
        <v>2</v>
      </c>
      <c r="V222" s="6">
        <v>2</v>
      </c>
      <c r="W222" s="6">
        <v>4</v>
      </c>
      <c r="X222" s="6">
        <v>3</v>
      </c>
    </row>
    <row r="223" spans="1:24" ht="15.75" hidden="1" customHeight="1" x14ac:dyDescent="0.2">
      <c r="A223" s="6" t="s">
        <v>1108</v>
      </c>
      <c r="B223" s="6" t="s">
        <v>450</v>
      </c>
      <c r="C223" s="6">
        <v>92423</v>
      </c>
      <c r="D223" s="6">
        <v>2000</v>
      </c>
      <c r="E223" s="6">
        <v>4.01</v>
      </c>
      <c r="F223" s="6">
        <v>1119</v>
      </c>
      <c r="G223" s="6">
        <v>100</v>
      </c>
      <c r="H223" s="6">
        <v>0.19</v>
      </c>
      <c r="I223" s="6">
        <v>1</v>
      </c>
      <c r="J223" s="6">
        <v>2</v>
      </c>
      <c r="K223" s="6">
        <v>3</v>
      </c>
      <c r="L223" s="6">
        <v>2</v>
      </c>
      <c r="M223" s="6">
        <v>3</v>
      </c>
      <c r="N223" s="6">
        <v>4</v>
      </c>
      <c r="O223" s="6">
        <v>4</v>
      </c>
      <c r="P223" s="6">
        <v>1</v>
      </c>
      <c r="Q223" s="6">
        <v>0</v>
      </c>
      <c r="R223" s="6">
        <v>1</v>
      </c>
      <c r="S223" s="6">
        <v>2</v>
      </c>
      <c r="T223" s="6">
        <v>1</v>
      </c>
      <c r="U223" s="6">
        <v>1</v>
      </c>
      <c r="V223" s="6">
        <v>2</v>
      </c>
      <c r="W223" s="6">
        <v>0</v>
      </c>
      <c r="X223" s="6">
        <v>3</v>
      </c>
    </row>
    <row r="224" spans="1:24" ht="15.75" hidden="1" customHeight="1" x14ac:dyDescent="0.2">
      <c r="A224" s="6" t="s">
        <v>1109</v>
      </c>
      <c r="B224" s="6" t="s">
        <v>485</v>
      </c>
      <c r="C224" s="6">
        <v>8238</v>
      </c>
      <c r="D224" s="6">
        <v>2016</v>
      </c>
      <c r="E224" s="6">
        <v>3.3</v>
      </c>
      <c r="F224" s="6">
        <v>46</v>
      </c>
      <c r="G224" s="6">
        <v>100</v>
      </c>
      <c r="H224" s="6">
        <v>0.19</v>
      </c>
      <c r="I224" s="6">
        <v>3</v>
      </c>
      <c r="J224" s="6">
        <v>4</v>
      </c>
      <c r="K224" s="6">
        <v>4</v>
      </c>
      <c r="L224" s="6">
        <v>2</v>
      </c>
      <c r="M224" s="6">
        <v>3</v>
      </c>
      <c r="N224" s="6">
        <v>4</v>
      </c>
      <c r="O224" s="6">
        <v>2</v>
      </c>
      <c r="P224" s="6">
        <v>0</v>
      </c>
      <c r="Q224" s="6">
        <v>3</v>
      </c>
      <c r="R224" s="6">
        <v>0</v>
      </c>
      <c r="S224" s="6">
        <v>1</v>
      </c>
      <c r="T224" s="6">
        <v>2</v>
      </c>
      <c r="U224" s="6">
        <v>1</v>
      </c>
      <c r="V224" s="6">
        <v>2</v>
      </c>
      <c r="W224" s="6">
        <v>0</v>
      </c>
      <c r="X224" s="6">
        <v>3</v>
      </c>
    </row>
    <row r="225" spans="1:24" ht="15.75" hidden="1" customHeight="1" x14ac:dyDescent="0.2">
      <c r="A225" s="6" t="s">
        <v>1110</v>
      </c>
      <c r="B225" s="6" t="s">
        <v>492</v>
      </c>
      <c r="C225" s="6">
        <v>45234</v>
      </c>
      <c r="D225" s="6">
        <v>2013</v>
      </c>
      <c r="E225" s="6">
        <v>4.41</v>
      </c>
      <c r="F225" s="6">
        <v>39</v>
      </c>
      <c r="G225" s="6">
        <v>100</v>
      </c>
      <c r="H225" s="6">
        <v>0.19</v>
      </c>
      <c r="I225" s="6">
        <v>2</v>
      </c>
      <c r="J225" s="6">
        <v>3</v>
      </c>
      <c r="K225" s="6">
        <v>3</v>
      </c>
      <c r="L225" s="6">
        <v>2</v>
      </c>
      <c r="M225" s="6">
        <v>4</v>
      </c>
      <c r="N225" s="6">
        <v>1</v>
      </c>
      <c r="O225" s="6">
        <v>4</v>
      </c>
      <c r="P225" s="6">
        <v>0</v>
      </c>
      <c r="Q225" s="6">
        <v>2</v>
      </c>
      <c r="R225" s="6">
        <v>0</v>
      </c>
      <c r="S225" s="6">
        <v>1</v>
      </c>
      <c r="T225" s="6">
        <v>3</v>
      </c>
      <c r="U225" s="6">
        <v>1</v>
      </c>
      <c r="V225" s="6">
        <v>3</v>
      </c>
      <c r="W225" s="6">
        <v>0</v>
      </c>
      <c r="X225" s="6">
        <v>4</v>
      </c>
    </row>
    <row r="226" spans="1:24" ht="15.75" hidden="1" customHeight="1" x14ac:dyDescent="0.2">
      <c r="A226" s="6" t="s">
        <v>1111</v>
      </c>
      <c r="B226" s="6" t="s">
        <v>445</v>
      </c>
      <c r="C226" s="6">
        <v>13752</v>
      </c>
      <c r="D226" s="6">
        <v>2012</v>
      </c>
      <c r="E226" s="6">
        <v>4.42</v>
      </c>
      <c r="F226" s="6">
        <v>97</v>
      </c>
      <c r="G226" s="6">
        <v>100</v>
      </c>
      <c r="H226" s="6">
        <v>0.19</v>
      </c>
      <c r="I226" s="6">
        <v>3</v>
      </c>
      <c r="J226" s="6">
        <v>4</v>
      </c>
      <c r="K226" s="6">
        <v>4</v>
      </c>
      <c r="L226" s="6">
        <v>3</v>
      </c>
      <c r="M226" s="6">
        <v>4</v>
      </c>
      <c r="N226" s="6">
        <v>2</v>
      </c>
      <c r="O226" s="6">
        <v>3</v>
      </c>
      <c r="P226" s="6">
        <v>1</v>
      </c>
      <c r="Q226" s="6">
        <v>2</v>
      </c>
      <c r="R226" s="6">
        <v>1</v>
      </c>
      <c r="S226" s="6">
        <v>2</v>
      </c>
      <c r="T226" s="6">
        <v>4</v>
      </c>
      <c r="U226" s="6">
        <v>2</v>
      </c>
      <c r="V226" s="6">
        <v>3</v>
      </c>
      <c r="W226" s="6">
        <v>1</v>
      </c>
      <c r="X226" s="6">
        <v>4</v>
      </c>
    </row>
    <row r="227" spans="1:24" ht="15.75" hidden="1" customHeight="1" x14ac:dyDescent="0.2">
      <c r="A227" s="6" t="s">
        <v>1112</v>
      </c>
      <c r="B227" s="6" t="s">
        <v>454</v>
      </c>
      <c r="C227" s="6">
        <v>38069</v>
      </c>
      <c r="D227" s="6">
        <v>1956</v>
      </c>
      <c r="E227" s="6">
        <v>3.63</v>
      </c>
      <c r="F227" s="6">
        <v>565</v>
      </c>
      <c r="G227" s="6">
        <v>100</v>
      </c>
      <c r="H227" s="6">
        <v>0.19</v>
      </c>
      <c r="I227" s="6">
        <v>2</v>
      </c>
      <c r="J227" s="6">
        <v>3</v>
      </c>
      <c r="K227" s="6">
        <v>4</v>
      </c>
      <c r="L227" s="6">
        <v>2</v>
      </c>
      <c r="M227" s="6">
        <v>3</v>
      </c>
      <c r="N227" s="6">
        <v>4</v>
      </c>
      <c r="O227" s="6">
        <v>3</v>
      </c>
      <c r="P227" s="6">
        <v>1</v>
      </c>
      <c r="Q227" s="6">
        <v>1</v>
      </c>
      <c r="R227" s="6">
        <v>1</v>
      </c>
      <c r="S227" s="6">
        <v>2</v>
      </c>
      <c r="T227" s="6">
        <v>3</v>
      </c>
      <c r="U227" s="6">
        <v>1</v>
      </c>
      <c r="V227" s="6">
        <v>2</v>
      </c>
      <c r="W227" s="6">
        <v>2</v>
      </c>
      <c r="X227" s="6">
        <v>4</v>
      </c>
    </row>
    <row r="228" spans="1:24" ht="15.75" hidden="1" customHeight="1" x14ac:dyDescent="0.2">
      <c r="A228" s="6" t="s">
        <v>1113</v>
      </c>
      <c r="B228" s="6" t="s">
        <v>396</v>
      </c>
      <c r="C228" s="6">
        <v>13882</v>
      </c>
      <c r="D228" s="6">
        <v>2020</v>
      </c>
      <c r="E228" s="6">
        <v>2.66</v>
      </c>
      <c r="F228" s="6">
        <v>13676</v>
      </c>
      <c r="G228" s="6">
        <v>100</v>
      </c>
      <c r="H228" s="6">
        <v>0.19</v>
      </c>
      <c r="I228" s="6">
        <v>2</v>
      </c>
      <c r="J228" s="6">
        <v>3</v>
      </c>
      <c r="K228" s="6">
        <v>4</v>
      </c>
      <c r="L228" s="6">
        <v>1</v>
      </c>
      <c r="M228" s="6">
        <v>4</v>
      </c>
      <c r="N228" s="6">
        <v>2</v>
      </c>
      <c r="O228" s="6">
        <v>3</v>
      </c>
      <c r="P228" s="6">
        <v>0</v>
      </c>
      <c r="Q228" s="6">
        <v>1</v>
      </c>
      <c r="R228" s="6">
        <v>1</v>
      </c>
      <c r="S228" s="6">
        <v>2</v>
      </c>
      <c r="T228" s="6">
        <v>3</v>
      </c>
      <c r="U228" s="6">
        <v>0</v>
      </c>
      <c r="V228" s="6">
        <v>2</v>
      </c>
      <c r="W228" s="6">
        <v>3</v>
      </c>
      <c r="X228" s="6">
        <v>3</v>
      </c>
    </row>
    <row r="229" spans="1:24" ht="15.75" customHeight="1" x14ac:dyDescent="0.2">
      <c r="A229" s="6" t="s">
        <v>1114</v>
      </c>
      <c r="B229" s="6" t="s">
        <v>28</v>
      </c>
      <c r="C229" s="6">
        <v>52256</v>
      </c>
      <c r="D229" s="6">
        <v>1980</v>
      </c>
      <c r="E229" s="6">
        <v>4.2</v>
      </c>
      <c r="F229" s="6">
        <v>299647</v>
      </c>
      <c r="G229" s="6">
        <v>100</v>
      </c>
      <c r="H229" s="6">
        <v>0.19</v>
      </c>
      <c r="I229" s="6">
        <v>2</v>
      </c>
      <c r="J229" s="6">
        <v>3</v>
      </c>
      <c r="K229" s="6">
        <v>4</v>
      </c>
      <c r="L229" s="6">
        <v>2</v>
      </c>
      <c r="M229" s="6">
        <v>4</v>
      </c>
      <c r="N229" s="6">
        <v>1</v>
      </c>
      <c r="O229" s="6">
        <v>2</v>
      </c>
      <c r="P229" s="6">
        <v>4</v>
      </c>
      <c r="Q229" s="6">
        <v>3</v>
      </c>
      <c r="R229" s="6">
        <v>1</v>
      </c>
      <c r="S229" s="6">
        <v>4</v>
      </c>
      <c r="T229" s="6">
        <v>1</v>
      </c>
      <c r="U229" s="6">
        <v>2</v>
      </c>
      <c r="V229" s="6">
        <v>2</v>
      </c>
      <c r="W229" s="6">
        <v>1</v>
      </c>
      <c r="X229" s="6">
        <v>3</v>
      </c>
    </row>
    <row r="230" spans="1:24" ht="15.75" hidden="1" customHeight="1" x14ac:dyDescent="0.2">
      <c r="A230" s="6" t="s">
        <v>1115</v>
      </c>
      <c r="B230" s="6" t="s">
        <v>482</v>
      </c>
      <c r="C230" s="6">
        <v>17085</v>
      </c>
      <c r="D230" s="6">
        <v>2021</v>
      </c>
      <c r="E230" s="6">
        <v>3.84</v>
      </c>
      <c r="F230" s="6">
        <v>28043</v>
      </c>
      <c r="G230" s="6">
        <v>100</v>
      </c>
      <c r="H230" s="6">
        <v>0.19</v>
      </c>
      <c r="I230" s="6">
        <v>2</v>
      </c>
      <c r="J230" s="6">
        <v>3</v>
      </c>
      <c r="K230" s="6">
        <v>4</v>
      </c>
      <c r="L230" s="6">
        <v>2</v>
      </c>
      <c r="M230" s="6">
        <v>4</v>
      </c>
      <c r="N230" s="6">
        <v>1</v>
      </c>
      <c r="O230" s="6">
        <v>3</v>
      </c>
      <c r="P230" s="6">
        <v>0</v>
      </c>
      <c r="Q230" s="6">
        <v>1</v>
      </c>
      <c r="R230" s="6">
        <v>1</v>
      </c>
      <c r="S230" s="6">
        <v>2</v>
      </c>
      <c r="T230" s="6">
        <v>3</v>
      </c>
      <c r="U230" s="6">
        <v>0</v>
      </c>
      <c r="V230" s="6">
        <v>2</v>
      </c>
      <c r="W230" s="6">
        <v>4</v>
      </c>
      <c r="X230" s="6">
        <v>3</v>
      </c>
    </row>
    <row r="231" spans="1:24" ht="15.75" hidden="1" customHeight="1" x14ac:dyDescent="0.2">
      <c r="A231" s="6" t="s">
        <v>1116</v>
      </c>
      <c r="B231" s="6" t="s">
        <v>393</v>
      </c>
      <c r="C231" s="6">
        <v>43657</v>
      </c>
      <c r="D231" s="6">
        <v>1991</v>
      </c>
      <c r="E231" s="6">
        <v>3.57</v>
      </c>
      <c r="F231" s="6">
        <v>23</v>
      </c>
      <c r="G231" s="6">
        <v>99</v>
      </c>
      <c r="H231" s="6">
        <v>0.19</v>
      </c>
      <c r="I231" s="6">
        <v>3</v>
      </c>
      <c r="J231" s="6">
        <v>4</v>
      </c>
      <c r="K231" s="6">
        <v>4</v>
      </c>
      <c r="L231" s="6">
        <v>3</v>
      </c>
      <c r="M231" s="6">
        <v>4</v>
      </c>
      <c r="N231" s="6">
        <v>2</v>
      </c>
      <c r="O231" s="6">
        <v>3</v>
      </c>
      <c r="P231" s="6">
        <v>1</v>
      </c>
      <c r="Q231" s="6">
        <v>4</v>
      </c>
      <c r="R231" s="6">
        <v>2</v>
      </c>
      <c r="S231" s="6">
        <v>3</v>
      </c>
      <c r="T231" s="6">
        <v>2</v>
      </c>
      <c r="U231" s="6">
        <v>2</v>
      </c>
      <c r="V231" s="6">
        <v>3</v>
      </c>
      <c r="W231" s="6">
        <v>2</v>
      </c>
      <c r="X231" s="6">
        <v>4</v>
      </c>
    </row>
    <row r="232" spans="1:24" ht="15.75" hidden="1" customHeight="1" x14ac:dyDescent="0.2">
      <c r="A232" s="6" t="s">
        <v>1117</v>
      </c>
      <c r="B232" s="6" t="s">
        <v>517</v>
      </c>
      <c r="C232" s="6">
        <v>29491</v>
      </c>
      <c r="D232" s="6">
        <v>1998</v>
      </c>
      <c r="E232" s="6">
        <v>3.99</v>
      </c>
      <c r="F232" s="6">
        <v>1193</v>
      </c>
      <c r="G232" s="6">
        <v>99</v>
      </c>
      <c r="H232" s="6">
        <v>0.19</v>
      </c>
      <c r="I232" s="6">
        <v>2</v>
      </c>
      <c r="J232" s="6">
        <v>3</v>
      </c>
      <c r="K232" s="6">
        <v>4</v>
      </c>
      <c r="L232" s="6">
        <v>2</v>
      </c>
      <c r="M232" s="6">
        <v>4</v>
      </c>
      <c r="N232" s="6">
        <v>3</v>
      </c>
      <c r="O232" s="6">
        <v>4</v>
      </c>
      <c r="P232" s="6">
        <v>1</v>
      </c>
      <c r="Q232" s="6">
        <v>0</v>
      </c>
      <c r="R232" s="6">
        <v>1</v>
      </c>
      <c r="S232" s="6">
        <v>2</v>
      </c>
      <c r="T232" s="6">
        <v>3</v>
      </c>
      <c r="U232" s="6">
        <v>1</v>
      </c>
      <c r="V232" s="6">
        <v>2</v>
      </c>
      <c r="W232" s="6">
        <v>3</v>
      </c>
      <c r="X232" s="6">
        <v>3</v>
      </c>
    </row>
    <row r="233" spans="1:24" ht="15.75" hidden="1" customHeight="1" x14ac:dyDescent="0.2">
      <c r="A233" s="6" t="s">
        <v>1118</v>
      </c>
      <c r="B233" s="6" t="s">
        <v>535</v>
      </c>
      <c r="C233" s="6">
        <v>37674</v>
      </c>
      <c r="D233" s="6">
        <v>2005</v>
      </c>
      <c r="E233" s="6">
        <v>3.29</v>
      </c>
      <c r="F233" s="6">
        <v>48</v>
      </c>
      <c r="G233" s="6">
        <v>99</v>
      </c>
      <c r="H233" s="6">
        <v>0.19</v>
      </c>
      <c r="I233" s="6">
        <v>3</v>
      </c>
      <c r="J233" s="6">
        <v>4</v>
      </c>
      <c r="K233" s="6">
        <v>4</v>
      </c>
      <c r="L233" s="6">
        <v>3</v>
      </c>
      <c r="M233" s="6">
        <v>4</v>
      </c>
      <c r="N233" s="6">
        <v>2</v>
      </c>
      <c r="O233" s="6">
        <v>4</v>
      </c>
      <c r="P233" s="6">
        <v>1</v>
      </c>
      <c r="Q233" s="6">
        <v>3</v>
      </c>
      <c r="R233" s="6">
        <v>2</v>
      </c>
      <c r="S233" s="6">
        <v>1</v>
      </c>
      <c r="T233" s="6">
        <v>2</v>
      </c>
      <c r="U233" s="6">
        <v>1</v>
      </c>
      <c r="V233" s="6">
        <v>3</v>
      </c>
      <c r="W233" s="6">
        <v>4</v>
      </c>
      <c r="X233" s="6">
        <v>4</v>
      </c>
    </row>
    <row r="234" spans="1:24" ht="15.75" customHeight="1" x14ac:dyDescent="0.2">
      <c r="A234" s="6" t="s">
        <v>1119</v>
      </c>
      <c r="B234" s="6" t="s">
        <v>35</v>
      </c>
      <c r="C234" s="6">
        <v>25116</v>
      </c>
      <c r="D234" s="6">
        <v>2012</v>
      </c>
      <c r="E234" s="6">
        <v>3.8</v>
      </c>
      <c r="F234" s="6">
        <v>1783</v>
      </c>
      <c r="G234" s="6">
        <v>99</v>
      </c>
      <c r="H234" s="6">
        <v>0.19</v>
      </c>
      <c r="I234" s="6">
        <v>2</v>
      </c>
      <c r="J234" s="6">
        <v>3</v>
      </c>
      <c r="K234" s="6">
        <v>3</v>
      </c>
      <c r="L234" s="6">
        <v>2</v>
      </c>
      <c r="M234" s="6">
        <v>3</v>
      </c>
      <c r="N234" s="6">
        <v>2</v>
      </c>
      <c r="O234" s="6">
        <v>3</v>
      </c>
      <c r="P234" s="6">
        <v>1</v>
      </c>
      <c r="Q234" s="6">
        <v>1</v>
      </c>
      <c r="R234" s="6">
        <v>4</v>
      </c>
      <c r="S234" s="6">
        <v>0</v>
      </c>
      <c r="T234" s="6">
        <v>1</v>
      </c>
      <c r="U234" s="6">
        <v>2</v>
      </c>
      <c r="V234" s="6">
        <v>2</v>
      </c>
      <c r="W234" s="6">
        <v>4</v>
      </c>
      <c r="X234" s="6">
        <v>3</v>
      </c>
    </row>
    <row r="235" spans="1:24" ht="15.75" hidden="1" customHeight="1" x14ac:dyDescent="0.2">
      <c r="A235" s="6" t="s">
        <v>1120</v>
      </c>
      <c r="B235" s="6" t="s">
        <v>354</v>
      </c>
      <c r="C235" s="6">
        <v>42946</v>
      </c>
      <c r="D235" s="6">
        <v>2012</v>
      </c>
      <c r="E235" s="6">
        <v>3.39</v>
      </c>
      <c r="F235" s="6">
        <v>44</v>
      </c>
      <c r="G235" s="6">
        <v>99</v>
      </c>
      <c r="H235" s="6">
        <v>0.19</v>
      </c>
      <c r="I235" s="6">
        <v>2</v>
      </c>
      <c r="J235" s="6">
        <v>3</v>
      </c>
      <c r="K235" s="6">
        <v>4</v>
      </c>
      <c r="L235" s="6">
        <v>2</v>
      </c>
      <c r="M235" s="6">
        <v>4</v>
      </c>
      <c r="N235" s="6">
        <v>3</v>
      </c>
      <c r="O235" s="6">
        <v>4</v>
      </c>
      <c r="P235" s="6">
        <v>1</v>
      </c>
      <c r="Q235" s="6">
        <v>0</v>
      </c>
      <c r="R235" s="6">
        <v>3</v>
      </c>
      <c r="S235" s="6">
        <v>1</v>
      </c>
      <c r="T235" s="6">
        <v>2</v>
      </c>
      <c r="U235" s="6">
        <v>1</v>
      </c>
      <c r="V235" s="6">
        <v>2</v>
      </c>
      <c r="W235" s="6">
        <v>3</v>
      </c>
      <c r="X235" s="6">
        <v>4</v>
      </c>
    </row>
    <row r="236" spans="1:24" ht="15.75" hidden="1" customHeight="1" x14ac:dyDescent="0.2">
      <c r="A236" s="6" t="s">
        <v>1121</v>
      </c>
      <c r="B236" s="6" t="s">
        <v>477</v>
      </c>
      <c r="C236" s="6">
        <v>100855</v>
      </c>
      <c r="D236" s="6">
        <v>2005</v>
      </c>
      <c r="E236" s="6">
        <v>3.61</v>
      </c>
      <c r="F236" s="6">
        <v>6293</v>
      </c>
      <c r="G236" s="6">
        <v>99</v>
      </c>
      <c r="H236" s="6">
        <v>0.19</v>
      </c>
      <c r="I236" s="6">
        <v>2</v>
      </c>
      <c r="J236" s="6">
        <v>3</v>
      </c>
      <c r="K236" s="6">
        <v>4</v>
      </c>
      <c r="L236" s="6">
        <v>2</v>
      </c>
      <c r="M236" s="6">
        <v>4</v>
      </c>
      <c r="N236" s="6">
        <v>1</v>
      </c>
      <c r="O236" s="6">
        <v>3</v>
      </c>
      <c r="P236" s="6">
        <v>0</v>
      </c>
      <c r="Q236" s="6">
        <v>1</v>
      </c>
      <c r="R236" s="6">
        <v>2</v>
      </c>
      <c r="S236" s="6">
        <v>1</v>
      </c>
      <c r="T236" s="6">
        <v>4</v>
      </c>
      <c r="U236" s="6">
        <v>0</v>
      </c>
      <c r="V236" s="6">
        <v>3</v>
      </c>
      <c r="W236" s="6">
        <v>3</v>
      </c>
      <c r="X236" s="6">
        <v>4</v>
      </c>
    </row>
    <row r="237" spans="1:24" ht="15.75" hidden="1" customHeight="1" x14ac:dyDescent="0.2">
      <c r="A237" s="6" t="s">
        <v>1122</v>
      </c>
      <c r="B237" s="6" t="s">
        <v>522</v>
      </c>
      <c r="C237" s="6">
        <v>28321</v>
      </c>
      <c r="D237" s="6">
        <v>1982</v>
      </c>
      <c r="E237" s="6">
        <v>3.64</v>
      </c>
      <c r="F237" s="6">
        <v>3026</v>
      </c>
      <c r="G237" s="6">
        <v>99</v>
      </c>
      <c r="H237" s="6">
        <v>0.19</v>
      </c>
      <c r="I237" s="6">
        <v>2</v>
      </c>
      <c r="J237" s="6">
        <v>3</v>
      </c>
      <c r="K237" s="6">
        <v>4</v>
      </c>
      <c r="L237" s="6">
        <v>2</v>
      </c>
      <c r="M237" s="6">
        <v>3</v>
      </c>
      <c r="N237" s="6">
        <v>2</v>
      </c>
      <c r="O237" s="6">
        <v>4</v>
      </c>
      <c r="P237" s="6">
        <v>0</v>
      </c>
      <c r="Q237" s="6">
        <v>1</v>
      </c>
      <c r="R237" s="6">
        <v>1</v>
      </c>
      <c r="S237" s="6">
        <v>0</v>
      </c>
      <c r="T237" s="6">
        <v>2</v>
      </c>
      <c r="U237" s="6">
        <v>1</v>
      </c>
      <c r="V237" s="6">
        <v>2</v>
      </c>
      <c r="W237" s="6">
        <v>4</v>
      </c>
      <c r="X237" s="6">
        <v>3</v>
      </c>
    </row>
    <row r="238" spans="1:24" ht="15.75" hidden="1" customHeight="1" x14ac:dyDescent="0.2">
      <c r="A238" s="6" t="s">
        <v>1123</v>
      </c>
      <c r="B238" s="6" t="s">
        <v>450</v>
      </c>
      <c r="C238" s="6">
        <v>79269</v>
      </c>
      <c r="D238" s="6">
        <v>2013</v>
      </c>
      <c r="E238" s="6">
        <v>4.16</v>
      </c>
      <c r="F238" s="6">
        <v>2563</v>
      </c>
      <c r="G238" s="6">
        <v>99</v>
      </c>
      <c r="H238" s="6">
        <v>0.19</v>
      </c>
      <c r="I238" s="6">
        <v>1</v>
      </c>
      <c r="J238" s="6">
        <v>2</v>
      </c>
      <c r="K238" s="6">
        <v>3</v>
      </c>
      <c r="L238" s="6">
        <v>2</v>
      </c>
      <c r="M238" s="6">
        <v>3</v>
      </c>
      <c r="N238" s="6">
        <v>2</v>
      </c>
      <c r="O238" s="6">
        <v>4</v>
      </c>
      <c r="P238" s="6">
        <v>1</v>
      </c>
      <c r="Q238" s="6">
        <v>0</v>
      </c>
      <c r="R238" s="6">
        <v>1</v>
      </c>
      <c r="S238" s="6">
        <v>2</v>
      </c>
      <c r="T238" s="6">
        <v>1</v>
      </c>
      <c r="U238" s="6">
        <v>0</v>
      </c>
      <c r="V238" s="6">
        <v>2</v>
      </c>
      <c r="W238" s="6">
        <v>4</v>
      </c>
      <c r="X238" s="6">
        <v>3</v>
      </c>
    </row>
    <row r="239" spans="1:24" ht="15.75" hidden="1" customHeight="1" x14ac:dyDescent="0.2">
      <c r="A239" s="6" t="s">
        <v>1124</v>
      </c>
      <c r="B239" s="6" t="s">
        <v>478</v>
      </c>
      <c r="C239" s="6">
        <v>69678</v>
      </c>
      <c r="D239" s="6">
        <v>1898</v>
      </c>
      <c r="E239" s="6">
        <v>3.29</v>
      </c>
      <c r="F239" s="6">
        <v>2120</v>
      </c>
      <c r="G239" s="6">
        <v>99</v>
      </c>
      <c r="H239" s="6">
        <v>0.19</v>
      </c>
      <c r="I239" s="6">
        <v>2</v>
      </c>
      <c r="J239" s="6">
        <v>3</v>
      </c>
      <c r="K239" s="6">
        <v>3</v>
      </c>
      <c r="L239" s="6">
        <v>2</v>
      </c>
      <c r="M239" s="6">
        <v>3</v>
      </c>
      <c r="N239" s="6">
        <v>2</v>
      </c>
      <c r="O239" s="6">
        <v>1</v>
      </c>
      <c r="P239" s="6">
        <v>1</v>
      </c>
      <c r="Q239" s="6">
        <v>1</v>
      </c>
      <c r="R239" s="6">
        <v>2</v>
      </c>
      <c r="S239" s="6">
        <v>0</v>
      </c>
      <c r="T239" s="6">
        <v>1</v>
      </c>
      <c r="U239" s="6">
        <v>1</v>
      </c>
      <c r="V239" s="6">
        <v>2</v>
      </c>
      <c r="W239" s="6">
        <v>2</v>
      </c>
      <c r="X239" s="6">
        <v>3</v>
      </c>
    </row>
    <row r="240" spans="1:24" ht="15.75" hidden="1" customHeight="1" x14ac:dyDescent="0.2">
      <c r="A240" s="6" t="s">
        <v>1125</v>
      </c>
      <c r="B240" s="6" t="s">
        <v>541</v>
      </c>
      <c r="C240" s="6">
        <v>15910</v>
      </c>
      <c r="D240" s="6">
        <v>1991</v>
      </c>
      <c r="E240" s="6">
        <v>4.04</v>
      </c>
      <c r="F240" s="6">
        <v>55</v>
      </c>
      <c r="G240" s="6">
        <v>99</v>
      </c>
      <c r="H240" s="6">
        <v>0.19</v>
      </c>
      <c r="I240" s="6">
        <v>2</v>
      </c>
      <c r="J240" s="6">
        <v>3</v>
      </c>
      <c r="K240" s="6">
        <v>4</v>
      </c>
      <c r="L240" s="6">
        <v>1</v>
      </c>
      <c r="M240" s="6">
        <v>3</v>
      </c>
      <c r="N240" s="6">
        <v>2</v>
      </c>
      <c r="O240" s="6">
        <v>4</v>
      </c>
      <c r="P240" s="6">
        <v>0</v>
      </c>
      <c r="Q240" s="6">
        <v>1</v>
      </c>
      <c r="R240" s="6">
        <v>0</v>
      </c>
      <c r="S240" s="6">
        <v>2</v>
      </c>
      <c r="T240" s="6">
        <v>4</v>
      </c>
      <c r="U240" s="6">
        <v>0</v>
      </c>
      <c r="V240" s="6">
        <v>3</v>
      </c>
      <c r="W240" s="6">
        <v>0</v>
      </c>
      <c r="X240" s="6">
        <v>2</v>
      </c>
    </row>
    <row r="241" spans="1:24" ht="15.75" hidden="1" customHeight="1" x14ac:dyDescent="0.2">
      <c r="A241" s="6" t="s">
        <v>1126</v>
      </c>
      <c r="B241" s="6" t="s">
        <v>480</v>
      </c>
      <c r="C241" s="6">
        <v>35544</v>
      </c>
      <c r="D241" s="6">
        <v>2014</v>
      </c>
      <c r="E241" s="6">
        <v>4.01</v>
      </c>
      <c r="F241" s="6">
        <v>6538</v>
      </c>
      <c r="G241" s="6">
        <v>99</v>
      </c>
      <c r="H241" s="6">
        <v>0.19</v>
      </c>
      <c r="I241" s="6">
        <v>3</v>
      </c>
      <c r="J241" s="6">
        <v>2</v>
      </c>
      <c r="K241" s="6">
        <v>3</v>
      </c>
      <c r="L241" s="6">
        <v>2</v>
      </c>
      <c r="M241" s="6">
        <v>4</v>
      </c>
      <c r="N241" s="6">
        <v>1</v>
      </c>
      <c r="O241" s="6">
        <v>3</v>
      </c>
      <c r="P241" s="6">
        <v>2</v>
      </c>
      <c r="Q241" s="6">
        <v>1</v>
      </c>
      <c r="R241" s="6">
        <v>1</v>
      </c>
      <c r="S241" s="6">
        <v>2</v>
      </c>
      <c r="T241" s="6">
        <v>1</v>
      </c>
      <c r="U241" s="6">
        <v>1</v>
      </c>
      <c r="V241" s="6">
        <v>3</v>
      </c>
      <c r="W241" s="6">
        <v>4</v>
      </c>
      <c r="X241" s="6">
        <v>4</v>
      </c>
    </row>
    <row r="242" spans="1:24" ht="15.75" hidden="1" customHeight="1" x14ac:dyDescent="0.2">
      <c r="A242" s="6" t="s">
        <v>1127</v>
      </c>
      <c r="B242" s="6" t="s">
        <v>490</v>
      </c>
      <c r="C242" s="6">
        <v>39519</v>
      </c>
      <c r="D242" s="6">
        <v>2020</v>
      </c>
      <c r="E242" s="6">
        <v>3.98</v>
      </c>
      <c r="F242" s="6">
        <v>39407</v>
      </c>
      <c r="G242" s="6">
        <v>99</v>
      </c>
      <c r="H242" s="6">
        <v>0.19</v>
      </c>
      <c r="I242" s="6">
        <v>3</v>
      </c>
      <c r="J242" s="6">
        <v>4</v>
      </c>
      <c r="K242" s="6">
        <v>4</v>
      </c>
      <c r="L242" s="6">
        <v>3</v>
      </c>
      <c r="M242" s="6">
        <v>4</v>
      </c>
      <c r="N242" s="6">
        <v>2</v>
      </c>
      <c r="O242" s="6">
        <v>3</v>
      </c>
      <c r="P242" s="6">
        <v>1</v>
      </c>
      <c r="Q242" s="6">
        <v>2</v>
      </c>
      <c r="R242" s="6">
        <v>2</v>
      </c>
      <c r="S242" s="6">
        <v>1</v>
      </c>
      <c r="T242" s="6">
        <v>3</v>
      </c>
      <c r="U242" s="6">
        <v>2</v>
      </c>
      <c r="V242" s="6">
        <v>3</v>
      </c>
      <c r="W242" s="6">
        <v>4</v>
      </c>
      <c r="X242" s="6">
        <v>4</v>
      </c>
    </row>
    <row r="243" spans="1:24" ht="15.75" hidden="1" customHeight="1" x14ac:dyDescent="0.2">
      <c r="A243" s="6" t="s">
        <v>1128</v>
      </c>
      <c r="B243" s="6" t="s">
        <v>498</v>
      </c>
      <c r="C243" s="6">
        <v>38008</v>
      </c>
      <c r="D243" s="6">
        <v>2022</v>
      </c>
      <c r="E243" s="6">
        <v>3.47</v>
      </c>
      <c r="F243" s="6">
        <v>5552</v>
      </c>
      <c r="G243" s="6">
        <v>99</v>
      </c>
      <c r="H243" s="6">
        <v>0.19</v>
      </c>
      <c r="I243" s="6">
        <v>3</v>
      </c>
      <c r="J243" s="6">
        <v>4</v>
      </c>
      <c r="K243" s="6">
        <v>4</v>
      </c>
      <c r="L243" s="6">
        <v>3</v>
      </c>
      <c r="M243" s="6">
        <v>4</v>
      </c>
      <c r="N243" s="6">
        <v>2</v>
      </c>
      <c r="O243" s="6">
        <v>3</v>
      </c>
      <c r="P243" s="6">
        <v>1</v>
      </c>
      <c r="Q243" s="6">
        <v>3</v>
      </c>
      <c r="R243" s="6">
        <v>2</v>
      </c>
      <c r="S243" s="6">
        <v>1</v>
      </c>
      <c r="T243" s="6">
        <v>3</v>
      </c>
      <c r="U243" s="6">
        <v>2</v>
      </c>
      <c r="V243" s="6">
        <v>3</v>
      </c>
      <c r="W243" s="6">
        <v>4</v>
      </c>
      <c r="X243" s="6">
        <v>4</v>
      </c>
    </row>
    <row r="244" spans="1:24" ht="15.75" hidden="1" customHeight="1" x14ac:dyDescent="0.2">
      <c r="A244" s="6" t="s">
        <v>1129</v>
      </c>
      <c r="B244" s="6" t="s">
        <v>459</v>
      </c>
      <c r="C244" s="6">
        <v>90383</v>
      </c>
      <c r="D244" s="6">
        <v>2020</v>
      </c>
      <c r="E244" s="6">
        <v>3.73</v>
      </c>
      <c r="F244" s="6">
        <v>2048</v>
      </c>
      <c r="G244" s="6">
        <v>99</v>
      </c>
      <c r="H244" s="6">
        <v>0.19</v>
      </c>
      <c r="I244" s="6">
        <v>3</v>
      </c>
      <c r="J244" s="6">
        <v>4</v>
      </c>
      <c r="K244" s="6">
        <v>4</v>
      </c>
      <c r="L244" s="6">
        <v>3</v>
      </c>
      <c r="M244" s="6">
        <v>4</v>
      </c>
      <c r="N244" s="6">
        <v>2</v>
      </c>
      <c r="O244" s="6">
        <v>3</v>
      </c>
      <c r="P244" s="6">
        <v>1</v>
      </c>
      <c r="Q244" s="6">
        <v>3</v>
      </c>
      <c r="R244" s="6">
        <v>2</v>
      </c>
      <c r="S244" s="6">
        <v>1</v>
      </c>
      <c r="T244" s="6">
        <v>4</v>
      </c>
      <c r="U244" s="6">
        <v>1</v>
      </c>
      <c r="V244" s="6">
        <v>3</v>
      </c>
      <c r="W244" s="6">
        <v>4</v>
      </c>
      <c r="X244" s="6">
        <v>4</v>
      </c>
    </row>
    <row r="245" spans="1:24" ht="15.75" hidden="1" customHeight="1" x14ac:dyDescent="0.2">
      <c r="A245" s="6" t="s">
        <v>1130</v>
      </c>
      <c r="B245" s="6" t="s">
        <v>491</v>
      </c>
      <c r="C245" s="6">
        <v>27602</v>
      </c>
      <c r="D245" s="6">
        <v>2011</v>
      </c>
      <c r="E245" s="6">
        <v>4.07</v>
      </c>
      <c r="F245" s="6">
        <v>22402</v>
      </c>
      <c r="G245" s="6">
        <v>98</v>
      </c>
      <c r="H245" s="6">
        <v>0.19</v>
      </c>
      <c r="I245" s="6">
        <v>3</v>
      </c>
      <c r="J245" s="6">
        <v>4</v>
      </c>
      <c r="K245" s="6">
        <v>4</v>
      </c>
      <c r="L245" s="6">
        <v>3</v>
      </c>
      <c r="M245" s="6">
        <v>3</v>
      </c>
      <c r="N245" s="6">
        <v>2</v>
      </c>
      <c r="O245" s="6">
        <v>4</v>
      </c>
      <c r="P245" s="6">
        <v>0</v>
      </c>
      <c r="Q245" s="6">
        <v>1</v>
      </c>
      <c r="R245" s="6">
        <v>3</v>
      </c>
      <c r="S245" s="6">
        <v>0</v>
      </c>
      <c r="T245" s="6">
        <v>4</v>
      </c>
      <c r="U245" s="6">
        <v>2</v>
      </c>
      <c r="V245" s="6">
        <v>3</v>
      </c>
      <c r="W245" s="6">
        <v>2</v>
      </c>
      <c r="X245" s="6">
        <v>4</v>
      </c>
    </row>
    <row r="246" spans="1:24" ht="15.75" hidden="1" customHeight="1" x14ac:dyDescent="0.2">
      <c r="A246" s="6" t="s">
        <v>1131</v>
      </c>
      <c r="B246" s="6" t="s">
        <v>501</v>
      </c>
      <c r="C246" s="6">
        <v>52630</v>
      </c>
      <c r="D246" s="6">
        <v>1990</v>
      </c>
      <c r="E246" s="6">
        <v>3.72</v>
      </c>
      <c r="F246" s="6">
        <v>4189</v>
      </c>
      <c r="G246" s="6">
        <v>98</v>
      </c>
      <c r="H246" s="6">
        <v>0.19</v>
      </c>
      <c r="I246" s="6">
        <v>2</v>
      </c>
      <c r="J246" s="6">
        <v>3</v>
      </c>
      <c r="K246" s="6">
        <v>4</v>
      </c>
      <c r="L246" s="6">
        <v>2</v>
      </c>
      <c r="M246" s="6">
        <v>4</v>
      </c>
      <c r="N246" s="6">
        <v>3</v>
      </c>
      <c r="O246" s="6">
        <v>4</v>
      </c>
      <c r="P246" s="6">
        <v>1</v>
      </c>
      <c r="Q246" s="6">
        <v>2</v>
      </c>
      <c r="R246" s="6">
        <v>2</v>
      </c>
      <c r="S246" s="6">
        <v>1</v>
      </c>
      <c r="T246" s="6">
        <v>3</v>
      </c>
      <c r="U246" s="6">
        <v>1</v>
      </c>
      <c r="V246" s="6">
        <v>2</v>
      </c>
      <c r="W246" s="6">
        <v>3</v>
      </c>
      <c r="X246" s="6">
        <v>4</v>
      </c>
    </row>
    <row r="247" spans="1:24" ht="15.75" hidden="1" customHeight="1" x14ac:dyDescent="0.2">
      <c r="A247" s="6" t="s">
        <v>1132</v>
      </c>
      <c r="B247" s="6" t="s">
        <v>419</v>
      </c>
      <c r="C247" s="6">
        <v>14440</v>
      </c>
      <c r="D247" s="6">
        <v>1930</v>
      </c>
      <c r="E247" s="6">
        <v>3.27</v>
      </c>
      <c r="F247" s="6">
        <v>931</v>
      </c>
      <c r="G247" s="6">
        <v>98</v>
      </c>
      <c r="H247" s="6">
        <v>0.19</v>
      </c>
      <c r="I247" s="6">
        <v>2</v>
      </c>
      <c r="J247" s="6">
        <v>3</v>
      </c>
      <c r="K247" s="6">
        <v>3</v>
      </c>
      <c r="L247" s="6">
        <v>1</v>
      </c>
      <c r="M247" s="6">
        <v>3</v>
      </c>
      <c r="N247" s="6">
        <v>2</v>
      </c>
      <c r="O247" s="6">
        <v>3</v>
      </c>
      <c r="P247" s="6">
        <v>3</v>
      </c>
      <c r="Q247" s="6">
        <v>1</v>
      </c>
      <c r="R247" s="6">
        <v>2</v>
      </c>
      <c r="S247" s="6">
        <v>4</v>
      </c>
      <c r="T247" s="6">
        <v>0</v>
      </c>
      <c r="U247" s="6">
        <v>1</v>
      </c>
      <c r="V247" s="6">
        <v>1</v>
      </c>
      <c r="W247" s="6">
        <v>3</v>
      </c>
      <c r="X247" s="6">
        <v>2</v>
      </c>
    </row>
    <row r="248" spans="1:24" ht="15.75" hidden="1" customHeight="1" x14ac:dyDescent="0.2">
      <c r="A248" s="6" t="s">
        <v>1133</v>
      </c>
      <c r="B248" s="6" t="s">
        <v>450</v>
      </c>
      <c r="C248" s="6">
        <v>79269</v>
      </c>
      <c r="D248" s="6">
        <v>1990</v>
      </c>
      <c r="E248" s="6">
        <v>4.05</v>
      </c>
      <c r="F248" s="6">
        <v>2185</v>
      </c>
      <c r="G248" s="6">
        <v>98</v>
      </c>
      <c r="H248" s="6">
        <v>0.19</v>
      </c>
      <c r="I248" s="6">
        <v>1</v>
      </c>
      <c r="J248" s="6">
        <v>2</v>
      </c>
      <c r="K248" s="6">
        <v>3</v>
      </c>
      <c r="L248" s="6">
        <v>1</v>
      </c>
      <c r="M248" s="6">
        <v>4</v>
      </c>
      <c r="N248" s="6">
        <v>2</v>
      </c>
      <c r="O248" s="6">
        <v>3</v>
      </c>
      <c r="P248" s="6">
        <v>1</v>
      </c>
      <c r="Q248" s="6">
        <v>1</v>
      </c>
      <c r="R248" s="6">
        <v>1</v>
      </c>
      <c r="S248" s="6">
        <v>2</v>
      </c>
      <c r="T248" s="6">
        <v>3</v>
      </c>
      <c r="U248" s="6">
        <v>1</v>
      </c>
      <c r="V248" s="6">
        <v>2</v>
      </c>
      <c r="W248" s="6">
        <v>3</v>
      </c>
      <c r="X248" s="6">
        <v>3</v>
      </c>
    </row>
    <row r="249" spans="1:24" ht="15.75" hidden="1" customHeight="1" x14ac:dyDescent="0.2">
      <c r="A249" s="6" t="s">
        <v>1134</v>
      </c>
      <c r="B249" s="6" t="s">
        <v>481</v>
      </c>
      <c r="C249" s="6">
        <v>121911</v>
      </c>
      <c r="D249" s="6">
        <v>1993</v>
      </c>
      <c r="E249" s="6">
        <v>3.82</v>
      </c>
      <c r="F249" s="6">
        <v>919</v>
      </c>
      <c r="G249" s="6">
        <v>98</v>
      </c>
      <c r="H249" s="6">
        <v>0.19</v>
      </c>
      <c r="I249" s="6">
        <v>3</v>
      </c>
      <c r="J249" s="6">
        <v>4</v>
      </c>
      <c r="K249" s="6">
        <v>4</v>
      </c>
      <c r="L249" s="6">
        <v>3</v>
      </c>
      <c r="M249" s="6">
        <v>4</v>
      </c>
      <c r="N249" s="6">
        <v>2</v>
      </c>
      <c r="O249" s="6">
        <v>3</v>
      </c>
      <c r="P249" s="6">
        <v>1</v>
      </c>
      <c r="Q249" s="6">
        <v>2</v>
      </c>
      <c r="R249" s="6">
        <v>1</v>
      </c>
      <c r="S249" s="6">
        <v>3</v>
      </c>
      <c r="T249" s="6">
        <v>2</v>
      </c>
      <c r="U249" s="6">
        <v>1</v>
      </c>
      <c r="V249" s="6">
        <v>3</v>
      </c>
      <c r="W249" s="6">
        <v>4</v>
      </c>
      <c r="X249" s="6">
        <v>4</v>
      </c>
    </row>
    <row r="250" spans="1:24" ht="15.75" hidden="1" customHeight="1" x14ac:dyDescent="0.2">
      <c r="A250" s="6" t="s">
        <v>1135</v>
      </c>
      <c r="B250" s="6" t="s">
        <v>451</v>
      </c>
      <c r="C250" s="6">
        <v>34861</v>
      </c>
      <c r="D250" s="6">
        <v>1990</v>
      </c>
      <c r="E250" s="6">
        <v>3.51</v>
      </c>
      <c r="F250" s="6">
        <v>1429</v>
      </c>
      <c r="G250" s="6">
        <v>98</v>
      </c>
      <c r="H250" s="6">
        <v>0.19</v>
      </c>
      <c r="I250" s="6">
        <v>3</v>
      </c>
      <c r="J250" s="6">
        <v>4</v>
      </c>
      <c r="K250" s="6">
        <v>4</v>
      </c>
      <c r="L250" s="6">
        <v>2</v>
      </c>
      <c r="M250" s="6">
        <v>4</v>
      </c>
      <c r="N250" s="6">
        <v>1</v>
      </c>
      <c r="O250" s="6">
        <v>3</v>
      </c>
      <c r="P250" s="6">
        <v>1</v>
      </c>
      <c r="Q250" s="6">
        <v>3</v>
      </c>
      <c r="R250" s="6">
        <v>1</v>
      </c>
      <c r="S250" s="6">
        <v>2</v>
      </c>
      <c r="T250" s="6">
        <v>3</v>
      </c>
      <c r="U250" s="6">
        <v>1</v>
      </c>
      <c r="V250" s="6">
        <v>3</v>
      </c>
      <c r="W250" s="6">
        <v>1</v>
      </c>
      <c r="X250" s="6">
        <v>4</v>
      </c>
    </row>
    <row r="251" spans="1:24" ht="15.75" hidden="1" customHeight="1" x14ac:dyDescent="0.2">
      <c r="A251" s="6" t="s">
        <v>1136</v>
      </c>
      <c r="B251" s="6" t="s">
        <v>465</v>
      </c>
      <c r="C251" s="6">
        <v>35639</v>
      </c>
      <c r="D251" s="6">
        <v>2016</v>
      </c>
      <c r="E251" s="6">
        <v>3.86</v>
      </c>
      <c r="F251" s="6">
        <v>4830</v>
      </c>
      <c r="G251" s="6">
        <v>98</v>
      </c>
      <c r="H251" s="6">
        <v>0.19</v>
      </c>
      <c r="I251" s="6">
        <v>3</v>
      </c>
      <c r="J251" s="6">
        <v>4</v>
      </c>
      <c r="K251" s="6">
        <v>4</v>
      </c>
      <c r="L251" s="6">
        <v>3</v>
      </c>
      <c r="M251" s="6">
        <v>4</v>
      </c>
      <c r="N251" s="6">
        <v>2</v>
      </c>
      <c r="O251" s="6">
        <v>4</v>
      </c>
      <c r="P251" s="6">
        <v>1</v>
      </c>
      <c r="Q251" s="6">
        <v>2</v>
      </c>
      <c r="R251" s="6">
        <v>1</v>
      </c>
      <c r="S251" s="6">
        <v>2</v>
      </c>
      <c r="T251" s="6">
        <v>2</v>
      </c>
      <c r="U251" s="6">
        <v>1</v>
      </c>
      <c r="V251" s="6">
        <v>3</v>
      </c>
      <c r="W251" s="6">
        <v>4</v>
      </c>
      <c r="X251" s="6">
        <v>4</v>
      </c>
    </row>
    <row r="252" spans="1:24" ht="15.75" hidden="1" customHeight="1" x14ac:dyDescent="0.2">
      <c r="A252" s="6" t="s">
        <v>1137</v>
      </c>
      <c r="B252" s="6" t="s">
        <v>439</v>
      </c>
      <c r="C252" s="6">
        <v>103905</v>
      </c>
      <c r="D252" s="6">
        <v>1941</v>
      </c>
      <c r="E252" s="6">
        <v>3.93</v>
      </c>
      <c r="F252" s="6">
        <v>10266</v>
      </c>
      <c r="G252" s="6">
        <v>98</v>
      </c>
      <c r="H252" s="6">
        <v>0.19</v>
      </c>
      <c r="I252" s="6">
        <v>3</v>
      </c>
      <c r="J252" s="6">
        <v>4</v>
      </c>
      <c r="K252" s="6">
        <v>4</v>
      </c>
      <c r="L252" s="6">
        <v>3</v>
      </c>
      <c r="M252" s="6">
        <v>4</v>
      </c>
      <c r="N252" s="6">
        <v>2</v>
      </c>
      <c r="O252" s="6">
        <v>4</v>
      </c>
      <c r="P252" s="6">
        <v>1</v>
      </c>
      <c r="Q252" s="6">
        <v>1</v>
      </c>
      <c r="R252" s="6">
        <v>2</v>
      </c>
      <c r="S252" s="6">
        <v>3</v>
      </c>
      <c r="T252" s="6">
        <v>4</v>
      </c>
      <c r="U252" s="6">
        <v>2</v>
      </c>
      <c r="V252" s="6">
        <v>3</v>
      </c>
      <c r="W252" s="6">
        <v>4</v>
      </c>
      <c r="X252" s="6">
        <v>4</v>
      </c>
    </row>
    <row r="253" spans="1:24" ht="15.75" hidden="1" customHeight="1" x14ac:dyDescent="0.2">
      <c r="A253" s="6" t="s">
        <v>1138</v>
      </c>
      <c r="B253" s="6" t="s">
        <v>443</v>
      </c>
      <c r="C253" s="6">
        <v>78494</v>
      </c>
      <c r="D253" s="6">
        <v>1874</v>
      </c>
      <c r="E253" s="6">
        <v>3.65</v>
      </c>
      <c r="F253" s="6">
        <v>47644</v>
      </c>
      <c r="G253" s="6">
        <v>98</v>
      </c>
      <c r="H253" s="6">
        <v>0.19</v>
      </c>
      <c r="I253" s="6">
        <v>2</v>
      </c>
      <c r="J253" s="6">
        <v>3</v>
      </c>
      <c r="K253" s="6">
        <v>3</v>
      </c>
      <c r="L253" s="6">
        <v>1</v>
      </c>
      <c r="M253" s="6">
        <v>4</v>
      </c>
      <c r="N253" s="6">
        <v>2</v>
      </c>
      <c r="O253" s="6">
        <v>3</v>
      </c>
      <c r="P253" s="6">
        <v>2</v>
      </c>
      <c r="Q253" s="6">
        <v>1</v>
      </c>
      <c r="R253" s="6">
        <v>3</v>
      </c>
      <c r="S253" s="6">
        <v>4</v>
      </c>
      <c r="T253" s="6">
        <v>1</v>
      </c>
      <c r="U253" s="6">
        <v>1</v>
      </c>
      <c r="V253" s="6">
        <v>1</v>
      </c>
      <c r="W253" s="6">
        <v>4</v>
      </c>
      <c r="X253" s="6">
        <v>3</v>
      </c>
    </row>
    <row r="254" spans="1:24" ht="15.75" hidden="1" customHeight="1" x14ac:dyDescent="0.2">
      <c r="A254" s="6" t="s">
        <v>1139</v>
      </c>
      <c r="B254" s="6" t="s">
        <v>489</v>
      </c>
      <c r="C254" s="6">
        <v>5163</v>
      </c>
      <c r="D254" s="6">
        <v>2014</v>
      </c>
      <c r="E254" s="6">
        <v>3.33</v>
      </c>
      <c r="F254" s="6">
        <v>13173</v>
      </c>
      <c r="G254" s="6">
        <v>98</v>
      </c>
      <c r="H254" s="6">
        <v>0.19</v>
      </c>
      <c r="I254" s="6">
        <v>2</v>
      </c>
      <c r="J254" s="6">
        <v>3</v>
      </c>
      <c r="K254" s="6">
        <v>4</v>
      </c>
      <c r="L254" s="6">
        <v>1</v>
      </c>
      <c r="M254" s="6">
        <v>3</v>
      </c>
      <c r="N254" s="6">
        <v>2</v>
      </c>
      <c r="O254" s="6">
        <v>4</v>
      </c>
      <c r="P254" s="6">
        <v>0</v>
      </c>
      <c r="Q254" s="6">
        <v>3</v>
      </c>
      <c r="R254" s="6">
        <v>1</v>
      </c>
      <c r="S254" s="6">
        <v>0</v>
      </c>
      <c r="T254" s="6">
        <v>4</v>
      </c>
      <c r="U254" s="6">
        <v>0</v>
      </c>
      <c r="V254" s="6">
        <v>2</v>
      </c>
      <c r="W254" s="6">
        <v>0</v>
      </c>
      <c r="X254" s="6">
        <v>3</v>
      </c>
    </row>
    <row r="255" spans="1:24" ht="15.75" hidden="1" customHeight="1" x14ac:dyDescent="0.2">
      <c r="A255" s="6" t="s">
        <v>1140</v>
      </c>
      <c r="B255" s="6" t="s">
        <v>502</v>
      </c>
      <c r="C255" s="6">
        <v>63077</v>
      </c>
      <c r="D255" s="6">
        <v>2007</v>
      </c>
      <c r="E255" s="6">
        <v>3.34</v>
      </c>
      <c r="F255" s="6">
        <v>276</v>
      </c>
      <c r="G255" s="6">
        <v>97</v>
      </c>
      <c r="H255" s="6">
        <v>0.19</v>
      </c>
      <c r="I255" s="6">
        <v>2</v>
      </c>
      <c r="J255" s="6">
        <v>3</v>
      </c>
      <c r="K255" s="6">
        <v>4</v>
      </c>
      <c r="L255" s="6">
        <v>2</v>
      </c>
      <c r="M255" s="6">
        <v>4</v>
      </c>
      <c r="N255" s="6">
        <v>1</v>
      </c>
      <c r="O255" s="6">
        <v>3</v>
      </c>
      <c r="P255" s="6">
        <v>0</v>
      </c>
      <c r="Q255" s="6">
        <v>3</v>
      </c>
      <c r="R255" s="6">
        <v>0</v>
      </c>
      <c r="S255" s="6">
        <v>1</v>
      </c>
      <c r="T255" s="6">
        <v>2</v>
      </c>
      <c r="U255" s="6">
        <v>1</v>
      </c>
      <c r="V255" s="6">
        <v>2</v>
      </c>
      <c r="W255" s="6">
        <v>0</v>
      </c>
      <c r="X255" s="6">
        <v>3</v>
      </c>
    </row>
    <row r="256" spans="1:24" ht="15.75" customHeight="1" x14ac:dyDescent="0.2">
      <c r="A256" s="6" t="s">
        <v>1141</v>
      </c>
      <c r="B256" s="6" t="s">
        <v>58</v>
      </c>
      <c r="C256" s="6">
        <v>24874</v>
      </c>
      <c r="D256" s="6">
        <v>2012</v>
      </c>
      <c r="E256" s="6">
        <v>3.79</v>
      </c>
      <c r="F256" s="6">
        <v>1302</v>
      </c>
      <c r="G256" s="6">
        <v>97</v>
      </c>
      <c r="H256" s="6">
        <v>0.19</v>
      </c>
      <c r="I256" s="6">
        <v>2</v>
      </c>
      <c r="J256" s="6">
        <v>3</v>
      </c>
      <c r="K256" s="6">
        <v>4</v>
      </c>
      <c r="L256" s="6">
        <v>1</v>
      </c>
      <c r="M256" s="6">
        <v>3</v>
      </c>
      <c r="N256" s="6">
        <v>2</v>
      </c>
      <c r="O256" s="6">
        <v>4</v>
      </c>
      <c r="P256" s="6">
        <v>3</v>
      </c>
      <c r="Q256" s="6">
        <v>1</v>
      </c>
      <c r="R256" s="6">
        <v>4</v>
      </c>
      <c r="S256" s="6">
        <v>2</v>
      </c>
      <c r="T256" s="6">
        <v>1</v>
      </c>
      <c r="U256" s="6">
        <v>2</v>
      </c>
      <c r="V256" s="6">
        <v>2</v>
      </c>
      <c r="W256" s="6">
        <v>4</v>
      </c>
      <c r="X256" s="6">
        <v>3</v>
      </c>
    </row>
    <row r="257" spans="1:24" ht="15.75" hidden="1" customHeight="1" x14ac:dyDescent="0.2">
      <c r="A257" s="6" t="s">
        <v>1142</v>
      </c>
      <c r="B257" s="6" t="s">
        <v>411</v>
      </c>
      <c r="C257" s="6">
        <v>79085</v>
      </c>
      <c r="D257" s="6">
        <v>1974</v>
      </c>
      <c r="E257" s="6">
        <v>4</v>
      </c>
      <c r="F257" s="6">
        <v>1694</v>
      </c>
      <c r="G257" s="6">
        <v>97</v>
      </c>
      <c r="H257" s="6">
        <v>0.19</v>
      </c>
      <c r="I257" s="6">
        <v>2</v>
      </c>
      <c r="J257" s="6">
        <v>3</v>
      </c>
      <c r="K257" s="6">
        <v>4</v>
      </c>
      <c r="L257" s="6">
        <v>2</v>
      </c>
      <c r="M257" s="6">
        <v>4</v>
      </c>
      <c r="N257" s="6">
        <v>3</v>
      </c>
      <c r="O257" s="6">
        <v>3</v>
      </c>
      <c r="P257" s="6">
        <v>0</v>
      </c>
      <c r="Q257" s="6">
        <v>2</v>
      </c>
      <c r="R257" s="6">
        <v>2</v>
      </c>
      <c r="S257" s="6">
        <v>0</v>
      </c>
      <c r="T257" s="6">
        <v>3</v>
      </c>
      <c r="U257" s="6">
        <v>0</v>
      </c>
      <c r="V257" s="6">
        <v>2</v>
      </c>
      <c r="W257" s="6">
        <v>1</v>
      </c>
      <c r="X257" s="6">
        <v>3</v>
      </c>
    </row>
    <row r="258" spans="1:24" ht="15.75" hidden="1" customHeight="1" x14ac:dyDescent="0.2">
      <c r="A258" s="6" t="s">
        <v>1143</v>
      </c>
      <c r="B258" s="6" t="s">
        <v>365</v>
      </c>
      <c r="C258" s="6">
        <v>9630</v>
      </c>
      <c r="D258" s="6">
        <v>1922</v>
      </c>
      <c r="E258" s="6">
        <v>3.69</v>
      </c>
      <c r="F258" s="6">
        <v>1102</v>
      </c>
      <c r="G258" s="6">
        <v>97</v>
      </c>
      <c r="H258" s="6">
        <v>0.19</v>
      </c>
      <c r="I258" s="6">
        <v>2</v>
      </c>
      <c r="J258" s="6">
        <v>3</v>
      </c>
      <c r="K258" s="6">
        <v>3</v>
      </c>
      <c r="L258" s="6">
        <v>1</v>
      </c>
      <c r="M258" s="6">
        <v>3</v>
      </c>
      <c r="N258" s="6">
        <v>4</v>
      </c>
      <c r="O258" s="6">
        <v>2</v>
      </c>
      <c r="P258" s="6">
        <v>0</v>
      </c>
      <c r="Q258" s="6">
        <v>4</v>
      </c>
      <c r="R258" s="6">
        <v>1</v>
      </c>
      <c r="S258" s="6">
        <v>0</v>
      </c>
      <c r="T258" s="6">
        <v>1</v>
      </c>
      <c r="U258" s="6">
        <v>1</v>
      </c>
      <c r="V258" s="6">
        <v>2</v>
      </c>
      <c r="W258" s="6">
        <v>2</v>
      </c>
      <c r="X258" s="6">
        <v>3</v>
      </c>
    </row>
    <row r="259" spans="1:24" ht="15.75" hidden="1" customHeight="1" x14ac:dyDescent="0.2">
      <c r="A259" s="6" t="s">
        <v>1144</v>
      </c>
      <c r="B259" s="6" t="s">
        <v>534</v>
      </c>
      <c r="C259" s="6">
        <v>59304</v>
      </c>
      <c r="D259" s="6">
        <v>1971</v>
      </c>
      <c r="E259" s="6">
        <v>4.12</v>
      </c>
      <c r="F259" s="6">
        <v>78803</v>
      </c>
      <c r="G259" s="6">
        <v>97</v>
      </c>
      <c r="H259" s="6">
        <v>0.19</v>
      </c>
      <c r="I259" s="6">
        <v>2</v>
      </c>
      <c r="J259" s="6">
        <v>3</v>
      </c>
      <c r="K259" s="6">
        <v>4</v>
      </c>
      <c r="L259" s="6">
        <v>2</v>
      </c>
      <c r="M259" s="6">
        <v>4</v>
      </c>
      <c r="N259" s="6">
        <v>1</v>
      </c>
      <c r="O259" s="6">
        <v>3</v>
      </c>
      <c r="P259" s="6">
        <v>1</v>
      </c>
      <c r="Q259" s="6">
        <v>2</v>
      </c>
      <c r="R259" s="6">
        <v>2</v>
      </c>
      <c r="S259" s="6">
        <v>3</v>
      </c>
      <c r="T259" s="6">
        <v>3</v>
      </c>
      <c r="U259" s="6">
        <v>1</v>
      </c>
      <c r="V259" s="6">
        <v>3</v>
      </c>
      <c r="W259" s="6">
        <v>2</v>
      </c>
      <c r="X259" s="6">
        <v>4</v>
      </c>
    </row>
    <row r="260" spans="1:24" ht="15.75" hidden="1" customHeight="1" x14ac:dyDescent="0.2">
      <c r="A260" s="6" t="s">
        <v>1145</v>
      </c>
      <c r="B260" s="6" t="s">
        <v>388</v>
      </c>
      <c r="C260" s="6">
        <v>57303</v>
      </c>
      <c r="D260" s="6">
        <v>1973</v>
      </c>
      <c r="E260" s="6">
        <v>3.5</v>
      </c>
      <c r="F260" s="6">
        <v>30</v>
      </c>
      <c r="G260" s="6">
        <v>96</v>
      </c>
      <c r="H260" s="6">
        <v>0.19</v>
      </c>
      <c r="I260" s="6">
        <v>3</v>
      </c>
      <c r="J260" s="6">
        <v>4</v>
      </c>
      <c r="K260" s="6">
        <v>4</v>
      </c>
      <c r="L260" s="6">
        <v>2</v>
      </c>
      <c r="M260" s="6">
        <v>3</v>
      </c>
      <c r="N260" s="6">
        <v>1</v>
      </c>
      <c r="O260" s="6">
        <v>3</v>
      </c>
      <c r="P260" s="6">
        <v>0</v>
      </c>
      <c r="Q260" s="6">
        <v>1</v>
      </c>
      <c r="R260" s="6">
        <v>0</v>
      </c>
      <c r="S260" s="6">
        <v>2</v>
      </c>
      <c r="T260" s="6">
        <v>4</v>
      </c>
      <c r="U260" s="6">
        <v>0</v>
      </c>
      <c r="V260" s="6">
        <v>2</v>
      </c>
      <c r="W260" s="6">
        <v>3</v>
      </c>
      <c r="X260" s="6">
        <v>3</v>
      </c>
    </row>
    <row r="261" spans="1:24" ht="15.75" hidden="1" customHeight="1" x14ac:dyDescent="0.2">
      <c r="A261" s="6" t="s">
        <v>1146</v>
      </c>
      <c r="B261" s="6" t="s">
        <v>386</v>
      </c>
      <c r="C261" s="6">
        <v>19745</v>
      </c>
      <c r="D261" s="6">
        <v>2011</v>
      </c>
      <c r="E261" s="6">
        <v>3.87</v>
      </c>
      <c r="F261" s="6">
        <v>353</v>
      </c>
      <c r="G261" s="6">
        <v>96</v>
      </c>
      <c r="H261" s="6">
        <v>0.19</v>
      </c>
      <c r="I261" s="6">
        <v>3</v>
      </c>
      <c r="J261" s="6">
        <v>4</v>
      </c>
      <c r="K261" s="6">
        <v>4</v>
      </c>
      <c r="L261" s="6">
        <v>3</v>
      </c>
      <c r="M261" s="6">
        <v>4</v>
      </c>
      <c r="N261" s="6">
        <v>2</v>
      </c>
      <c r="O261" s="6">
        <v>3</v>
      </c>
      <c r="P261" s="6">
        <v>1</v>
      </c>
      <c r="Q261" s="6">
        <v>3</v>
      </c>
      <c r="R261" s="6">
        <v>0</v>
      </c>
      <c r="S261" s="6">
        <v>2</v>
      </c>
      <c r="T261" s="6">
        <v>2</v>
      </c>
      <c r="U261" s="6">
        <v>1</v>
      </c>
      <c r="V261" s="6">
        <v>3</v>
      </c>
      <c r="W261" s="6">
        <v>2</v>
      </c>
      <c r="X261" s="6">
        <v>4</v>
      </c>
    </row>
    <row r="262" spans="1:24" ht="15.75" hidden="1" customHeight="1" x14ac:dyDescent="0.2">
      <c r="A262" s="6" t="s">
        <v>1147</v>
      </c>
      <c r="B262" s="6" t="s">
        <v>42</v>
      </c>
      <c r="C262" s="6">
        <v>34593</v>
      </c>
      <c r="D262" s="6">
        <v>1898</v>
      </c>
      <c r="E262" s="6">
        <v>3.13</v>
      </c>
      <c r="F262" s="6">
        <v>984</v>
      </c>
      <c r="G262" s="6">
        <v>96</v>
      </c>
      <c r="H262" s="6">
        <v>0.19</v>
      </c>
      <c r="I262" s="6">
        <v>2</v>
      </c>
      <c r="J262" s="6">
        <v>3</v>
      </c>
      <c r="K262" s="6">
        <v>4</v>
      </c>
      <c r="L262" s="6">
        <v>1</v>
      </c>
      <c r="M262" s="6">
        <v>4</v>
      </c>
      <c r="N262" s="6">
        <v>2</v>
      </c>
      <c r="O262" s="6">
        <v>3</v>
      </c>
      <c r="P262" s="6">
        <v>1</v>
      </c>
      <c r="Q262" s="6">
        <v>2</v>
      </c>
      <c r="R262" s="6">
        <v>3</v>
      </c>
      <c r="S262" s="6">
        <v>2</v>
      </c>
      <c r="T262" s="6">
        <v>1</v>
      </c>
      <c r="U262" s="6">
        <v>0</v>
      </c>
      <c r="V262" s="6">
        <v>2</v>
      </c>
      <c r="W262" s="6">
        <v>4</v>
      </c>
      <c r="X262" s="6">
        <v>3</v>
      </c>
    </row>
    <row r="263" spans="1:24" ht="15.75" hidden="1" customHeight="1" x14ac:dyDescent="0.2">
      <c r="A263" s="6" t="s">
        <v>1148</v>
      </c>
      <c r="B263" s="6" t="s">
        <v>414</v>
      </c>
      <c r="C263" s="6">
        <v>41110</v>
      </c>
      <c r="D263" s="6">
        <v>1949</v>
      </c>
      <c r="E263" s="6">
        <v>3.73</v>
      </c>
      <c r="F263" s="6">
        <v>3282</v>
      </c>
      <c r="G263" s="6">
        <v>96</v>
      </c>
      <c r="H263" s="6">
        <v>0.19</v>
      </c>
      <c r="I263" s="6">
        <v>2</v>
      </c>
      <c r="J263" s="6">
        <v>3</v>
      </c>
      <c r="K263" s="6">
        <v>3</v>
      </c>
      <c r="L263" s="6">
        <v>1</v>
      </c>
      <c r="M263" s="6">
        <v>3</v>
      </c>
      <c r="N263" s="6">
        <v>4</v>
      </c>
      <c r="O263" s="6">
        <v>2</v>
      </c>
      <c r="P263" s="6">
        <v>0</v>
      </c>
      <c r="Q263" s="6">
        <v>2</v>
      </c>
      <c r="R263" s="6">
        <v>1</v>
      </c>
      <c r="S263" s="6">
        <v>0</v>
      </c>
      <c r="T263" s="6">
        <v>3</v>
      </c>
      <c r="U263" s="6">
        <v>1</v>
      </c>
      <c r="V263" s="6">
        <v>1</v>
      </c>
      <c r="W263" s="6">
        <v>0</v>
      </c>
      <c r="X263" s="6">
        <v>2</v>
      </c>
    </row>
    <row r="264" spans="1:24" ht="15.75" hidden="1" customHeight="1" x14ac:dyDescent="0.2">
      <c r="A264" s="6" t="s">
        <v>1149</v>
      </c>
      <c r="B264" s="6" t="s">
        <v>403</v>
      </c>
      <c r="C264" s="6">
        <v>22307</v>
      </c>
      <c r="D264" s="6">
        <v>1960</v>
      </c>
      <c r="E264" s="6">
        <v>3.51</v>
      </c>
      <c r="F264" s="6">
        <v>533</v>
      </c>
      <c r="G264" s="6">
        <v>96</v>
      </c>
      <c r="H264" s="6">
        <v>0.19</v>
      </c>
      <c r="I264" s="6">
        <v>2</v>
      </c>
      <c r="J264" s="6">
        <v>3</v>
      </c>
      <c r="K264" s="6">
        <v>4</v>
      </c>
      <c r="L264" s="6">
        <v>1</v>
      </c>
      <c r="M264" s="6">
        <v>3</v>
      </c>
      <c r="N264" s="6">
        <v>2</v>
      </c>
      <c r="O264" s="6">
        <v>3</v>
      </c>
      <c r="P264" s="6">
        <v>2</v>
      </c>
      <c r="Q264" s="6">
        <v>1</v>
      </c>
      <c r="R264" s="6">
        <v>4</v>
      </c>
      <c r="S264" s="6">
        <v>1</v>
      </c>
      <c r="T264" s="6">
        <v>1</v>
      </c>
      <c r="U264" s="6">
        <v>2</v>
      </c>
      <c r="V264" s="6">
        <v>2</v>
      </c>
      <c r="W264" s="6">
        <v>4</v>
      </c>
      <c r="X264" s="6">
        <v>3</v>
      </c>
    </row>
    <row r="265" spans="1:24" ht="15.75" hidden="1" customHeight="1" x14ac:dyDescent="0.2">
      <c r="A265" s="6" t="s">
        <v>1150</v>
      </c>
      <c r="B265" s="6" t="s">
        <v>463</v>
      </c>
      <c r="C265" s="6">
        <v>38966</v>
      </c>
      <c r="D265" s="6">
        <v>1987</v>
      </c>
      <c r="E265" s="6">
        <v>3.79</v>
      </c>
      <c r="F265" s="6">
        <v>31349</v>
      </c>
      <c r="G265" s="6">
        <v>95</v>
      </c>
      <c r="H265" s="6">
        <v>0.18</v>
      </c>
      <c r="I265" s="6">
        <v>3</v>
      </c>
      <c r="J265" s="6">
        <v>4</v>
      </c>
      <c r="K265" s="6">
        <v>4</v>
      </c>
      <c r="L265" s="6">
        <v>3</v>
      </c>
      <c r="M265" s="6">
        <v>4</v>
      </c>
      <c r="N265" s="6">
        <v>2</v>
      </c>
      <c r="O265" s="6">
        <v>4</v>
      </c>
      <c r="P265" s="6">
        <v>1</v>
      </c>
      <c r="Q265" s="6">
        <v>0</v>
      </c>
      <c r="R265" s="6">
        <v>0</v>
      </c>
      <c r="S265" s="6">
        <v>2</v>
      </c>
      <c r="T265" s="6">
        <v>3</v>
      </c>
      <c r="U265" s="6">
        <v>1</v>
      </c>
      <c r="V265" s="6">
        <v>3</v>
      </c>
      <c r="W265" s="6">
        <v>4</v>
      </c>
      <c r="X265" s="6">
        <v>4</v>
      </c>
    </row>
    <row r="266" spans="1:24" ht="15.75" hidden="1" customHeight="1" x14ac:dyDescent="0.2">
      <c r="A266" s="6" t="s">
        <v>1151</v>
      </c>
      <c r="B266" s="6" t="s">
        <v>364</v>
      </c>
      <c r="C266" s="6">
        <v>62915</v>
      </c>
      <c r="D266" s="6">
        <v>1968</v>
      </c>
      <c r="E266" s="6">
        <v>4.17</v>
      </c>
      <c r="F266" s="6">
        <v>321964</v>
      </c>
      <c r="G266" s="6">
        <v>95</v>
      </c>
      <c r="H266" s="6">
        <v>0.18</v>
      </c>
      <c r="I266" s="6">
        <v>2</v>
      </c>
      <c r="J266" s="6">
        <v>3</v>
      </c>
      <c r="K266" s="6">
        <v>4</v>
      </c>
      <c r="L266" s="6">
        <v>3</v>
      </c>
      <c r="M266" s="6">
        <v>4</v>
      </c>
      <c r="N266" s="6">
        <v>1</v>
      </c>
      <c r="O266" s="6">
        <v>3</v>
      </c>
      <c r="P266" s="6">
        <v>0</v>
      </c>
      <c r="Q266" s="6">
        <v>2</v>
      </c>
      <c r="R266" s="6">
        <v>0</v>
      </c>
      <c r="S266" s="6">
        <v>1</v>
      </c>
      <c r="T266" s="6">
        <v>2</v>
      </c>
      <c r="U266" s="6">
        <v>1</v>
      </c>
      <c r="V266" s="6">
        <v>3</v>
      </c>
      <c r="W266" s="6">
        <v>1</v>
      </c>
      <c r="X266" s="6">
        <v>4</v>
      </c>
    </row>
    <row r="267" spans="1:24" ht="15.75" hidden="1" customHeight="1" x14ac:dyDescent="0.2">
      <c r="A267" s="6" t="s">
        <v>1152</v>
      </c>
      <c r="B267" s="6" t="s">
        <v>404</v>
      </c>
      <c r="C267" s="6">
        <v>86267</v>
      </c>
      <c r="D267" s="6">
        <v>2017</v>
      </c>
      <c r="E267" s="6">
        <v>4.07</v>
      </c>
      <c r="F267" s="6">
        <v>137718</v>
      </c>
      <c r="G267" s="6">
        <v>95</v>
      </c>
      <c r="H267" s="6">
        <v>0.18</v>
      </c>
      <c r="I267" s="6">
        <v>3</v>
      </c>
      <c r="J267" s="6">
        <v>4</v>
      </c>
      <c r="K267" s="6">
        <v>4</v>
      </c>
      <c r="L267" s="6">
        <v>3</v>
      </c>
      <c r="M267" s="6">
        <v>3</v>
      </c>
      <c r="N267" s="6">
        <v>2</v>
      </c>
      <c r="O267" s="6">
        <v>3</v>
      </c>
      <c r="P267" s="6">
        <v>2</v>
      </c>
      <c r="Q267" s="6">
        <v>3</v>
      </c>
      <c r="R267" s="6">
        <v>4</v>
      </c>
      <c r="S267" s="6">
        <v>1</v>
      </c>
      <c r="T267" s="6">
        <v>1</v>
      </c>
      <c r="U267" s="6">
        <v>2</v>
      </c>
      <c r="V267" s="6">
        <v>3</v>
      </c>
      <c r="W267" s="6">
        <v>3</v>
      </c>
      <c r="X267" s="6">
        <v>4</v>
      </c>
    </row>
    <row r="268" spans="1:24" ht="15.75" hidden="1" customHeight="1" x14ac:dyDescent="0.2">
      <c r="A268" s="6" t="s">
        <v>1153</v>
      </c>
      <c r="B268" s="6" t="s">
        <v>379</v>
      </c>
      <c r="C268" s="6">
        <v>32662</v>
      </c>
      <c r="D268" s="6">
        <v>1961</v>
      </c>
      <c r="E268" s="6">
        <v>4.17</v>
      </c>
      <c r="F268" s="6">
        <v>12</v>
      </c>
      <c r="G268" s="6">
        <v>94</v>
      </c>
      <c r="H268" s="6">
        <v>0.18</v>
      </c>
      <c r="I268" s="6">
        <v>3</v>
      </c>
      <c r="J268" s="6">
        <v>4</v>
      </c>
      <c r="K268" s="6">
        <v>4</v>
      </c>
      <c r="L268" s="6">
        <v>3</v>
      </c>
      <c r="M268" s="6">
        <v>4</v>
      </c>
      <c r="N268" s="6">
        <v>2</v>
      </c>
      <c r="O268" s="6">
        <v>4</v>
      </c>
      <c r="P268" s="6">
        <v>1</v>
      </c>
      <c r="Q268" s="6">
        <v>3</v>
      </c>
      <c r="R268" s="6">
        <v>2</v>
      </c>
      <c r="S268" s="6">
        <v>3</v>
      </c>
      <c r="T268" s="6">
        <v>4</v>
      </c>
      <c r="U268" s="6">
        <v>1</v>
      </c>
      <c r="V268" s="6">
        <v>3</v>
      </c>
      <c r="W268" s="6">
        <v>1</v>
      </c>
      <c r="X268" s="6">
        <v>4</v>
      </c>
    </row>
    <row r="269" spans="1:24" ht="15.75" hidden="1" customHeight="1" x14ac:dyDescent="0.2">
      <c r="A269" s="6" t="s">
        <v>1154</v>
      </c>
      <c r="B269" s="6" t="s">
        <v>475</v>
      </c>
      <c r="C269" s="6">
        <v>22170</v>
      </c>
      <c r="D269" s="6">
        <v>2005</v>
      </c>
      <c r="E269" s="6">
        <v>3.87</v>
      </c>
      <c r="F269" s="6">
        <v>11306</v>
      </c>
      <c r="G269" s="6">
        <v>94</v>
      </c>
      <c r="H269" s="6">
        <v>0.18</v>
      </c>
      <c r="I269" s="6">
        <v>3</v>
      </c>
      <c r="J269" s="6">
        <v>4</v>
      </c>
      <c r="K269" s="6">
        <v>4</v>
      </c>
      <c r="L269" s="6">
        <v>3</v>
      </c>
      <c r="M269" s="6">
        <v>3</v>
      </c>
      <c r="N269" s="6">
        <v>2</v>
      </c>
      <c r="O269" s="6">
        <v>2</v>
      </c>
      <c r="P269" s="6">
        <v>0</v>
      </c>
      <c r="Q269" s="6">
        <v>1</v>
      </c>
      <c r="R269" s="6">
        <v>0</v>
      </c>
      <c r="S269" s="6">
        <v>2</v>
      </c>
      <c r="T269" s="6">
        <v>1</v>
      </c>
      <c r="U269" s="6">
        <v>2</v>
      </c>
      <c r="V269" s="6">
        <v>3</v>
      </c>
      <c r="W269" s="6">
        <v>0</v>
      </c>
      <c r="X269" s="6">
        <v>4</v>
      </c>
    </row>
    <row r="270" spans="1:24" ht="15.75" hidden="1" customHeight="1" x14ac:dyDescent="0.2">
      <c r="A270" s="6" t="s">
        <v>1155</v>
      </c>
      <c r="B270" s="6" t="s">
        <v>468</v>
      </c>
      <c r="C270" s="6">
        <v>38649</v>
      </c>
      <c r="D270" s="6">
        <v>1976</v>
      </c>
      <c r="E270" s="6">
        <v>3.61</v>
      </c>
      <c r="F270" s="6">
        <v>265</v>
      </c>
      <c r="G270" s="6">
        <v>94</v>
      </c>
      <c r="H270" s="6">
        <v>0.18</v>
      </c>
      <c r="I270" s="6">
        <v>2</v>
      </c>
      <c r="J270" s="6">
        <v>3</v>
      </c>
      <c r="K270" s="6">
        <v>4</v>
      </c>
      <c r="L270" s="6">
        <v>1</v>
      </c>
      <c r="M270" s="6">
        <v>4</v>
      </c>
      <c r="N270" s="6">
        <v>2</v>
      </c>
      <c r="O270" s="6">
        <v>3</v>
      </c>
      <c r="P270" s="6">
        <v>1</v>
      </c>
      <c r="Q270" s="6">
        <v>0</v>
      </c>
      <c r="R270" s="6">
        <v>2</v>
      </c>
      <c r="S270" s="6">
        <v>3</v>
      </c>
      <c r="T270" s="6">
        <v>2</v>
      </c>
      <c r="U270" s="6">
        <v>0</v>
      </c>
      <c r="V270" s="6">
        <v>1</v>
      </c>
      <c r="W270" s="6">
        <v>4</v>
      </c>
      <c r="X270" s="6">
        <v>4</v>
      </c>
    </row>
    <row r="271" spans="1:24" ht="15.75" hidden="1" customHeight="1" x14ac:dyDescent="0.2">
      <c r="A271" s="6" t="s">
        <v>1156</v>
      </c>
      <c r="B271" s="6" t="s">
        <v>440</v>
      </c>
      <c r="C271" s="6">
        <v>39397</v>
      </c>
      <c r="D271" s="6">
        <v>2005</v>
      </c>
      <c r="E271" s="6">
        <v>3.41</v>
      </c>
      <c r="F271" s="6">
        <v>300</v>
      </c>
      <c r="G271" s="6">
        <v>94</v>
      </c>
      <c r="H271" s="6">
        <v>0.18</v>
      </c>
      <c r="I271" s="6">
        <v>3</v>
      </c>
      <c r="J271" s="6">
        <v>4</v>
      </c>
      <c r="K271" s="6">
        <v>4</v>
      </c>
      <c r="L271" s="6">
        <v>3</v>
      </c>
      <c r="M271" s="6">
        <v>4</v>
      </c>
      <c r="N271" s="6">
        <v>2</v>
      </c>
      <c r="O271" s="6">
        <v>3</v>
      </c>
      <c r="P271" s="6">
        <v>1</v>
      </c>
      <c r="Q271" s="6">
        <v>2</v>
      </c>
      <c r="R271" s="6">
        <v>1</v>
      </c>
      <c r="S271" s="6">
        <v>2</v>
      </c>
      <c r="T271" s="6">
        <v>4</v>
      </c>
      <c r="U271" s="6">
        <v>2</v>
      </c>
      <c r="V271" s="6">
        <v>3</v>
      </c>
      <c r="W271" s="6">
        <v>1</v>
      </c>
      <c r="X271" s="6">
        <v>4</v>
      </c>
    </row>
    <row r="272" spans="1:24" ht="15.75" customHeight="1" x14ac:dyDescent="0.2">
      <c r="A272" s="6" t="s">
        <v>1157</v>
      </c>
      <c r="B272" s="6" t="s">
        <v>37</v>
      </c>
      <c r="C272" s="6">
        <v>52170</v>
      </c>
      <c r="D272" s="6">
        <v>2012</v>
      </c>
      <c r="E272" s="6">
        <v>4.12</v>
      </c>
      <c r="F272" s="6">
        <v>6545</v>
      </c>
      <c r="G272" s="6">
        <v>94</v>
      </c>
      <c r="H272" s="6">
        <v>0.18</v>
      </c>
      <c r="I272" s="6">
        <v>3</v>
      </c>
      <c r="J272" s="6">
        <v>4</v>
      </c>
      <c r="K272" s="6">
        <v>4</v>
      </c>
      <c r="L272" s="6">
        <v>3</v>
      </c>
      <c r="M272" s="6">
        <v>4</v>
      </c>
      <c r="N272" s="6">
        <v>2</v>
      </c>
      <c r="O272" s="6">
        <v>3</v>
      </c>
      <c r="P272" s="6">
        <v>1</v>
      </c>
      <c r="Q272" s="6">
        <v>2</v>
      </c>
      <c r="R272" s="6">
        <v>4</v>
      </c>
      <c r="S272" s="6">
        <v>0</v>
      </c>
      <c r="T272" s="6">
        <v>1</v>
      </c>
      <c r="U272" s="6">
        <v>2</v>
      </c>
      <c r="V272" s="6">
        <v>3</v>
      </c>
      <c r="W272" s="6">
        <v>4</v>
      </c>
      <c r="X272" s="6">
        <v>4</v>
      </c>
    </row>
    <row r="273" spans="1:24" ht="15.75" customHeight="1" x14ac:dyDescent="0.2">
      <c r="A273" s="6" t="s">
        <v>1158</v>
      </c>
      <c r="B273" s="6" t="s">
        <v>50</v>
      </c>
      <c r="C273" s="6">
        <v>17662</v>
      </c>
      <c r="D273" s="6">
        <v>2016</v>
      </c>
      <c r="E273" s="6">
        <v>3.62</v>
      </c>
      <c r="F273" s="6">
        <v>4601</v>
      </c>
      <c r="G273" s="6">
        <v>93</v>
      </c>
      <c r="H273" s="6">
        <v>0.18</v>
      </c>
      <c r="I273" s="6">
        <v>3</v>
      </c>
      <c r="J273" s="6">
        <v>4</v>
      </c>
      <c r="K273" s="6">
        <v>4</v>
      </c>
      <c r="L273" s="6">
        <v>2</v>
      </c>
      <c r="M273" s="6">
        <v>3</v>
      </c>
      <c r="N273" s="6">
        <v>1</v>
      </c>
      <c r="O273" s="6">
        <v>3</v>
      </c>
      <c r="P273" s="6">
        <v>0</v>
      </c>
      <c r="Q273" s="6">
        <v>4</v>
      </c>
      <c r="R273" s="6">
        <v>0</v>
      </c>
      <c r="S273" s="6">
        <v>1</v>
      </c>
      <c r="T273" s="6">
        <v>2</v>
      </c>
      <c r="U273" s="6">
        <v>1</v>
      </c>
      <c r="V273" s="6">
        <v>2</v>
      </c>
      <c r="W273" s="6">
        <v>0</v>
      </c>
      <c r="X273" s="6">
        <v>3</v>
      </c>
    </row>
    <row r="274" spans="1:24" ht="15.75" hidden="1" customHeight="1" x14ac:dyDescent="0.2">
      <c r="A274" s="6" t="s">
        <v>1159</v>
      </c>
      <c r="B274" s="6" t="s">
        <v>44</v>
      </c>
      <c r="C274" s="6">
        <v>41300</v>
      </c>
      <c r="D274" s="6">
        <v>2019</v>
      </c>
      <c r="E274" s="6">
        <v>4.16</v>
      </c>
      <c r="F274" s="6">
        <v>34948</v>
      </c>
      <c r="G274" s="6">
        <v>93</v>
      </c>
      <c r="H274" s="6">
        <v>0.18</v>
      </c>
      <c r="I274" s="6">
        <v>3</v>
      </c>
      <c r="J274" s="6">
        <v>4</v>
      </c>
      <c r="K274" s="6">
        <v>4</v>
      </c>
      <c r="L274" s="6">
        <v>3</v>
      </c>
      <c r="M274" s="6">
        <v>4</v>
      </c>
      <c r="N274" s="6">
        <v>2</v>
      </c>
      <c r="O274" s="6">
        <v>4</v>
      </c>
      <c r="P274" s="6">
        <v>1</v>
      </c>
      <c r="Q274" s="6">
        <v>2</v>
      </c>
      <c r="R274" s="6">
        <v>1</v>
      </c>
      <c r="S274" s="6">
        <v>2</v>
      </c>
      <c r="T274" s="6">
        <v>3</v>
      </c>
      <c r="U274" s="6">
        <v>2</v>
      </c>
      <c r="V274" s="6">
        <v>3</v>
      </c>
      <c r="W274" s="6">
        <v>4</v>
      </c>
      <c r="X274" s="6">
        <v>4</v>
      </c>
    </row>
    <row r="275" spans="1:24" ht="15.75" hidden="1" customHeight="1" x14ac:dyDescent="0.2">
      <c r="A275" s="6" t="s">
        <v>1160</v>
      </c>
      <c r="B275" s="6" t="s">
        <v>508</v>
      </c>
      <c r="C275" s="6">
        <v>38377</v>
      </c>
      <c r="D275" s="6">
        <v>2007</v>
      </c>
      <c r="E275" s="6">
        <v>3.24</v>
      </c>
      <c r="F275" s="6">
        <v>112</v>
      </c>
      <c r="G275" s="6">
        <v>92</v>
      </c>
      <c r="H275" s="6">
        <v>0.18</v>
      </c>
      <c r="I275" s="6">
        <v>2</v>
      </c>
      <c r="J275" s="6">
        <v>3</v>
      </c>
      <c r="K275" s="6">
        <v>3</v>
      </c>
      <c r="L275" s="6">
        <v>2</v>
      </c>
      <c r="M275" s="6">
        <v>4</v>
      </c>
      <c r="N275" s="6">
        <v>1</v>
      </c>
      <c r="O275" s="6">
        <v>3</v>
      </c>
      <c r="P275" s="6">
        <v>2</v>
      </c>
      <c r="Q275" s="6">
        <v>1</v>
      </c>
      <c r="R275" s="6">
        <v>3</v>
      </c>
      <c r="S275" s="6">
        <v>1</v>
      </c>
      <c r="T275" s="6">
        <v>2</v>
      </c>
      <c r="U275" s="6">
        <v>1</v>
      </c>
      <c r="V275" s="6">
        <v>2</v>
      </c>
      <c r="W275" s="6">
        <v>3</v>
      </c>
      <c r="X275" s="6">
        <v>3</v>
      </c>
    </row>
    <row r="276" spans="1:24" ht="15.75" hidden="1" customHeight="1" x14ac:dyDescent="0.2">
      <c r="A276" s="6" t="s">
        <v>1161</v>
      </c>
      <c r="B276" s="6" t="s">
        <v>411</v>
      </c>
      <c r="C276" s="6">
        <v>36592</v>
      </c>
      <c r="D276" s="6">
        <v>2010</v>
      </c>
      <c r="E276" s="6">
        <v>4.24</v>
      </c>
      <c r="F276" s="6">
        <v>17424</v>
      </c>
      <c r="G276" s="6">
        <v>92</v>
      </c>
      <c r="H276" s="6">
        <v>0.18</v>
      </c>
      <c r="I276" s="6">
        <v>3</v>
      </c>
      <c r="J276" s="6">
        <v>4</v>
      </c>
      <c r="K276" s="6">
        <v>4</v>
      </c>
      <c r="L276" s="6">
        <v>3</v>
      </c>
      <c r="M276" s="6">
        <v>4</v>
      </c>
      <c r="N276" s="6">
        <v>2</v>
      </c>
      <c r="O276" s="6">
        <v>3</v>
      </c>
      <c r="P276" s="6">
        <v>1</v>
      </c>
      <c r="Q276" s="6">
        <v>3</v>
      </c>
      <c r="R276" s="6">
        <v>0</v>
      </c>
      <c r="S276" s="6">
        <v>2</v>
      </c>
      <c r="T276" s="6">
        <v>2</v>
      </c>
      <c r="U276" s="6">
        <v>1</v>
      </c>
      <c r="V276" s="6">
        <v>3</v>
      </c>
      <c r="W276" s="6">
        <v>0</v>
      </c>
      <c r="X276" s="6">
        <v>4</v>
      </c>
    </row>
    <row r="277" spans="1:24" ht="15.75" hidden="1" customHeight="1" x14ac:dyDescent="0.2">
      <c r="A277" s="6" t="s">
        <v>1162</v>
      </c>
      <c r="B277" s="6" t="s">
        <v>411</v>
      </c>
      <c r="C277" s="6">
        <v>36678</v>
      </c>
      <c r="D277" s="6">
        <v>2003</v>
      </c>
      <c r="E277" s="6">
        <v>4.1100000000000003</v>
      </c>
      <c r="F277" s="6">
        <v>17344</v>
      </c>
      <c r="G277" s="6">
        <v>91</v>
      </c>
      <c r="H277" s="6">
        <v>0.18</v>
      </c>
      <c r="I277" s="6">
        <v>3</v>
      </c>
      <c r="J277" s="6">
        <v>4</v>
      </c>
      <c r="K277" s="6">
        <v>4</v>
      </c>
      <c r="L277" s="6">
        <v>2</v>
      </c>
      <c r="M277" s="6">
        <v>3</v>
      </c>
      <c r="N277" s="6">
        <v>3</v>
      </c>
      <c r="O277" s="6">
        <v>3</v>
      </c>
      <c r="P277" s="6">
        <v>2</v>
      </c>
      <c r="Q277" s="6">
        <v>1</v>
      </c>
      <c r="R277" s="6">
        <v>3</v>
      </c>
      <c r="S277" s="6">
        <v>1</v>
      </c>
      <c r="T277" s="6">
        <v>1</v>
      </c>
      <c r="U277" s="6">
        <v>2</v>
      </c>
      <c r="V277" s="6">
        <v>2</v>
      </c>
      <c r="W277" s="6">
        <v>3</v>
      </c>
      <c r="X277" s="6">
        <v>4</v>
      </c>
    </row>
    <row r="278" spans="1:24" ht="15.75" hidden="1" customHeight="1" x14ac:dyDescent="0.2">
      <c r="A278" s="6" t="s">
        <v>1163</v>
      </c>
      <c r="B278" s="6" t="s">
        <v>44</v>
      </c>
      <c r="C278" s="6">
        <v>38884</v>
      </c>
      <c r="D278" s="6">
        <v>2018</v>
      </c>
      <c r="E278" s="6">
        <v>3.85</v>
      </c>
      <c r="F278" s="6">
        <v>43664</v>
      </c>
      <c r="G278" s="6">
        <v>91</v>
      </c>
      <c r="H278" s="6">
        <v>0.18</v>
      </c>
      <c r="I278" s="6">
        <v>3</v>
      </c>
      <c r="J278" s="6">
        <v>4</v>
      </c>
      <c r="K278" s="6">
        <v>4</v>
      </c>
      <c r="L278" s="6">
        <v>3</v>
      </c>
      <c r="M278" s="6">
        <v>4</v>
      </c>
      <c r="N278" s="6">
        <v>2</v>
      </c>
      <c r="O278" s="6">
        <v>3</v>
      </c>
      <c r="P278" s="6">
        <v>1</v>
      </c>
      <c r="Q278" s="6">
        <v>2</v>
      </c>
      <c r="R278" s="6">
        <v>1</v>
      </c>
      <c r="S278" s="6">
        <v>2</v>
      </c>
      <c r="T278" s="6">
        <v>1</v>
      </c>
      <c r="U278" s="6">
        <v>2</v>
      </c>
      <c r="V278" s="6">
        <v>3</v>
      </c>
      <c r="W278" s="6">
        <v>4</v>
      </c>
      <c r="X278" s="6">
        <v>3</v>
      </c>
    </row>
    <row r="279" spans="1:24" ht="15.75" hidden="1" customHeight="1" x14ac:dyDescent="0.2">
      <c r="A279" s="6" t="s">
        <v>1164</v>
      </c>
      <c r="B279" s="6" t="s">
        <v>504</v>
      </c>
      <c r="C279" s="6">
        <v>20620</v>
      </c>
      <c r="D279" s="6">
        <v>1880</v>
      </c>
      <c r="E279" s="6">
        <v>3.27</v>
      </c>
      <c r="F279" s="6">
        <v>415</v>
      </c>
      <c r="G279" s="6">
        <v>90</v>
      </c>
      <c r="H279" s="6">
        <v>0.17</v>
      </c>
      <c r="I279" s="6">
        <v>2</v>
      </c>
      <c r="J279" s="6">
        <v>3</v>
      </c>
      <c r="K279" s="6">
        <v>4</v>
      </c>
      <c r="L279" s="6">
        <v>2</v>
      </c>
      <c r="M279" s="6">
        <v>3</v>
      </c>
      <c r="N279" s="6">
        <v>1</v>
      </c>
      <c r="O279" s="6">
        <v>3</v>
      </c>
      <c r="P279" s="6">
        <v>0</v>
      </c>
      <c r="Q279" s="6">
        <v>2</v>
      </c>
      <c r="R279" s="6">
        <v>4</v>
      </c>
      <c r="S279" s="6">
        <v>0</v>
      </c>
      <c r="T279" s="6">
        <v>3</v>
      </c>
      <c r="U279" s="6">
        <v>1</v>
      </c>
      <c r="V279" s="6">
        <v>2</v>
      </c>
      <c r="W279" s="6">
        <v>3</v>
      </c>
      <c r="X279" s="6">
        <v>3</v>
      </c>
    </row>
    <row r="280" spans="1:24" ht="15.75" hidden="1" customHeight="1" x14ac:dyDescent="0.2">
      <c r="A280" s="6" t="s">
        <v>1165</v>
      </c>
      <c r="B280" s="6" t="s">
        <v>411</v>
      </c>
      <c r="C280" s="6">
        <v>36263</v>
      </c>
      <c r="D280" s="6">
        <v>1998</v>
      </c>
      <c r="E280" s="6">
        <v>4.28</v>
      </c>
      <c r="F280" s="6">
        <v>25310</v>
      </c>
      <c r="G280" s="6">
        <v>90</v>
      </c>
      <c r="H280" s="6">
        <v>0.17</v>
      </c>
      <c r="I280" s="6">
        <v>3</v>
      </c>
      <c r="J280" s="6">
        <v>4</v>
      </c>
      <c r="K280" s="6">
        <v>4</v>
      </c>
      <c r="L280" s="6">
        <v>3</v>
      </c>
      <c r="M280" s="6">
        <v>4</v>
      </c>
      <c r="N280" s="6">
        <v>2</v>
      </c>
      <c r="O280" s="6">
        <v>3</v>
      </c>
      <c r="P280" s="6">
        <v>1</v>
      </c>
      <c r="Q280" s="6">
        <v>2</v>
      </c>
      <c r="R280" s="6">
        <v>3</v>
      </c>
      <c r="S280" s="6">
        <v>1</v>
      </c>
      <c r="T280" s="6">
        <v>2</v>
      </c>
      <c r="U280" s="6">
        <v>2</v>
      </c>
      <c r="V280" s="6">
        <v>3</v>
      </c>
      <c r="W280" s="6">
        <v>2</v>
      </c>
      <c r="X280" s="6">
        <v>4</v>
      </c>
    </row>
    <row r="281" spans="1:24" ht="15.75" hidden="1" customHeight="1" x14ac:dyDescent="0.2">
      <c r="A281" s="6" t="s">
        <v>1166</v>
      </c>
      <c r="B281" s="6" t="s">
        <v>536</v>
      </c>
      <c r="C281" s="6">
        <v>20076</v>
      </c>
      <c r="D281" s="6">
        <v>2020</v>
      </c>
      <c r="E281" s="6">
        <v>3.68</v>
      </c>
      <c r="F281" s="6">
        <v>402</v>
      </c>
      <c r="G281" s="6">
        <v>90</v>
      </c>
      <c r="H281" s="6">
        <v>0.17</v>
      </c>
      <c r="I281" s="6">
        <v>2</v>
      </c>
      <c r="J281" s="6">
        <v>3</v>
      </c>
      <c r="K281" s="6">
        <v>4</v>
      </c>
      <c r="L281" s="6">
        <v>1</v>
      </c>
      <c r="M281" s="6">
        <v>3</v>
      </c>
      <c r="N281" s="6">
        <v>2</v>
      </c>
      <c r="O281" s="6">
        <v>3</v>
      </c>
      <c r="P281" s="6">
        <v>0</v>
      </c>
      <c r="Q281" s="6">
        <v>3</v>
      </c>
      <c r="R281" s="6">
        <v>1</v>
      </c>
      <c r="S281" s="6">
        <v>0</v>
      </c>
      <c r="T281" s="6">
        <v>4</v>
      </c>
      <c r="U281" s="6">
        <v>0</v>
      </c>
      <c r="V281" s="6">
        <v>1</v>
      </c>
      <c r="W281" s="6">
        <v>2</v>
      </c>
      <c r="X281" s="6">
        <v>2</v>
      </c>
    </row>
    <row r="282" spans="1:24" ht="15.75" hidden="1" customHeight="1" x14ac:dyDescent="0.2">
      <c r="A282" s="6" t="s">
        <v>1167</v>
      </c>
      <c r="B282" s="6" t="s">
        <v>500</v>
      </c>
      <c r="C282" s="6">
        <v>89670</v>
      </c>
      <c r="D282" s="6">
        <v>1981</v>
      </c>
      <c r="E282" s="6">
        <v>3.6</v>
      </c>
      <c r="F282" s="6">
        <v>40445</v>
      </c>
      <c r="G282" s="6">
        <v>90</v>
      </c>
      <c r="H282" s="6">
        <v>0.17</v>
      </c>
      <c r="I282" s="6">
        <v>3</v>
      </c>
      <c r="J282" s="6">
        <v>4</v>
      </c>
      <c r="K282" s="6">
        <v>4</v>
      </c>
      <c r="L282" s="6">
        <v>2</v>
      </c>
      <c r="M282" s="6">
        <v>3</v>
      </c>
      <c r="N282" s="6">
        <v>1</v>
      </c>
      <c r="O282" s="6">
        <v>4</v>
      </c>
      <c r="P282" s="6">
        <v>0</v>
      </c>
      <c r="Q282" s="6">
        <v>1</v>
      </c>
      <c r="R282" s="6">
        <v>0</v>
      </c>
      <c r="S282" s="6">
        <v>2</v>
      </c>
      <c r="T282" s="6">
        <v>4</v>
      </c>
      <c r="U282" s="6">
        <v>1</v>
      </c>
      <c r="V282" s="6">
        <v>2</v>
      </c>
      <c r="W282" s="6">
        <v>0</v>
      </c>
      <c r="X282" s="6">
        <v>3</v>
      </c>
    </row>
    <row r="283" spans="1:24" ht="15.75" hidden="1" customHeight="1" x14ac:dyDescent="0.2">
      <c r="A283" s="6" t="s">
        <v>1168</v>
      </c>
      <c r="B283" s="6" t="s">
        <v>385</v>
      </c>
      <c r="C283" s="6">
        <v>24015</v>
      </c>
      <c r="D283" s="6">
        <v>2005</v>
      </c>
      <c r="E283" s="6">
        <v>3.72</v>
      </c>
      <c r="F283" s="6">
        <v>1986</v>
      </c>
      <c r="G283" s="6">
        <v>90</v>
      </c>
      <c r="H283" s="6">
        <v>0.17</v>
      </c>
      <c r="I283" s="6">
        <v>2</v>
      </c>
      <c r="J283" s="6">
        <v>3</v>
      </c>
      <c r="K283" s="6">
        <v>3</v>
      </c>
      <c r="L283" s="6">
        <v>1</v>
      </c>
      <c r="M283" s="6">
        <v>3</v>
      </c>
      <c r="N283" s="6">
        <v>2</v>
      </c>
      <c r="O283" s="6">
        <v>2</v>
      </c>
      <c r="P283" s="6">
        <v>1</v>
      </c>
      <c r="Q283" s="6">
        <v>4</v>
      </c>
      <c r="R283" s="6">
        <v>2</v>
      </c>
      <c r="S283" s="6">
        <v>3</v>
      </c>
      <c r="T283" s="6">
        <v>1</v>
      </c>
      <c r="U283" s="6">
        <v>1</v>
      </c>
      <c r="V283" s="6">
        <v>1</v>
      </c>
      <c r="W283" s="6">
        <v>3</v>
      </c>
      <c r="X283" s="6">
        <v>3</v>
      </c>
    </row>
    <row r="284" spans="1:24" ht="15.75" hidden="1" customHeight="1" x14ac:dyDescent="0.2">
      <c r="A284" s="6" t="s">
        <v>1169</v>
      </c>
      <c r="B284" s="6" t="s">
        <v>378</v>
      </c>
      <c r="C284" s="6">
        <v>75464</v>
      </c>
      <c r="D284" s="6">
        <v>1919</v>
      </c>
      <c r="E284" s="6">
        <v>3.61</v>
      </c>
      <c r="F284" s="6">
        <v>5760</v>
      </c>
      <c r="G284" s="6">
        <v>90</v>
      </c>
      <c r="H284" s="6">
        <v>0.17</v>
      </c>
      <c r="I284" s="6">
        <v>2</v>
      </c>
      <c r="J284" s="6">
        <v>3</v>
      </c>
      <c r="K284" s="6">
        <v>3</v>
      </c>
      <c r="L284" s="6">
        <v>1</v>
      </c>
      <c r="M284" s="6">
        <v>2</v>
      </c>
      <c r="N284" s="6">
        <v>3</v>
      </c>
      <c r="O284" s="6">
        <v>2</v>
      </c>
      <c r="P284" s="6">
        <v>2</v>
      </c>
      <c r="Q284" s="6">
        <v>4</v>
      </c>
      <c r="R284" s="6">
        <v>2</v>
      </c>
      <c r="S284" s="6">
        <v>1</v>
      </c>
      <c r="T284" s="6">
        <v>0</v>
      </c>
      <c r="U284" s="6">
        <v>1</v>
      </c>
      <c r="V284" s="6">
        <v>1</v>
      </c>
      <c r="W284" s="6">
        <v>2</v>
      </c>
      <c r="X284" s="6">
        <v>2</v>
      </c>
    </row>
    <row r="285" spans="1:24" ht="15.75" hidden="1" customHeight="1" x14ac:dyDescent="0.2">
      <c r="A285" s="6" t="s">
        <v>1170</v>
      </c>
      <c r="B285" s="6" t="s">
        <v>471</v>
      </c>
      <c r="C285" s="6">
        <v>29689</v>
      </c>
      <c r="D285" s="6">
        <v>2005</v>
      </c>
      <c r="E285" s="6">
        <v>3.71</v>
      </c>
      <c r="F285" s="6">
        <v>78023</v>
      </c>
      <c r="G285" s="6">
        <v>90</v>
      </c>
      <c r="H285" s="6">
        <v>0.17</v>
      </c>
      <c r="I285" s="6">
        <v>3</v>
      </c>
      <c r="J285" s="6">
        <v>4</v>
      </c>
      <c r="K285" s="6">
        <v>4</v>
      </c>
      <c r="L285" s="6">
        <v>3</v>
      </c>
      <c r="M285" s="6">
        <v>4</v>
      </c>
      <c r="N285" s="6">
        <v>2</v>
      </c>
      <c r="O285" s="6">
        <v>3</v>
      </c>
      <c r="P285" s="6">
        <v>1</v>
      </c>
      <c r="Q285" s="6">
        <v>2</v>
      </c>
      <c r="R285" s="6">
        <v>2</v>
      </c>
      <c r="S285" s="6">
        <v>3</v>
      </c>
      <c r="T285" s="6">
        <v>3</v>
      </c>
      <c r="U285" s="6">
        <v>1</v>
      </c>
      <c r="V285" s="6">
        <v>3</v>
      </c>
      <c r="W285" s="6">
        <v>4</v>
      </c>
      <c r="X285" s="6">
        <v>3</v>
      </c>
    </row>
    <row r="286" spans="1:24" ht="15.75" hidden="1" customHeight="1" x14ac:dyDescent="0.2">
      <c r="A286" s="6" t="s">
        <v>1171</v>
      </c>
      <c r="B286" s="6" t="s">
        <v>540</v>
      </c>
      <c r="C286" s="6">
        <v>75271</v>
      </c>
      <c r="D286" s="6">
        <v>1932</v>
      </c>
      <c r="E286" s="6">
        <v>3.81</v>
      </c>
      <c r="F286" s="6">
        <v>1842</v>
      </c>
      <c r="G286" s="6">
        <v>89</v>
      </c>
      <c r="H286" s="6">
        <v>0.17</v>
      </c>
      <c r="I286" s="6">
        <v>2</v>
      </c>
      <c r="J286" s="6">
        <v>3</v>
      </c>
      <c r="K286" s="6">
        <v>4</v>
      </c>
      <c r="L286" s="6">
        <v>1</v>
      </c>
      <c r="M286" s="6">
        <v>4</v>
      </c>
      <c r="N286" s="6">
        <v>2</v>
      </c>
      <c r="O286" s="6">
        <v>3</v>
      </c>
      <c r="P286" s="6">
        <v>0</v>
      </c>
      <c r="Q286" s="6">
        <v>2</v>
      </c>
      <c r="R286" s="6">
        <v>1</v>
      </c>
      <c r="S286" s="6">
        <v>2</v>
      </c>
      <c r="T286" s="6">
        <v>4</v>
      </c>
      <c r="U286" s="6">
        <v>1</v>
      </c>
      <c r="V286" s="6">
        <v>2</v>
      </c>
      <c r="W286" s="6">
        <v>3</v>
      </c>
      <c r="X286" s="6">
        <v>3</v>
      </c>
    </row>
    <row r="287" spans="1:24" ht="15.75" hidden="1" customHeight="1" x14ac:dyDescent="0.2">
      <c r="A287" s="6" t="s">
        <v>1172</v>
      </c>
      <c r="B287" s="6" t="s">
        <v>509</v>
      </c>
      <c r="C287" s="6">
        <v>15989</v>
      </c>
      <c r="D287" s="6">
        <v>2015</v>
      </c>
      <c r="E287" s="6">
        <v>4</v>
      </c>
      <c r="F287" s="6">
        <v>2793</v>
      </c>
      <c r="G287" s="6">
        <v>89</v>
      </c>
      <c r="H287" s="6">
        <v>0.17</v>
      </c>
      <c r="I287" s="6">
        <v>1</v>
      </c>
      <c r="J287" s="6">
        <v>2</v>
      </c>
      <c r="K287" s="6">
        <v>3</v>
      </c>
      <c r="L287" s="6">
        <v>2</v>
      </c>
      <c r="M287" s="6">
        <v>4</v>
      </c>
      <c r="N287" s="6">
        <v>1</v>
      </c>
      <c r="O287" s="6">
        <v>3</v>
      </c>
      <c r="P287" s="6">
        <v>0</v>
      </c>
      <c r="Q287" s="6">
        <v>0</v>
      </c>
      <c r="R287" s="6">
        <v>0</v>
      </c>
      <c r="S287" s="6">
        <v>1</v>
      </c>
      <c r="T287" s="6">
        <v>0</v>
      </c>
      <c r="U287" s="6">
        <v>1</v>
      </c>
      <c r="V287" s="6">
        <v>2</v>
      </c>
      <c r="W287" s="6">
        <v>4</v>
      </c>
      <c r="X287" s="6">
        <v>3</v>
      </c>
    </row>
    <row r="288" spans="1:24" ht="15.75" hidden="1" customHeight="1" x14ac:dyDescent="0.2">
      <c r="A288" s="6" t="s">
        <v>1173</v>
      </c>
      <c r="B288" s="6" t="s">
        <v>450</v>
      </c>
      <c r="C288" s="6">
        <v>48952</v>
      </c>
      <c r="D288" s="6">
        <v>2013</v>
      </c>
      <c r="E288" s="6">
        <v>3.8</v>
      </c>
      <c r="F288" s="6">
        <v>1979</v>
      </c>
      <c r="G288" s="6">
        <v>88</v>
      </c>
      <c r="H288" s="6">
        <v>0.17</v>
      </c>
      <c r="I288" s="6">
        <v>2</v>
      </c>
      <c r="J288" s="6">
        <v>3</v>
      </c>
      <c r="K288" s="6">
        <v>3</v>
      </c>
      <c r="L288" s="6">
        <v>2</v>
      </c>
      <c r="M288" s="6">
        <v>4</v>
      </c>
      <c r="N288" s="6">
        <v>1</v>
      </c>
      <c r="O288" s="6">
        <v>4</v>
      </c>
      <c r="P288" s="6">
        <v>0</v>
      </c>
      <c r="Q288" s="6">
        <v>2</v>
      </c>
      <c r="R288" s="6">
        <v>2</v>
      </c>
      <c r="S288" s="6">
        <v>1</v>
      </c>
      <c r="T288" s="6">
        <v>3</v>
      </c>
      <c r="U288" s="6">
        <v>1</v>
      </c>
      <c r="V288" s="6">
        <v>3</v>
      </c>
      <c r="W288" s="6">
        <v>0</v>
      </c>
      <c r="X288" s="6">
        <v>4</v>
      </c>
    </row>
    <row r="289" spans="1:24" ht="15.75" hidden="1" customHeight="1" x14ac:dyDescent="0.2">
      <c r="A289" s="6" t="s">
        <v>1174</v>
      </c>
      <c r="B289" s="6" t="s">
        <v>500</v>
      </c>
      <c r="C289" s="6">
        <v>66339</v>
      </c>
      <c r="D289" s="6">
        <v>1982</v>
      </c>
      <c r="E289" s="6">
        <v>3.9</v>
      </c>
      <c r="F289" s="6">
        <v>140188</v>
      </c>
      <c r="G289" s="6">
        <v>87</v>
      </c>
      <c r="H289" s="6">
        <v>0.17</v>
      </c>
      <c r="I289" s="6">
        <v>3</v>
      </c>
      <c r="J289" s="6">
        <v>4</v>
      </c>
      <c r="K289" s="6">
        <v>4</v>
      </c>
      <c r="L289" s="6">
        <v>3</v>
      </c>
      <c r="M289" s="6">
        <v>4</v>
      </c>
      <c r="N289" s="6">
        <v>2</v>
      </c>
      <c r="O289" s="6">
        <v>4</v>
      </c>
      <c r="P289" s="6">
        <v>0</v>
      </c>
      <c r="Q289" s="6">
        <v>1</v>
      </c>
      <c r="R289" s="6">
        <v>0</v>
      </c>
      <c r="S289" s="6">
        <v>3</v>
      </c>
      <c r="T289" s="6">
        <v>4</v>
      </c>
      <c r="U289" s="6">
        <v>1</v>
      </c>
      <c r="V289" s="6">
        <v>3</v>
      </c>
      <c r="W289" s="6">
        <v>0</v>
      </c>
      <c r="X289" s="6">
        <v>4</v>
      </c>
    </row>
    <row r="290" spans="1:24" ht="15.75" hidden="1" customHeight="1" x14ac:dyDescent="0.2">
      <c r="A290" s="6" t="s">
        <v>1175</v>
      </c>
      <c r="B290" s="6" t="s">
        <v>474</v>
      </c>
      <c r="C290" s="6">
        <v>35770</v>
      </c>
      <c r="D290" s="6">
        <v>2018</v>
      </c>
      <c r="E290" s="6">
        <v>4.38</v>
      </c>
      <c r="F290" s="6">
        <v>115457</v>
      </c>
      <c r="G290" s="6">
        <v>87</v>
      </c>
      <c r="H290" s="6">
        <v>0.17</v>
      </c>
      <c r="I290" s="6">
        <v>2</v>
      </c>
      <c r="J290" s="6">
        <v>3</v>
      </c>
      <c r="K290" s="6">
        <v>4</v>
      </c>
      <c r="L290" s="6">
        <v>2</v>
      </c>
      <c r="M290" s="6">
        <v>3</v>
      </c>
      <c r="N290" s="6">
        <v>2</v>
      </c>
      <c r="O290" s="6">
        <v>4</v>
      </c>
      <c r="P290" s="6">
        <v>1</v>
      </c>
      <c r="Q290" s="6">
        <v>2</v>
      </c>
      <c r="R290" s="6">
        <v>0</v>
      </c>
      <c r="S290" s="6">
        <v>2</v>
      </c>
      <c r="T290" s="6">
        <v>1</v>
      </c>
      <c r="U290" s="6">
        <v>2</v>
      </c>
      <c r="V290" s="6">
        <v>3</v>
      </c>
      <c r="W290" s="6">
        <v>3</v>
      </c>
      <c r="X290" s="6">
        <v>4</v>
      </c>
    </row>
    <row r="291" spans="1:24" ht="15.75" hidden="1" customHeight="1" x14ac:dyDescent="0.2">
      <c r="A291" s="6" t="s">
        <v>1176</v>
      </c>
      <c r="B291" s="6" t="s">
        <v>412</v>
      </c>
      <c r="C291" s="6">
        <v>25083</v>
      </c>
      <c r="D291" s="6">
        <v>1940</v>
      </c>
      <c r="E291" s="6">
        <v>3.59</v>
      </c>
      <c r="F291" s="6">
        <v>1487</v>
      </c>
      <c r="G291" s="6">
        <v>86</v>
      </c>
      <c r="H291" s="6">
        <v>0.17</v>
      </c>
      <c r="I291" s="6">
        <v>1</v>
      </c>
      <c r="J291" s="6">
        <v>2</v>
      </c>
      <c r="K291" s="6">
        <v>3</v>
      </c>
      <c r="L291" s="6">
        <v>1</v>
      </c>
      <c r="M291" s="6">
        <v>4</v>
      </c>
      <c r="N291" s="6">
        <v>2</v>
      </c>
      <c r="O291" s="6">
        <v>3</v>
      </c>
      <c r="P291" s="6">
        <v>1</v>
      </c>
      <c r="Q291" s="6">
        <v>2</v>
      </c>
      <c r="R291" s="6">
        <v>3</v>
      </c>
      <c r="S291" s="6">
        <v>2</v>
      </c>
      <c r="T291" s="6">
        <v>3</v>
      </c>
      <c r="U291" s="6">
        <v>1</v>
      </c>
      <c r="V291" s="6">
        <v>2</v>
      </c>
      <c r="W291" s="6">
        <v>4</v>
      </c>
      <c r="X291" s="6">
        <v>3</v>
      </c>
    </row>
    <row r="292" spans="1:24" ht="15.75" hidden="1" customHeight="1" x14ac:dyDescent="0.2">
      <c r="A292" s="6" t="s">
        <v>1177</v>
      </c>
      <c r="B292" s="6" t="s">
        <v>424</v>
      </c>
      <c r="C292" s="6">
        <v>31986</v>
      </c>
      <c r="D292" s="6">
        <v>2019</v>
      </c>
      <c r="E292" s="6">
        <v>3.64</v>
      </c>
      <c r="F292" s="6">
        <v>364</v>
      </c>
      <c r="G292" s="6">
        <v>86</v>
      </c>
      <c r="H292" s="6">
        <v>0.17</v>
      </c>
      <c r="I292" s="6">
        <v>2</v>
      </c>
      <c r="J292" s="6">
        <v>3</v>
      </c>
      <c r="K292" s="6">
        <v>4</v>
      </c>
      <c r="L292" s="6">
        <v>3</v>
      </c>
      <c r="M292" s="6">
        <v>4</v>
      </c>
      <c r="N292" s="6">
        <v>2</v>
      </c>
      <c r="O292" s="6">
        <v>3</v>
      </c>
      <c r="P292" s="6">
        <v>1</v>
      </c>
      <c r="Q292" s="6">
        <v>0</v>
      </c>
      <c r="R292" s="6">
        <v>1</v>
      </c>
      <c r="S292" s="6">
        <v>2</v>
      </c>
      <c r="T292" s="6">
        <v>1</v>
      </c>
      <c r="U292" s="6">
        <v>2</v>
      </c>
      <c r="V292" s="6">
        <v>3</v>
      </c>
      <c r="W292" s="6">
        <v>4</v>
      </c>
      <c r="X292" s="6">
        <v>4</v>
      </c>
    </row>
    <row r="293" spans="1:24" ht="15.75" hidden="1" customHeight="1" x14ac:dyDescent="0.2">
      <c r="A293" s="6" t="s">
        <v>1178</v>
      </c>
      <c r="B293" s="6" t="s">
        <v>422</v>
      </c>
      <c r="C293" s="6">
        <v>55820</v>
      </c>
      <c r="D293" s="6">
        <v>2002</v>
      </c>
      <c r="E293" s="6">
        <v>3.38</v>
      </c>
      <c r="F293" s="6">
        <v>1491</v>
      </c>
      <c r="G293" s="6">
        <v>85</v>
      </c>
      <c r="H293" s="6">
        <v>0.16</v>
      </c>
      <c r="I293" s="6">
        <v>3</v>
      </c>
      <c r="J293" s="6">
        <v>4</v>
      </c>
      <c r="K293" s="6">
        <v>4</v>
      </c>
      <c r="L293" s="6">
        <v>3</v>
      </c>
      <c r="M293" s="6">
        <v>4</v>
      </c>
      <c r="N293" s="6">
        <v>2</v>
      </c>
      <c r="O293" s="6">
        <v>3</v>
      </c>
      <c r="P293" s="6">
        <v>1</v>
      </c>
      <c r="Q293" s="6">
        <v>2</v>
      </c>
      <c r="R293" s="6">
        <v>0</v>
      </c>
      <c r="S293" s="6">
        <v>3</v>
      </c>
      <c r="T293" s="6">
        <v>3</v>
      </c>
      <c r="U293" s="6">
        <v>1</v>
      </c>
      <c r="V293" s="6">
        <v>3</v>
      </c>
      <c r="W293" s="6">
        <v>0</v>
      </c>
      <c r="X293" s="6">
        <v>4</v>
      </c>
    </row>
    <row r="294" spans="1:24" ht="15.75" hidden="1" customHeight="1" x14ac:dyDescent="0.2">
      <c r="A294" s="6" t="s">
        <v>1179</v>
      </c>
      <c r="B294" s="6" t="s">
        <v>512</v>
      </c>
      <c r="C294" s="6">
        <v>37638</v>
      </c>
      <c r="D294" s="6">
        <v>2017</v>
      </c>
      <c r="E294" s="6">
        <v>3.83</v>
      </c>
      <c r="F294" s="6">
        <v>3339</v>
      </c>
      <c r="G294" s="6">
        <v>85</v>
      </c>
      <c r="H294" s="6">
        <v>0.16</v>
      </c>
      <c r="I294" s="6">
        <v>3</v>
      </c>
      <c r="J294" s="6">
        <v>4</v>
      </c>
      <c r="K294" s="6">
        <v>4</v>
      </c>
      <c r="L294" s="6">
        <v>3</v>
      </c>
      <c r="M294" s="6">
        <v>4</v>
      </c>
      <c r="N294" s="6">
        <v>2</v>
      </c>
      <c r="O294" s="6">
        <v>3</v>
      </c>
      <c r="P294" s="6">
        <v>1</v>
      </c>
      <c r="Q294" s="6">
        <v>2</v>
      </c>
      <c r="R294" s="6">
        <v>2</v>
      </c>
      <c r="S294" s="6">
        <v>1</v>
      </c>
      <c r="T294" s="6">
        <v>2</v>
      </c>
      <c r="U294" s="6">
        <v>2</v>
      </c>
      <c r="V294" s="6">
        <v>3</v>
      </c>
      <c r="W294" s="6">
        <v>4</v>
      </c>
      <c r="X294" s="6">
        <v>4</v>
      </c>
    </row>
    <row r="295" spans="1:24" ht="15.75" hidden="1" customHeight="1" x14ac:dyDescent="0.2">
      <c r="A295" s="6" t="s">
        <v>1180</v>
      </c>
      <c r="B295" s="6" t="s">
        <v>472</v>
      </c>
      <c r="C295" s="6">
        <v>30129</v>
      </c>
      <c r="D295" s="6">
        <v>1976</v>
      </c>
      <c r="E295" s="6">
        <v>3.42</v>
      </c>
      <c r="F295" s="6">
        <v>9070</v>
      </c>
      <c r="G295" s="6">
        <v>85</v>
      </c>
      <c r="H295" s="6">
        <v>0.16</v>
      </c>
      <c r="I295" s="6">
        <v>2</v>
      </c>
      <c r="J295" s="6">
        <v>3</v>
      </c>
      <c r="K295" s="6">
        <v>4</v>
      </c>
      <c r="L295" s="6">
        <v>3</v>
      </c>
      <c r="M295" s="6">
        <v>4</v>
      </c>
      <c r="N295" s="6">
        <v>2</v>
      </c>
      <c r="O295" s="6">
        <v>3</v>
      </c>
      <c r="P295" s="6">
        <v>1</v>
      </c>
      <c r="Q295" s="6">
        <v>2</v>
      </c>
      <c r="R295" s="6">
        <v>3</v>
      </c>
      <c r="S295" s="6">
        <v>1</v>
      </c>
      <c r="T295" s="6">
        <v>2</v>
      </c>
      <c r="U295" s="6">
        <v>1</v>
      </c>
      <c r="V295" s="6">
        <v>3</v>
      </c>
      <c r="W295" s="6">
        <v>4</v>
      </c>
      <c r="X295" s="6">
        <v>4</v>
      </c>
    </row>
    <row r="296" spans="1:24" ht="15.75" hidden="1" customHeight="1" x14ac:dyDescent="0.2">
      <c r="A296" s="6" t="s">
        <v>1181</v>
      </c>
      <c r="B296" s="6" t="s">
        <v>56</v>
      </c>
      <c r="C296" s="6">
        <v>21305</v>
      </c>
      <c r="D296" s="6">
        <v>1879</v>
      </c>
      <c r="E296" s="6">
        <v>3.35</v>
      </c>
      <c r="F296" s="6">
        <v>350</v>
      </c>
      <c r="G296" s="6">
        <v>83</v>
      </c>
      <c r="H296" s="6">
        <v>0.16</v>
      </c>
      <c r="I296" s="6">
        <v>2</v>
      </c>
      <c r="J296" s="6">
        <v>3</v>
      </c>
      <c r="K296" s="6">
        <v>4</v>
      </c>
      <c r="L296" s="6">
        <v>2</v>
      </c>
      <c r="M296" s="6">
        <v>3</v>
      </c>
      <c r="N296" s="6">
        <v>2</v>
      </c>
      <c r="O296" s="6">
        <v>3</v>
      </c>
      <c r="P296" s="6">
        <v>1</v>
      </c>
      <c r="Q296" s="6">
        <v>2</v>
      </c>
      <c r="R296" s="6">
        <v>4</v>
      </c>
      <c r="S296" s="6">
        <v>1</v>
      </c>
      <c r="T296" s="6">
        <v>2</v>
      </c>
      <c r="U296" s="6">
        <v>1</v>
      </c>
      <c r="V296" s="6">
        <v>2</v>
      </c>
      <c r="W296" s="6">
        <v>3</v>
      </c>
      <c r="X296" s="6">
        <v>3</v>
      </c>
    </row>
    <row r="297" spans="1:24" ht="15.75" hidden="1" customHeight="1" x14ac:dyDescent="0.2">
      <c r="A297" s="6" t="s">
        <v>1182</v>
      </c>
      <c r="B297" s="6" t="s">
        <v>542</v>
      </c>
      <c r="C297" s="6">
        <v>47259</v>
      </c>
      <c r="D297" s="6">
        <v>1856</v>
      </c>
      <c r="E297" s="6">
        <v>3.66</v>
      </c>
      <c r="F297" s="6">
        <v>1011</v>
      </c>
      <c r="G297" s="6">
        <v>82</v>
      </c>
      <c r="H297" s="6">
        <v>0.16</v>
      </c>
      <c r="I297" s="6">
        <v>2</v>
      </c>
      <c r="J297" s="6">
        <v>3</v>
      </c>
      <c r="K297" s="6">
        <v>4</v>
      </c>
      <c r="L297" s="6">
        <v>2</v>
      </c>
      <c r="M297" s="6">
        <v>3</v>
      </c>
      <c r="N297" s="6">
        <v>4</v>
      </c>
      <c r="O297" s="6">
        <v>4</v>
      </c>
      <c r="P297" s="6">
        <v>2</v>
      </c>
      <c r="Q297" s="6">
        <v>1</v>
      </c>
      <c r="R297" s="6">
        <v>3</v>
      </c>
      <c r="S297" s="6">
        <v>3</v>
      </c>
      <c r="T297" s="6">
        <v>1</v>
      </c>
      <c r="U297" s="6">
        <v>1</v>
      </c>
      <c r="V297" s="6">
        <v>2</v>
      </c>
      <c r="W297" s="6">
        <v>1</v>
      </c>
      <c r="X297" s="6">
        <v>3</v>
      </c>
    </row>
    <row r="298" spans="1:24" ht="15.75" hidden="1" customHeight="1" x14ac:dyDescent="0.2">
      <c r="A298" s="6" t="s">
        <v>1183</v>
      </c>
      <c r="B298" s="6" t="s">
        <v>522</v>
      </c>
      <c r="C298" s="6">
        <v>18880</v>
      </c>
      <c r="D298" s="6">
        <v>1996</v>
      </c>
      <c r="E298" s="6">
        <v>4.51</v>
      </c>
      <c r="F298" s="6">
        <v>37191</v>
      </c>
      <c r="G298" s="6">
        <v>82</v>
      </c>
      <c r="H298" s="6">
        <v>0.16</v>
      </c>
      <c r="I298" s="6">
        <v>2</v>
      </c>
      <c r="J298" s="6">
        <v>3</v>
      </c>
      <c r="K298" s="6">
        <v>3</v>
      </c>
      <c r="L298" s="6">
        <v>1</v>
      </c>
      <c r="M298" s="6">
        <v>4</v>
      </c>
      <c r="N298" s="6">
        <v>2</v>
      </c>
      <c r="O298" s="6">
        <v>3</v>
      </c>
      <c r="P298" s="6">
        <v>0</v>
      </c>
      <c r="Q298" s="6">
        <v>2</v>
      </c>
      <c r="R298" s="6">
        <v>0</v>
      </c>
      <c r="S298" s="6">
        <v>1</v>
      </c>
      <c r="T298" s="6">
        <v>4</v>
      </c>
      <c r="U298" s="6">
        <v>1</v>
      </c>
      <c r="V298" s="6">
        <v>2</v>
      </c>
      <c r="W298" s="6">
        <v>0</v>
      </c>
      <c r="X298" s="6">
        <v>3</v>
      </c>
    </row>
    <row r="299" spans="1:24" ht="15.75" hidden="1" customHeight="1" x14ac:dyDescent="0.2">
      <c r="A299" s="6" t="s">
        <v>1184</v>
      </c>
      <c r="B299" s="6" t="s">
        <v>371</v>
      </c>
      <c r="C299" s="6">
        <v>20537</v>
      </c>
      <c r="D299" s="6">
        <v>2014</v>
      </c>
      <c r="E299" s="6">
        <v>4.25</v>
      </c>
      <c r="F299" s="6">
        <v>16</v>
      </c>
      <c r="G299" s="6">
        <v>81</v>
      </c>
      <c r="H299" s="6">
        <v>0.16</v>
      </c>
      <c r="I299" s="6">
        <v>2</v>
      </c>
      <c r="J299" s="6">
        <v>3</v>
      </c>
      <c r="K299" s="6">
        <v>4</v>
      </c>
      <c r="L299" s="6">
        <v>2</v>
      </c>
      <c r="M299" s="6">
        <v>4</v>
      </c>
      <c r="N299" s="6">
        <v>1</v>
      </c>
      <c r="O299" s="6">
        <v>3</v>
      </c>
      <c r="P299" s="6">
        <v>0</v>
      </c>
      <c r="Q299" s="6">
        <v>2</v>
      </c>
      <c r="R299" s="6">
        <v>1</v>
      </c>
      <c r="S299" s="6">
        <v>0</v>
      </c>
      <c r="T299" s="6">
        <v>4</v>
      </c>
      <c r="U299" s="6">
        <v>0</v>
      </c>
      <c r="V299" s="6">
        <v>2</v>
      </c>
      <c r="W299" s="6">
        <v>4</v>
      </c>
      <c r="X299" s="6">
        <v>3</v>
      </c>
    </row>
    <row r="300" spans="1:24" ht="15.75" hidden="1" customHeight="1" x14ac:dyDescent="0.2">
      <c r="A300" s="6" t="s">
        <v>1185</v>
      </c>
      <c r="B300" s="6" t="s">
        <v>380</v>
      </c>
      <c r="C300" s="6">
        <v>3272</v>
      </c>
      <c r="D300" s="6">
        <v>2004</v>
      </c>
      <c r="E300" s="6">
        <v>3.87</v>
      </c>
      <c r="F300" s="6">
        <v>14860</v>
      </c>
      <c r="G300" s="6">
        <v>81</v>
      </c>
      <c r="H300" s="6">
        <v>0.16</v>
      </c>
      <c r="I300" s="6">
        <v>1</v>
      </c>
      <c r="J300" s="6">
        <v>2</v>
      </c>
      <c r="K300" s="6">
        <v>3</v>
      </c>
      <c r="L300" s="6">
        <v>1</v>
      </c>
      <c r="M300" s="6">
        <v>4</v>
      </c>
      <c r="N300" s="6">
        <v>2</v>
      </c>
      <c r="O300" s="6">
        <v>3</v>
      </c>
      <c r="P300" s="6">
        <v>0</v>
      </c>
      <c r="Q300" s="6">
        <v>1</v>
      </c>
      <c r="R300" s="6">
        <v>0</v>
      </c>
      <c r="S300" s="6">
        <v>2</v>
      </c>
      <c r="T300" s="6">
        <v>3</v>
      </c>
      <c r="U300" s="6">
        <v>0</v>
      </c>
      <c r="V300" s="6">
        <v>1</v>
      </c>
      <c r="W300" s="6">
        <v>0</v>
      </c>
      <c r="X300" s="6">
        <v>2</v>
      </c>
    </row>
    <row r="301" spans="1:24" ht="15.75" customHeight="1" x14ac:dyDescent="0.2">
      <c r="A301" s="6" t="s">
        <v>1186</v>
      </c>
      <c r="B301" s="6" t="s">
        <v>39</v>
      </c>
      <c r="C301" s="6">
        <v>47391</v>
      </c>
      <c r="D301" s="6">
        <v>2018</v>
      </c>
      <c r="E301" s="6">
        <v>4.1900000000000004</v>
      </c>
      <c r="F301" s="6">
        <v>4865</v>
      </c>
      <c r="G301" s="6">
        <v>81</v>
      </c>
      <c r="H301" s="6">
        <v>0.16</v>
      </c>
      <c r="I301" s="6">
        <v>3</v>
      </c>
      <c r="J301" s="6">
        <v>4</v>
      </c>
      <c r="K301" s="6">
        <v>4</v>
      </c>
      <c r="L301" s="6">
        <v>2</v>
      </c>
      <c r="M301" s="6">
        <v>3</v>
      </c>
      <c r="N301" s="6">
        <v>1</v>
      </c>
      <c r="O301" s="6">
        <v>3</v>
      </c>
      <c r="P301" s="6">
        <v>2</v>
      </c>
      <c r="Q301" s="6">
        <v>1</v>
      </c>
      <c r="R301" s="6">
        <v>4</v>
      </c>
      <c r="S301" s="6">
        <v>1</v>
      </c>
      <c r="T301" s="6">
        <v>2</v>
      </c>
      <c r="U301" s="6">
        <v>2</v>
      </c>
      <c r="V301" s="6">
        <v>3</v>
      </c>
      <c r="W301" s="6">
        <v>4</v>
      </c>
      <c r="X301" s="6">
        <v>4</v>
      </c>
    </row>
    <row r="302" spans="1:24" ht="15.75" hidden="1" customHeight="1" x14ac:dyDescent="0.2">
      <c r="A302" s="6" t="s">
        <v>1187</v>
      </c>
      <c r="B302" s="6" t="s">
        <v>442</v>
      </c>
      <c r="C302" s="6">
        <v>27299</v>
      </c>
      <c r="D302" s="6">
        <v>1959</v>
      </c>
      <c r="E302" s="6">
        <v>3.48</v>
      </c>
      <c r="F302" s="6">
        <v>2620</v>
      </c>
      <c r="G302" s="6">
        <v>81</v>
      </c>
      <c r="H302" s="6">
        <v>0.16</v>
      </c>
      <c r="I302" s="6">
        <v>3</v>
      </c>
      <c r="J302" s="6">
        <v>4</v>
      </c>
      <c r="K302" s="6">
        <v>4</v>
      </c>
      <c r="L302" s="6">
        <v>3</v>
      </c>
      <c r="M302" s="6">
        <v>3</v>
      </c>
      <c r="N302" s="6">
        <v>2</v>
      </c>
      <c r="O302" s="6">
        <v>3</v>
      </c>
      <c r="P302" s="6">
        <v>1</v>
      </c>
      <c r="Q302" s="6">
        <v>0</v>
      </c>
      <c r="R302" s="6">
        <v>1</v>
      </c>
      <c r="S302" s="6">
        <v>0</v>
      </c>
      <c r="T302" s="6">
        <v>2</v>
      </c>
      <c r="U302" s="6">
        <v>2</v>
      </c>
      <c r="V302" s="6">
        <v>3</v>
      </c>
      <c r="W302" s="6">
        <v>4</v>
      </c>
      <c r="X302" s="6">
        <v>4</v>
      </c>
    </row>
    <row r="303" spans="1:24" ht="15.75" hidden="1" customHeight="1" x14ac:dyDescent="0.2">
      <c r="A303" s="6" t="s">
        <v>1188</v>
      </c>
      <c r="B303" s="6" t="s">
        <v>400</v>
      </c>
      <c r="C303" s="6">
        <v>60486</v>
      </c>
      <c r="D303" s="6">
        <v>2004</v>
      </c>
      <c r="E303" s="6">
        <v>3.54</v>
      </c>
      <c r="F303" s="6">
        <v>1524</v>
      </c>
      <c r="G303" s="6">
        <v>80</v>
      </c>
      <c r="H303" s="6">
        <v>0.15</v>
      </c>
      <c r="I303" s="6">
        <v>3</v>
      </c>
      <c r="J303" s="6">
        <v>4</v>
      </c>
      <c r="K303" s="6">
        <v>4</v>
      </c>
      <c r="L303" s="6">
        <v>3</v>
      </c>
      <c r="M303" s="6">
        <v>4</v>
      </c>
      <c r="N303" s="6">
        <v>2</v>
      </c>
      <c r="O303" s="6">
        <v>4</v>
      </c>
      <c r="P303" s="6">
        <v>0</v>
      </c>
      <c r="Q303" s="6">
        <v>4</v>
      </c>
      <c r="R303" s="6">
        <v>1</v>
      </c>
      <c r="S303" s="6">
        <v>2</v>
      </c>
      <c r="T303" s="6">
        <v>3</v>
      </c>
      <c r="U303" s="6">
        <v>1</v>
      </c>
      <c r="V303" s="6">
        <v>3</v>
      </c>
      <c r="W303" s="6">
        <v>4</v>
      </c>
      <c r="X303" s="6">
        <v>4</v>
      </c>
    </row>
    <row r="304" spans="1:24" ht="15.75" hidden="1" customHeight="1" x14ac:dyDescent="0.2">
      <c r="A304" s="6" t="s">
        <v>1189</v>
      </c>
      <c r="B304" s="6" t="s">
        <v>413</v>
      </c>
      <c r="C304" s="6">
        <v>58111</v>
      </c>
      <c r="D304" s="6">
        <v>1980</v>
      </c>
      <c r="E304" s="6">
        <v>3.93</v>
      </c>
      <c r="F304" s="6">
        <v>1478</v>
      </c>
      <c r="G304" s="6">
        <v>80</v>
      </c>
      <c r="H304" s="6">
        <v>0.15</v>
      </c>
      <c r="I304" s="6">
        <v>3</v>
      </c>
      <c r="J304" s="6">
        <v>2</v>
      </c>
      <c r="K304" s="6">
        <v>3</v>
      </c>
      <c r="L304" s="6">
        <v>2</v>
      </c>
      <c r="M304" s="6">
        <v>3</v>
      </c>
      <c r="N304" s="6">
        <v>3</v>
      </c>
      <c r="O304" s="6">
        <v>2</v>
      </c>
      <c r="P304" s="6">
        <v>0</v>
      </c>
      <c r="Q304" s="6">
        <v>1</v>
      </c>
      <c r="R304" s="6">
        <v>0</v>
      </c>
      <c r="S304" s="6">
        <v>0</v>
      </c>
      <c r="T304" s="6">
        <v>1</v>
      </c>
      <c r="U304" s="6">
        <v>1</v>
      </c>
      <c r="V304" s="6">
        <v>2</v>
      </c>
      <c r="W304" s="6">
        <v>1</v>
      </c>
      <c r="X304" s="6">
        <v>3</v>
      </c>
    </row>
    <row r="305" spans="1:24" ht="15.75" hidden="1" customHeight="1" x14ac:dyDescent="0.2">
      <c r="A305" s="6" t="s">
        <v>1190</v>
      </c>
      <c r="B305" s="6" t="s">
        <v>405</v>
      </c>
      <c r="C305" s="6">
        <v>60567</v>
      </c>
      <c r="D305" s="6">
        <v>1990</v>
      </c>
      <c r="E305" s="6">
        <v>3.62</v>
      </c>
      <c r="F305" s="6">
        <v>1039</v>
      </c>
      <c r="G305" s="6">
        <v>80</v>
      </c>
      <c r="H305" s="6">
        <v>0.15</v>
      </c>
      <c r="I305" s="6">
        <v>2</v>
      </c>
      <c r="J305" s="6">
        <v>3</v>
      </c>
      <c r="K305" s="6">
        <v>4</v>
      </c>
      <c r="L305" s="6">
        <v>3</v>
      </c>
      <c r="M305" s="6">
        <v>4</v>
      </c>
      <c r="N305" s="6">
        <v>2</v>
      </c>
      <c r="O305" s="6">
        <v>3</v>
      </c>
      <c r="P305" s="6">
        <v>1</v>
      </c>
      <c r="Q305" s="6">
        <v>1</v>
      </c>
      <c r="R305" s="6">
        <v>2</v>
      </c>
      <c r="S305" s="6">
        <v>1</v>
      </c>
      <c r="T305" s="6">
        <v>2</v>
      </c>
      <c r="U305" s="6">
        <v>1</v>
      </c>
      <c r="V305" s="6">
        <v>3</v>
      </c>
      <c r="W305" s="6">
        <v>4</v>
      </c>
      <c r="X305" s="6">
        <v>3</v>
      </c>
    </row>
    <row r="306" spans="1:24" ht="15.75" hidden="1" customHeight="1" x14ac:dyDescent="0.2">
      <c r="A306" s="6" t="s">
        <v>1191</v>
      </c>
      <c r="B306" s="6" t="s">
        <v>365</v>
      </c>
      <c r="C306" s="6">
        <v>46492</v>
      </c>
      <c r="D306" s="6">
        <v>1898</v>
      </c>
      <c r="E306" s="6">
        <v>3.59</v>
      </c>
      <c r="F306" s="6">
        <v>456</v>
      </c>
      <c r="G306" s="6">
        <v>79</v>
      </c>
      <c r="H306" s="6">
        <v>0.15</v>
      </c>
      <c r="I306" s="6">
        <v>3</v>
      </c>
      <c r="J306" s="6">
        <v>4</v>
      </c>
      <c r="K306" s="6">
        <v>4</v>
      </c>
      <c r="L306" s="6">
        <v>3</v>
      </c>
      <c r="M306" s="6">
        <v>3</v>
      </c>
      <c r="N306" s="6">
        <v>2</v>
      </c>
      <c r="O306" s="6">
        <v>3</v>
      </c>
      <c r="P306" s="6">
        <v>1</v>
      </c>
      <c r="Q306" s="6">
        <v>1</v>
      </c>
      <c r="R306" s="6">
        <v>2</v>
      </c>
      <c r="S306" s="6">
        <v>1</v>
      </c>
      <c r="T306" s="6">
        <v>2</v>
      </c>
      <c r="U306" s="6">
        <v>1</v>
      </c>
      <c r="V306" s="6">
        <v>3</v>
      </c>
      <c r="W306" s="6">
        <v>3</v>
      </c>
      <c r="X306" s="6">
        <v>3</v>
      </c>
    </row>
    <row r="307" spans="1:24" ht="15.75" hidden="1" customHeight="1" x14ac:dyDescent="0.2">
      <c r="A307" s="6" t="s">
        <v>1192</v>
      </c>
      <c r="B307" s="6" t="s">
        <v>495</v>
      </c>
      <c r="C307" s="6">
        <v>41037</v>
      </c>
      <c r="D307" s="6">
        <v>2018</v>
      </c>
      <c r="E307" s="6">
        <v>3.95</v>
      </c>
      <c r="F307" s="6">
        <v>6384</v>
      </c>
      <c r="G307" s="6">
        <v>79</v>
      </c>
      <c r="H307" s="6">
        <v>0.15</v>
      </c>
      <c r="I307" s="6">
        <v>2</v>
      </c>
      <c r="J307" s="6">
        <v>3</v>
      </c>
      <c r="K307" s="6">
        <v>4</v>
      </c>
      <c r="L307" s="6">
        <v>2</v>
      </c>
      <c r="M307" s="6">
        <v>4</v>
      </c>
      <c r="N307" s="6">
        <v>1</v>
      </c>
      <c r="O307" s="6">
        <v>3</v>
      </c>
      <c r="P307" s="6">
        <v>0</v>
      </c>
      <c r="Q307" s="6">
        <v>2</v>
      </c>
      <c r="R307" s="6">
        <v>0</v>
      </c>
      <c r="S307" s="6">
        <v>1</v>
      </c>
      <c r="T307" s="6">
        <v>3</v>
      </c>
      <c r="U307" s="6">
        <v>1</v>
      </c>
      <c r="V307" s="6">
        <v>2</v>
      </c>
      <c r="W307" s="6">
        <v>3</v>
      </c>
      <c r="X307" s="6">
        <v>4</v>
      </c>
    </row>
    <row r="308" spans="1:24" ht="15.75" hidden="1" customHeight="1" x14ac:dyDescent="0.2"/>
    <row r="309" spans="1:24" ht="15.75" hidden="1" customHeight="1" x14ac:dyDescent="0.2">
      <c r="C309" s="6">
        <f t="shared" ref="C309:X309" si="0">AVERAGE(C2:C307)</f>
        <v>41001.078431372553</v>
      </c>
      <c r="D309" s="6">
        <f t="shared" si="0"/>
        <v>1964.375816993464</v>
      </c>
      <c r="E309" s="6">
        <f t="shared" si="0"/>
        <v>3.816111111111109</v>
      </c>
      <c r="F309" s="6">
        <f t="shared" si="0"/>
        <v>174240.34967320261</v>
      </c>
      <c r="G309" s="6">
        <f t="shared" si="0"/>
        <v>1349.8398692810458</v>
      </c>
      <c r="H309" s="6">
        <f t="shared" si="0"/>
        <v>2.6312091503268009</v>
      </c>
      <c r="I309" s="6">
        <f t="shared" si="0"/>
        <v>2.3529411764705883</v>
      </c>
      <c r="J309" s="6">
        <f t="shared" si="0"/>
        <v>3.3235294117647061</v>
      </c>
      <c r="K309" s="298">
        <f t="shared" si="0"/>
        <v>3.7941176470588234</v>
      </c>
      <c r="L309" s="6">
        <f t="shared" si="0"/>
        <v>2.0294117647058822</v>
      </c>
      <c r="M309" s="298">
        <f t="shared" si="0"/>
        <v>3.4836601307189543</v>
      </c>
      <c r="N309" s="6">
        <f t="shared" si="0"/>
        <v>2.0326797385620914</v>
      </c>
      <c r="O309" s="6">
        <f t="shared" si="0"/>
        <v>3.2026143790849675</v>
      </c>
      <c r="P309" s="299">
        <f t="shared" si="0"/>
        <v>0.65686274509803921</v>
      </c>
      <c r="Q309" s="6">
        <f t="shared" si="0"/>
        <v>1.6993464052287581</v>
      </c>
      <c r="R309" s="6">
        <f t="shared" si="0"/>
        <v>1.2875816993464053</v>
      </c>
      <c r="S309" s="6">
        <f t="shared" si="0"/>
        <v>1.5555555555555556</v>
      </c>
      <c r="T309" s="6">
        <f t="shared" si="0"/>
        <v>2.6960784313725492</v>
      </c>
      <c r="U309" s="299">
        <f t="shared" si="0"/>
        <v>1.0098039215686274</v>
      </c>
      <c r="V309" s="6">
        <f t="shared" si="0"/>
        <v>2.284313725490196</v>
      </c>
      <c r="W309" s="6">
        <f t="shared" si="0"/>
        <v>2.0490196078431371</v>
      </c>
      <c r="X309" s="6">
        <f t="shared" si="0"/>
        <v>3.2516339869281046</v>
      </c>
    </row>
    <row r="310" spans="1:24" ht="15.75" hidden="1" customHeight="1" x14ac:dyDescent="0.2">
      <c r="C310" s="6">
        <f t="shared" ref="C310:X310" si="1">MAX(C2:C307)</f>
        <v>121911</v>
      </c>
      <c r="D310" s="6">
        <f t="shared" si="1"/>
        <v>2022</v>
      </c>
      <c r="E310" s="6">
        <f t="shared" si="1"/>
        <v>4.59</v>
      </c>
      <c r="F310" s="6">
        <f t="shared" si="1"/>
        <v>6389780</v>
      </c>
      <c r="G310" s="6">
        <f t="shared" si="1"/>
        <v>51254</v>
      </c>
      <c r="H310" s="6">
        <f t="shared" si="1"/>
        <v>100</v>
      </c>
      <c r="I310" s="6">
        <f t="shared" si="1"/>
        <v>3</v>
      </c>
      <c r="J310" s="6">
        <f t="shared" si="1"/>
        <v>4</v>
      </c>
      <c r="K310" s="6">
        <f t="shared" si="1"/>
        <v>4</v>
      </c>
      <c r="L310" s="6">
        <f t="shared" si="1"/>
        <v>4</v>
      </c>
      <c r="M310" s="6">
        <f t="shared" si="1"/>
        <v>4</v>
      </c>
      <c r="N310" s="6">
        <f t="shared" si="1"/>
        <v>4</v>
      </c>
      <c r="O310" s="6">
        <f t="shared" si="1"/>
        <v>4</v>
      </c>
      <c r="P310" s="6">
        <f t="shared" si="1"/>
        <v>4</v>
      </c>
      <c r="Q310" s="6">
        <f t="shared" si="1"/>
        <v>4</v>
      </c>
      <c r="R310" s="6">
        <f t="shared" si="1"/>
        <v>4</v>
      </c>
      <c r="S310" s="6">
        <f t="shared" si="1"/>
        <v>4</v>
      </c>
      <c r="T310" s="6">
        <f t="shared" si="1"/>
        <v>4</v>
      </c>
      <c r="U310" s="6">
        <f t="shared" si="1"/>
        <v>2</v>
      </c>
      <c r="V310" s="6">
        <f t="shared" si="1"/>
        <v>4</v>
      </c>
      <c r="W310" s="6">
        <f t="shared" si="1"/>
        <v>4</v>
      </c>
      <c r="X310" s="6">
        <f t="shared" si="1"/>
        <v>4</v>
      </c>
    </row>
    <row r="311" spans="1:24" ht="15.75" hidden="1" customHeight="1" x14ac:dyDescent="0.2">
      <c r="C311" s="6">
        <f t="shared" ref="C311:X311" si="2">MIN(C2:C307)</f>
        <v>617</v>
      </c>
      <c r="D311" s="6">
        <f t="shared" si="2"/>
        <v>1688</v>
      </c>
      <c r="E311" s="6">
        <f t="shared" si="2"/>
        <v>2.66</v>
      </c>
      <c r="F311" s="6">
        <f t="shared" si="2"/>
        <v>12</v>
      </c>
      <c r="G311" s="6">
        <f t="shared" si="2"/>
        <v>1</v>
      </c>
      <c r="H311" s="6">
        <f t="shared" si="2"/>
        <v>0</v>
      </c>
      <c r="I311" s="6">
        <f t="shared" si="2"/>
        <v>1</v>
      </c>
      <c r="J311" s="6">
        <f t="shared" si="2"/>
        <v>1</v>
      </c>
      <c r="K311" s="6">
        <f t="shared" si="2"/>
        <v>2</v>
      </c>
      <c r="L311" s="6">
        <f t="shared" si="2"/>
        <v>1</v>
      </c>
      <c r="M311" s="6">
        <f t="shared" si="2"/>
        <v>1</v>
      </c>
      <c r="N311" s="6">
        <f t="shared" si="2"/>
        <v>1</v>
      </c>
      <c r="O311" s="6">
        <f t="shared" si="2"/>
        <v>1</v>
      </c>
      <c r="P311" s="6">
        <f t="shared" si="2"/>
        <v>0</v>
      </c>
      <c r="Q311" s="6">
        <f t="shared" si="2"/>
        <v>0</v>
      </c>
      <c r="R311" s="6">
        <f t="shared" si="2"/>
        <v>0</v>
      </c>
      <c r="S311" s="6">
        <f t="shared" si="2"/>
        <v>0</v>
      </c>
      <c r="T311" s="6">
        <f t="shared" si="2"/>
        <v>0</v>
      </c>
      <c r="U311" s="6">
        <f t="shared" si="2"/>
        <v>0</v>
      </c>
      <c r="V311" s="6">
        <f t="shared" si="2"/>
        <v>1</v>
      </c>
      <c r="W311" s="6">
        <f t="shared" si="2"/>
        <v>0</v>
      </c>
      <c r="X311" s="6">
        <f t="shared" si="2"/>
        <v>2</v>
      </c>
    </row>
    <row r="312" spans="1:24" ht="15.75" hidden="1" customHeight="1" x14ac:dyDescent="0.2">
      <c r="C312" s="6">
        <f t="shared" ref="C312:D312" si="3">SUM(C2:C307)</f>
        <v>12546330</v>
      </c>
      <c r="D312" s="6">
        <f t="shared" si="3"/>
        <v>601099</v>
      </c>
    </row>
  </sheetData>
  <autoFilter ref="A1:CQ312" xr:uid="{00000000-0009-0000-0000-00000F000000}">
    <filterColumn colId="0">
      <filters>
        <filter val="000_the_old_man_and_the_sea.txt"/>
        <filter val="001_animal-farm.txt"/>
        <filter val="002_mice-and-men.txt"/>
        <filter val="028_Lord_of_the_flies.txt"/>
        <filter val="036_the_turn_of_the_screw.txt"/>
        <filter val="043_the_prime_of_miss_jean_brodie.txt"/>
        <filter val="046_cannery_row.txt"/>
        <filter val="051_the_picture_of_dorian_gray.txt"/>
        <filter val="054_doyle-hound-383.txt"/>
        <filter val="055_giovannis_room.txt"/>
        <filter val="067_the_catcher_in_the_rye.txt"/>
        <filter val="079_shopgirl.txt"/>
        <filter val="093_to_kill_a_mocking_bird.txt"/>
        <filter val="102_Miss_Lonelyhearts.txt"/>
        <filter val="109_being_there.txt"/>
        <filter val="135_the_maltese_falcon.txt"/>
        <filter val="151_on_chesil_beach.txt"/>
        <filter val="156_the_13_clocks.txt"/>
        <filter val="191_every_heart_a_doorway.txt"/>
        <filter val="201_the_tiny_wife.txt"/>
        <filter val="258_farmer_giles_of_ham.txt"/>
        <filter val="268_under_the_greenwood_tree.txt"/>
        <filter val="270_the_governess_affair.txt"/>
        <filter val="302_the_great_gatsby.txt"/>
        <filter val="316_the_canterville_ghost.txt"/>
        <filter val="317_the_wonderful_o.txt"/>
        <filter val="337_the_library_window.txt"/>
        <filter val="345_lyras_oxford.txt"/>
        <filter val="377_greater_than_rubies.txt"/>
        <filter val="407_the_restaurant_at_the_end.txt"/>
        <filter val="418_breathless.txt"/>
        <filter val="452_the_perilous_life_of_jade.txt"/>
        <filter val="489_skin_deep.txt"/>
        <filter val="495_hammers_on_bone.txt"/>
        <filter val="560_how_to_marry_a_werewolf.txt"/>
      </filters>
    </filterColumn>
  </autoFilter>
  <conditionalFormatting sqref="AE2:AT17">
    <cfRule type="colorScale" priority="1">
      <colorScale>
        <cfvo type="min"/>
        <cfvo type="max"/>
        <color rgb="FFEAF1DD"/>
        <color rgb="FF4F6128"/>
      </colorScale>
    </cfRule>
  </conditionalFormatting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HHI</vt:lpstr>
      <vt:lpstr>Binom_test</vt:lpstr>
      <vt:lpstr>Recall_Precision</vt:lpstr>
      <vt:lpstr>eval_5_novellas</vt:lpstr>
      <vt:lpstr>Лист2</vt:lpstr>
      <vt:lpstr>pivot_table</vt:lpstr>
      <vt:lpstr>blocks</vt:lpstr>
      <vt:lpstr>total_334</vt:lpstr>
      <vt:lpstr>scores_all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Milka Kaplan  </cp:lastModifiedBy>
  <dcterms:created xsi:type="dcterms:W3CDTF">2025-10-16T10:26:36Z</dcterms:created>
  <dcterms:modified xsi:type="dcterms:W3CDTF">2026-03-17T12:01:03Z</dcterms:modified>
</cp:coreProperties>
</file>